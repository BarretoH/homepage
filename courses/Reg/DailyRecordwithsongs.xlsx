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arreto\Documents\GitHub\homepage\courses\Reg\"/>
    </mc:Choice>
  </mc:AlternateContent>
  <xr:revisionPtr revIDLastSave="0" documentId="8_{E6AEA761-0EE6-48C5-BA60-B5A2AF742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Record" sheetId="29" r:id="rId1"/>
  </sheets>
  <definedNames>
    <definedName name="_xlnm.Print_Area" localSheetId="0">DailyRecord!$A$1:$D$48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9" l="1"/>
  <c r="A6" i="29"/>
  <c r="A9" i="29" s="1"/>
  <c r="A12" i="29" s="1"/>
  <c r="A8" i="29"/>
  <c r="C8" i="29" s="1"/>
  <c r="C6" i="29" l="1"/>
  <c r="A7" i="29"/>
  <c r="C9" i="29"/>
  <c r="A15" i="29"/>
  <c r="A16" i="29" s="1"/>
  <c r="A17" i="29" s="1"/>
  <c r="C12" i="29"/>
  <c r="A11" i="29"/>
  <c r="A10" i="29" l="1"/>
  <c r="C7" i="29"/>
  <c r="A14" i="29"/>
  <c r="C14" i="29" s="1"/>
  <c r="C11" i="29"/>
  <c r="C15" i="29"/>
  <c r="A13" i="29" l="1"/>
  <c r="C13" i="29" s="1"/>
  <c r="C10" i="29"/>
  <c r="C16" i="29"/>
  <c r="A20" i="29" l="1"/>
  <c r="C20" i="29" s="1"/>
  <c r="C17" i="29"/>
  <c r="A18" i="29"/>
  <c r="A19" i="29" s="1"/>
  <c r="A21" i="29" l="1"/>
  <c r="A22" i="29" s="1"/>
  <c r="A23" i="29" s="1"/>
  <c r="C18" i="29"/>
  <c r="C19" i="29"/>
  <c r="C21" i="29" l="1"/>
  <c r="C22" i="29" l="1"/>
  <c r="C23" i="29" l="1"/>
  <c r="A24" i="29"/>
  <c r="A25" i="29" s="1"/>
  <c r="A26" i="29" s="1"/>
  <c r="C24" i="29" l="1"/>
  <c r="C25" i="29" l="1"/>
  <c r="A27" i="29"/>
  <c r="C27" i="29" l="1"/>
  <c r="A28" i="29"/>
  <c r="A29" i="29" s="1"/>
  <c r="C26" i="29"/>
  <c r="C28" i="29" l="1"/>
  <c r="C29" i="29" l="1"/>
  <c r="A30" i="29"/>
  <c r="C30" i="29" l="1"/>
  <c r="A31" i="29"/>
  <c r="C31" i="29" l="1"/>
  <c r="A32" i="29"/>
  <c r="C32" i="29" l="1"/>
  <c r="A33" i="29"/>
  <c r="C33" i="29" l="1"/>
  <c r="A34" i="29"/>
  <c r="C34" i="29" l="1"/>
  <c r="A35" i="29"/>
  <c r="C35" i="29" l="1"/>
  <c r="A36" i="29"/>
  <c r="C36" i="29" l="1"/>
  <c r="A37" i="29"/>
  <c r="C37" i="29" l="1"/>
  <c r="A38" i="29"/>
  <c r="C38" i="29" l="1"/>
  <c r="A39" i="29"/>
  <c r="C39" i="29" l="1"/>
  <c r="A40" i="29"/>
  <c r="C40" i="29" l="1"/>
  <c r="A41" i="29"/>
  <c r="C41" i="29" l="1"/>
  <c r="A42" i="29"/>
  <c r="A43" i="29" l="1"/>
  <c r="C42" i="29"/>
  <c r="C43" i="29" l="1"/>
  <c r="A44" i="29"/>
  <c r="A45" i="29" s="1"/>
  <c r="C44" i="29" l="1"/>
  <c r="A46" i="29" l="1"/>
  <c r="A47" i="29" s="1"/>
  <c r="A48" i="29" s="1"/>
  <c r="C48" i="29" s="1"/>
  <c r="C45" i="29"/>
  <c r="C46" i="29" l="1"/>
  <c r="C47" i="29"/>
</calcChain>
</file>

<file path=xl/sharedStrings.xml><?xml version="1.0" encoding="utf-8"?>
<sst xmlns="http://schemas.openxmlformats.org/spreadsheetml/2006/main" count="325" uniqueCount="312">
  <si>
    <t>Grade</t>
  </si>
  <si>
    <t>EXAM 1</t>
  </si>
  <si>
    <t>EXAM 2</t>
  </si>
  <si>
    <t>Topic</t>
  </si>
  <si>
    <t xml:space="preserve"> -2 to 2</t>
  </si>
  <si>
    <t>Paper Referee Feedback</t>
  </si>
  <si>
    <t>Date</t>
  </si>
  <si>
    <t>Day</t>
  </si>
  <si>
    <t>0 to 100</t>
  </si>
  <si>
    <t>Class</t>
  </si>
  <si>
    <t>Paper Guidelines &amp; Introduction to Stata</t>
  </si>
  <si>
    <t>Regression with Stata</t>
  </si>
  <si>
    <t>In class</t>
  </si>
  <si>
    <t>Conditional Mean Function via PivotTables</t>
  </si>
  <si>
    <t>INCWAGE = f(EducYears)</t>
  </si>
  <si>
    <t>Mechanics of Regression</t>
  </si>
  <si>
    <t>LINEST and Solver</t>
  </si>
  <si>
    <t>Interpreting Regression and Coefficients</t>
  </si>
  <si>
    <t>Predict Y; slope; vertical strips</t>
  </si>
  <si>
    <t>Multiple Regression Theory</t>
  </si>
  <si>
    <t>3D plot and plane</t>
  </si>
  <si>
    <t>Monte Carlo Simulation and MC Sim Add-in</t>
  </si>
  <si>
    <t>Three SEs of sample average</t>
  </si>
  <si>
    <t>Estimating Unemployment and the CPS</t>
  </si>
  <si>
    <t>Unem.xls</t>
  </si>
  <si>
    <t>Hooke's Law and Bivariate Regression</t>
  </si>
  <si>
    <t>The Classical Econometric Model</t>
  </si>
  <si>
    <t>Univariate Gauss-Markov Theorem: Average is BLUE</t>
  </si>
  <si>
    <t>Bivariate Gauss-Markov Theorem: OLS is BLUE</t>
  </si>
  <si>
    <t>Least Median of Squares</t>
  </si>
  <si>
    <t>Multivariate Regression Workshop</t>
  </si>
  <si>
    <t>Confidence Intervals</t>
  </si>
  <si>
    <t>Joint Hypothesis Testing (F Tests)</t>
  </si>
  <si>
    <t>Whole Model F Test</t>
  </si>
  <si>
    <t>Partial Xs Survey Model</t>
  </si>
  <si>
    <t>Get IPUMS Stata data; recode, basic stats</t>
  </si>
  <si>
    <t>i.firmsize</t>
  </si>
  <si>
    <r>
      <rPr>
        <b/>
        <sz val="10"/>
        <rFont val="Geneva"/>
      </rPr>
      <t>FINAL PAPER DUE</t>
    </r>
    <r>
      <rPr>
        <sz val="10"/>
        <rFont val="Geneva"/>
      </rPr>
      <t>: Course Summary and Evaluation</t>
    </r>
  </si>
  <si>
    <t>Job search Q&amp;A</t>
  </si>
  <si>
    <r>
      <t xml:space="preserve">Literature Review Due: </t>
    </r>
    <r>
      <rPr>
        <b/>
        <i/>
        <sz val="10"/>
        <rFont val="Geneva"/>
      </rPr>
      <t>Presentation</t>
    </r>
  </si>
  <si>
    <r>
      <t xml:space="preserve">First Draft Due: </t>
    </r>
    <r>
      <rPr>
        <b/>
        <i/>
        <sz val="10"/>
        <rFont val="Geneva"/>
      </rPr>
      <t>Presentation</t>
    </r>
  </si>
  <si>
    <t>Your Task</t>
  </si>
  <si>
    <t>List of variables</t>
  </si>
  <si>
    <t>Single Hypothesis Testing</t>
  </si>
  <si>
    <t>First Draft, Referee Reports, and Final Paper</t>
  </si>
  <si>
    <t>Heteroskedasticity: Effects on OLS and Robust SE</t>
  </si>
  <si>
    <t>Heteroskedasticity: GLS</t>
  </si>
  <si>
    <t>Syllabus, Basic stats on INCWAGE, avg is min SSR</t>
  </si>
  <si>
    <t>2.CMF.doc</t>
  </si>
  <si>
    <t>3.Mechanics.doc</t>
  </si>
  <si>
    <t>4.Interpret.doc</t>
  </si>
  <si>
    <t>4.CPSIncEduc, 4.Heights</t>
  </si>
  <si>
    <t>5.MultReg3D, r = - 0.9</t>
  </si>
  <si>
    <t>5.MultReg3D.doc</t>
  </si>
  <si>
    <t>Use colab, Google sheets, BIVARNORMAL</t>
  </si>
  <si>
    <t>Multiple Regression Omitted Variable Bias</t>
  </si>
  <si>
    <t>6.OVB, OVB Rule w/ indep Xs</t>
  </si>
  <si>
    <t>6.OVB.doc</t>
  </si>
  <si>
    <t>Functional Form</t>
  </si>
  <si>
    <t>Time^2 and LN $</t>
  </si>
  <si>
    <t>7.FunctionalForm, lnINCWAGE = f(EducYears)</t>
  </si>
  <si>
    <t>7.FunctionalForm.doc</t>
  </si>
  <si>
    <t>Earnings Function with Experience</t>
  </si>
  <si>
    <t>8.Experience.doc</t>
  </si>
  <si>
    <t>Dummy Variables</t>
  </si>
  <si>
    <t>9.DummyVariables, Include Race/Ethnicity</t>
  </si>
  <si>
    <t>9.Dummy.doc</t>
  </si>
  <si>
    <t>Used Google sheets</t>
  </si>
  <si>
    <t>Shooting and streaks pdf, but did basketballgame Excel file</t>
  </si>
  <si>
    <t>10.MCSim, Explain sim v analytical</t>
  </si>
  <si>
    <t>10.MCSim.doc</t>
  </si>
  <si>
    <t>Blank file, completed version BasketballGame2025.xls</t>
  </si>
  <si>
    <t>Polling DGP</t>
  </si>
  <si>
    <t>11.Polling, assign State, compute its SE</t>
  </si>
  <si>
    <t>11.Polling.doc</t>
  </si>
  <si>
    <t>12.Unem, 13.Search, 2 questions</t>
  </si>
  <si>
    <t>12.UnemVariability</t>
  </si>
  <si>
    <t>Use 12.Unem.xlsx and walk through it</t>
  </si>
  <si>
    <t>Search Theory Simulation</t>
  </si>
  <si>
    <t>STUDY</t>
  </si>
  <si>
    <t>No handout</t>
  </si>
  <si>
    <t>Measurement Error Model</t>
  </si>
  <si>
    <t>Introduce measurement error, 3 SEs of sample average again</t>
  </si>
  <si>
    <t>measurement error in reg context, SE of sample slope</t>
  </si>
  <si>
    <t>16.MeasureReg &amp; 17 prep, b1 sim</t>
  </si>
  <si>
    <t>Multivariate Regression SE of slope</t>
  </si>
  <si>
    <t>multivar regression: SE with sqrt(1-R^2)</t>
  </si>
  <si>
    <t>17.MeasureMultiVar &amp; prep 18, est SE sim</t>
  </si>
  <si>
    <t>17.MeasureMultiVar.doc</t>
  </si>
  <si>
    <t>random assignment in skiing, break model with correlation</t>
  </si>
  <si>
    <t>18.CEM and non-zero E[error]</t>
  </si>
  <si>
    <t>18.CEM.doc</t>
  </si>
  <si>
    <t>Use 18.CEM</t>
  </si>
  <si>
    <t>23.CI</t>
  </si>
  <si>
    <t>Light bulb example (not in book at all)</t>
  </si>
  <si>
    <t>24.HypoTests</t>
  </si>
  <si>
    <t>Do chisq, F and Exp &amp; Exp^2</t>
  </si>
  <si>
    <t>Exam Q&amp;A</t>
  </si>
  <si>
    <t>Bring printed version to class</t>
  </si>
  <si>
    <t>-1, 0, or +1</t>
  </si>
  <si>
    <r>
      <t xml:space="preserve">Literature Review Draft &amp; </t>
    </r>
    <r>
      <rPr>
        <sz val="10"/>
        <color indexed="10"/>
        <rFont val="Geneva"/>
      </rPr>
      <t xml:space="preserve">MAX </t>
    </r>
    <r>
      <rPr>
        <sz val="10"/>
        <color indexed="10"/>
        <rFont val="Geneva"/>
      </rPr>
      <t>2 Minute Presentation</t>
    </r>
  </si>
  <si>
    <r>
      <t xml:space="preserve">First Draft of Paper &amp; </t>
    </r>
    <r>
      <rPr>
        <sz val="10"/>
        <color indexed="10"/>
        <rFont val="Geneva"/>
      </rPr>
      <t xml:space="preserve">MAX 2 </t>
    </r>
    <r>
      <rPr>
        <sz val="10"/>
        <color indexed="10"/>
        <rFont val="Geneva"/>
      </rPr>
      <t>Minute Presentation of Results</t>
    </r>
  </si>
  <si>
    <t>PAPER PRESENTATION 6PM - 9PM</t>
  </si>
  <si>
    <t>Intro, Windows App, Stats Review</t>
  </si>
  <si>
    <t>21.RobustReg</t>
  </si>
  <si>
    <t>20.GMReg</t>
  </si>
  <si>
    <t>grade in class, est SE computed? Est SE biased? Omit X4 effect?</t>
  </si>
  <si>
    <t>25.JointHypoTest</t>
  </si>
  <si>
    <t>Do Whole Model F on ExpExp2 and SNAP in class</t>
  </si>
  <si>
    <t>26.WholeModelF</t>
  </si>
  <si>
    <t>Use 25.JointHypoTestPreClass</t>
  </si>
  <si>
    <t>Use 24.HypoTestPreClass</t>
  </si>
  <si>
    <t>27.HetEffects</t>
  </si>
  <si>
    <t>28.HetGLS</t>
  </si>
  <si>
    <t>sim to show unbiased, but est SE broken; robust SE</t>
  </si>
  <si>
    <t>correct the DGP, run OLS, this is GLS</t>
  </si>
  <si>
    <t>answer student questions</t>
  </si>
  <si>
    <t>Orthogonal Regression</t>
  </si>
  <si>
    <t>-1 or +1</t>
  </si>
  <si>
    <t>Reg results table</t>
  </si>
  <si>
    <t>Use SAMPLE, sim</t>
  </si>
  <si>
    <t>Optional Reading</t>
  </si>
  <si>
    <t>Study</t>
  </si>
  <si>
    <t>In Excel file</t>
  </si>
  <si>
    <t>Syllabus.doc, Windows App.doc</t>
  </si>
  <si>
    <t>19.GMUni &amp; 20 prep</t>
  </si>
  <si>
    <t>20.GMBi &amp; 21 prep</t>
  </si>
  <si>
    <t>23.SE for +/- and Confidence Intervals</t>
  </si>
  <si>
    <t>24.Hypothesis Testing</t>
  </si>
  <si>
    <t>Handouts (has HW)</t>
  </si>
  <si>
    <t>Binary Response DGP and LPM</t>
  </si>
  <si>
    <r>
      <t xml:space="preserve">Text: Barreto, </t>
    </r>
    <r>
      <rPr>
        <i/>
        <sz val="9"/>
        <rFont val="Geneva"/>
      </rPr>
      <t>Regression with Microdata and Microsoft Excel</t>
    </r>
  </si>
  <si>
    <t>dub.sh/regcourse</t>
  </si>
  <si>
    <t>FINAL PAPER PRESENTATION Max 5 minute w/ slides</t>
  </si>
  <si>
    <t>Zoom video link</t>
  </si>
  <si>
    <t>https://depauw-edu.zoom.us/rec/share/ICNzqLZgGiAc_ag012Lyg9kh-OpC2vtVSRgFZV1GMbboLGXf9s6eWOat08c2zzSx.WK0Lk7pnjIGZE7QX?startTime=1769440479000</t>
  </si>
  <si>
    <t>Passcode: E+a46@yb</t>
  </si>
  <si>
    <t>Pitbull Guantanamera</t>
  </si>
  <si>
    <t>Irakere Marie Laveaux</t>
  </si>
  <si>
    <t>Viene a pedir mi mano</t>
  </si>
  <si>
    <t>Chan Chan</t>
  </si>
  <si>
    <t>https://www.youtube.com/watch?v=tGbRZ73NvlY</t>
  </si>
  <si>
    <t>https://www.youtube.com/watch?v=o5cELP06Mik&amp;t=2s</t>
  </si>
  <si>
    <t>Telephone Line</t>
  </si>
  <si>
    <t>El Cuarto de Tula video</t>
  </si>
  <si>
    <t>One tin soldier video</t>
  </si>
  <si>
    <t>Let's Stay Together</t>
  </si>
  <si>
    <t>Mi Tierra</t>
  </si>
  <si>
    <t>This Land is Your Land</t>
  </si>
  <si>
    <t>Cuban Elvis</t>
  </si>
  <si>
    <t>Guantanamera</t>
  </si>
  <si>
    <t>Ojala que llueva café</t>
  </si>
  <si>
    <t>Body Electric</t>
  </si>
  <si>
    <t>Picabo Street skiing video</t>
  </si>
  <si>
    <t>rocky raccoon</t>
  </si>
  <si>
    <t>Fire on High</t>
  </si>
  <si>
    <t>City of New Orleans</t>
  </si>
  <si>
    <t>Heart of Gold</t>
  </si>
  <si>
    <t>Band of Gold</t>
  </si>
  <si>
    <t>https://www.youtube.com/watch?v=jhuDgUnqXUY&amp;t=16s</t>
  </si>
  <si>
    <t>Lido Shuffle</t>
  </si>
  <si>
    <t>Marvin</t>
  </si>
  <si>
    <t>https://www.youtube.com/watch?v=FrkEDe6Ljqs</t>
  </si>
  <si>
    <t>Black or White</t>
  </si>
  <si>
    <t>https://www.youtube.com/watch?v=F2AitTPI5U0</t>
  </si>
  <si>
    <t>Ode to Joy</t>
  </si>
  <si>
    <t>https://www.youtube.com/watch?v=kbJcQYVtZMo&amp;t=2s</t>
  </si>
  <si>
    <t>Oye Como Va</t>
  </si>
  <si>
    <t>Light My Fire</t>
  </si>
  <si>
    <t>Get Ready</t>
  </si>
  <si>
    <t>https://www.youtube.com/watch?v=A3Ix4hKSnxQ</t>
  </si>
  <si>
    <t>Everyday People</t>
  </si>
  <si>
    <t>Fast Car Grammys</t>
  </si>
  <si>
    <t>https://www.youtube.com/watch?v=pLfH9HSUyf4</t>
  </si>
  <si>
    <t>Texas Hold Em</t>
  </si>
  <si>
    <t>https://www.youtube.com/watch?v=ycwtqqhV6UE</t>
  </si>
  <si>
    <t>Shaft</t>
  </si>
  <si>
    <t>https://www.youtube.com/watch?v=ZVj8FgMMAK8&amp;t=96s</t>
  </si>
  <si>
    <t>Long and Winding Road</t>
  </si>
  <si>
    <t>Southern Cross</t>
  </si>
  <si>
    <t>1.JourneyBegins</t>
  </si>
  <si>
    <t>2.CMF &amp; up to p.4 of 3.Mechanics</t>
  </si>
  <si>
    <t>2.CPSIncEducPreClass,xlsx</t>
  </si>
  <si>
    <t>https://depauw-edu.zoom.us/rec/share/ZmQPaxZLWJcUqKWyTjAmZrkhPtanB96Dz7X6hXwETAeUprHzO7fcp052eLiNBARs.W6ahgehJLXD39ai1?startTime=1769613455000</t>
  </si>
  <si>
    <t>Passcode: 7y$ae?C$</t>
  </si>
  <si>
    <t>3.Mechanics &amp; up to p. 4.Interpret</t>
  </si>
  <si>
    <t>Passcode: d&amp;9eKD5K</t>
  </si>
  <si>
    <t>https://depauw-edu.zoom.us/rec/share/7Ye7b5N7JoPTF0ltSlnbW_566rJDV26uMjVKKgAHzBjINVD3hnynEsugkM4s18UK.7jq4XKs7ucDlkNZ0</t>
  </si>
  <si>
    <t>https://depauw-edu.zoom.us/rec/share/dFkNbZT_V0gQz2yHDSYiOdTXOo4n-8tEvALIBUhr91LFHXZeluUZZdgAgUXZYTl5.PFaUCOYz3YJfnTT6?startTime=1770045404000</t>
  </si>
  <si>
    <t>Passcode: q4E.A&amp;x+</t>
  </si>
  <si>
    <t>4.Interpret, 4.Heights.xlsx questions</t>
  </si>
  <si>
    <t>Passcode: u#5A3a0d</t>
  </si>
  <si>
    <t>https://depauw-edu.zoom.us/rec/share/UNxi8SSaPQs-t2m2v_77yf8malSdp7W_gb95AYMGXwqgazgJA1S2Nqu2YYG3RXPh.5lct_YlgfzJzuzsr</t>
  </si>
  <si>
    <t>1.CPSIncEducPreClass.xlsx</t>
  </si>
  <si>
    <t>Class Prep Notes</t>
  </si>
  <si>
    <t>Use a student's file, save as to public folder as 3.Mechanics.xlsx
3.minSSRPreClass in folder just to see what to do</t>
  </si>
  <si>
    <t>Use Google sheets, multreg and IncEducDrive</t>
  </si>
  <si>
    <t>Fake X1, X2, Y data and fake IncWAGE = f(EducYears, Drive)</t>
  </si>
  <si>
    <t>Passcode: 5+7sAi^8</t>
  </si>
  <si>
    <t>https://depauw-edu.zoom.us/rec/share/5y24hfnP5N07-CNif4tm_846v_OrMwZqJaiGvppeFQIvUfLgtu_PJtLERKmDrdqN.TWlB_lwqUZtZfaCM</t>
  </si>
  <si>
    <t>Passcode: 5v5rwF+H</t>
  </si>
  <si>
    <t>https://depauw-edu.zoom.us/rec/share/ljCjP20z71Be4EpuJsm8Z9oC1T6f3WFxT124rXH_-cC_yvMNrz6ZSLAf75-YvXGb.EhOaidxzb3Z3lVoQ</t>
  </si>
  <si>
    <t>8.Experience</t>
  </si>
  <si>
    <t>PV theory is HW, focus on linear &amp; LN reg</t>
  </si>
  <si>
    <t>8.ExperiencePreClass.xlsx, play Angrist in class, CMF, interpret Exp</t>
  </si>
  <si>
    <t>Passcode: $C9TsL6V</t>
  </si>
  <si>
    <t>https://depauw-edu.zoom.us/rec/share/8Ma03tb3qOC9X03KZ17FYqKAz42Jq1JklNBBzrMbhC7IZA-CA5irvVA6kClhJBkc.L4L-5dPo2Fzoaj0C</t>
  </si>
  <si>
    <t>La Bamba</t>
  </si>
  <si>
    <t>Discuss OVB, Add Exp and Exp^2</t>
  </si>
  <si>
    <t>Discuss M and F, leave race/ethnicity for HW</t>
  </si>
  <si>
    <t>Passcode: D0WUc@y#</t>
  </si>
  <si>
    <t>https://depauw-edu.zoom.us/rec/share/XKeJyvUQqDwX_QOhT5GXLN3-kxlo8bg8kovnU5RiGcXok5aNCuZdj8RloVGeBH66.beRU6aLw7nUkbqTe</t>
  </si>
  <si>
    <t>Passcode: 4G01d%Hz</t>
  </si>
  <si>
    <t>https://depauw-edu.zoom.us/rec/share/lhHiHPHjmcnsDk4e1ASO8Ixsl8TI6dr2aroAu9UqHX4RaOIon1N9dfHp7597Q7VI.k11-6KZaV0KX79Om</t>
  </si>
  <si>
    <t>Blank file, completed version 10.PollingPostClass.xls</t>
  </si>
  <si>
    <t>Passcode: CY6ZNa=W</t>
  </si>
  <si>
    <t>https://depauw-edu.zoom.us/rec/share/YgPD9M5qq2ZoYC1bbprhEdyy3yMi8x5V7X19fFkJlalCd04Ba-6DF1Tw5ZnxbBAg.l2hOVlM_9gV7FShe</t>
  </si>
  <si>
    <t>Passcode: YeujE.2!</t>
  </si>
  <si>
    <t>https://depauw-edu.zoom.us/rec/share/AU7eTe3HQqv1iAdWmsxCZB7fSwof20Q5IuZkWI5G1RanjhIBGq9VrEHyUO3YUg_v.k5oPE5UBY3BgeKtT</t>
  </si>
  <si>
    <t>Passcode: .yFH*5md</t>
  </si>
  <si>
    <t>https://depauw-edu.zoom.us/rec/share/sDDRC8AUYOc-kkzteg9ZGK-5LrR7m4HfYGg-yiGzDeS95MNfeucsqZQsQ2q7DL5O.YpS6cvuZUunJBFWM</t>
  </si>
  <si>
    <t>NONE (Take a break)</t>
  </si>
  <si>
    <t>15.Measurement Error</t>
  </si>
  <si>
    <t>Night Fever video</t>
  </si>
  <si>
    <t>https://www.youtube.com/watch?v=e6GB04zeDeQ</t>
  </si>
  <si>
    <t>Passcode: 3K5y!N+J</t>
  </si>
  <si>
    <t>https://depauw-edu.zoom.us/rec/share/GZ3RC2GBUnESLea6xgPKb4ajz9iCR_LkY65C7i4pKkEh5_HZSmbrkkN3jDAxAH8.sAKs06uISDRGwqa0</t>
  </si>
  <si>
    <t>Use 15.MeasureErrorPreClass</t>
  </si>
  <si>
    <t>15.MeasureError.doc</t>
  </si>
  <si>
    <t>16.MeasureErrorReg.doc</t>
  </si>
  <si>
    <t>Use 16.MeasureErrorRegPreClass</t>
  </si>
  <si>
    <t>Passcode: rFp58&amp;O6</t>
  </si>
  <si>
    <t>https://depauw-edu.zoom.us/rec/share/0QFyjU17rgqnlj5vOEt17WY-MUKPq4s-RjiO1LflEFJPqIsVG0Q7UjRRUMXeDj6Q.Uks4lVawUOXYbB-a</t>
  </si>
  <si>
    <t>zoom</t>
  </si>
  <si>
    <t>exam</t>
  </si>
  <si>
    <t>Use a student's file (or 17.PreClass), save as to public folder</t>
  </si>
  <si>
    <t>Passcode: @kb9LBU1</t>
  </si>
  <si>
    <t>https://depauw-edu.zoom.us/rec/share/_yzHNg6uuyMOfzGwk8b8XTh1xXfq58l7TvS1txQxSQaAn23KipO2avwZxggUBAps.KfYB3pSeNRY_GLxh</t>
  </si>
  <si>
    <t>Passcode: 9Z&amp;YqBjI</t>
  </si>
  <si>
    <t>https://depauw-edu.zoom.us/rec/share/v03uwOsjOYdyo1RApKPxG5iIlCdBLT4UDwOkFRIq-KHxmPsq13H8AwIxKz9SIikG.HA3AZsjLWRmzmZZg</t>
  </si>
  <si>
    <t>19.GMUni.doc</t>
  </si>
  <si>
    <t xml:space="preserve">from scratch, but there is a 19.GMUniPreClass.xlsx </t>
  </si>
  <si>
    <t>Passcode: !Zc=K=4M</t>
  </si>
  <si>
    <t>https://depauw-edu.zoom.us/rec/share/SYknr1IBFGa0EqNMNIwvRdroEY3aIfp8gOkOUH8pJ-0CK_z73z3g0fqjXZrB1BaL.jduBwlEaCJFusQBn</t>
  </si>
  <si>
    <t>build univariate, demo GM via sims</t>
  </si>
  <si>
    <t>Use 20.GMRegPreClass.xls</t>
  </si>
  <si>
    <t>Passcode: 8*gKp6uQ</t>
  </si>
  <si>
    <t>https://depauw-edu.zoom.us/rec/share/pjmrMHQPyFkFnkcDZ7InshMJxXpa-DSiK4f_KSikl1ZkmX-WiDgPbRLEDtqrCsr5.u0POW2AwSDpyblmx</t>
  </si>
  <si>
    <t>Use 21.LMSPreClass, put. bas in public, only import, VBA done in CI</t>
  </si>
  <si>
    <t>Grade their Excel files in front of class, go fast</t>
  </si>
  <si>
    <t>Passcode: cDX%rx1p</t>
  </si>
  <si>
    <t>https://depauw-edu.zoom.us/rec/share/uxfne8g5W8Iz48l9w14vDzOOknTC_9UrMp2YGeC16WwmrqScIE1mwLzQ-d1nPz3V.WlxMe0_ginZ5YeQy</t>
  </si>
  <si>
    <t>air media would not play it after I adjusted the volume</t>
  </si>
  <si>
    <t>22 all of it</t>
  </si>
  <si>
    <t>22 Workshop, No handout</t>
  </si>
  <si>
    <t>Passcode: @y%rjcQ3</t>
  </si>
  <si>
    <t>https://depauw-edu.zoom.us/rec/share/swTXwX6tE5UKs7rGpDgQ_2RCgb-x8w_weNGtKShYCd4Gpn2A-8YqccG5wzqZ8LzY.YY2k84vkU11CX_Ex</t>
  </si>
  <si>
    <t>Use 23.SEPreClass</t>
  </si>
  <si>
    <t>Kodachrome</t>
  </si>
  <si>
    <t>68% CI with n=5 and n=100, understand Est SE and t dist</t>
  </si>
  <si>
    <t>Passcode: @Y4EXkLS</t>
  </si>
  <si>
    <t>https://depauw-edu.zoom.us/rec/share/nILnRyItwbyejBoQMIHi2hAitX7Zsbpvbdb1Iw6RUA29W0b0DCoTrU5AY4uWPCoK.IDlCFfRuTn6EilL2</t>
  </si>
  <si>
    <t>Passcode: WU6%xb5C</t>
  </si>
  <si>
    <t>https://depauw-edu.zoom.us/rec/share/UrKtTqDha8DDW9TuykHsnUmi1P3CW40d9YH6lQSfh9wMf3-1i0Di6AFijplgnCcZ.tm4ajmcVZnCmCzDb</t>
  </si>
  <si>
    <t>https://depauw-edu.zoom.us/rec/share/QxTeTPnl5XUrbYDk-noM8xTx4mlfG0GIY4nH2alZrAEpFcxG2lueW-iIpEHLxPkb.EoN1Fejzw4jC7vdu</t>
  </si>
  <si>
    <t>Passcode: KwtXV22.</t>
  </si>
  <si>
    <t>https://depauw-edu.zoom.us/rec/share/uer43ydmisN8lTqJl-5jJetrIMm_OKDCI1LLH5mFLTxFw51M0sZgijCcaibcBf__.JKtOtJzShcJkxXPr</t>
  </si>
  <si>
    <t>Passcode: 1b4@^yU9</t>
  </si>
  <si>
    <t>https://depauw-edu.zoom.us/rec/share/JMMF_lYAvJrFUlC_q1-DTJEvqiUfaR_KuhPgb_7-_Ot3s8-qK1FJcoXvvdPy81-b.Ha-qjzuLsOqFwWO1</t>
  </si>
  <si>
    <t>Passcode: r%k2Fr!*</t>
  </si>
  <si>
    <t>Il Paradisi</t>
  </si>
  <si>
    <t>Use 27.HetPreClass</t>
  </si>
  <si>
    <t>Use saved 27.Het.xlsx from last class, save as 28.GLS.xlsx</t>
  </si>
  <si>
    <t>Use saved 25.JointHypo.xlsx from last class, save as 26.WholeModelF.xlsx</t>
  </si>
  <si>
    <t>build rival slope estimators, demo GM via sims</t>
  </si>
  <si>
    <t>Solver woes and LMS v OLS with iid v dirty data</t>
  </si>
  <si>
    <t>ask AI one question about CI</t>
  </si>
  <si>
    <r>
      <t xml:space="preserve">To Do for </t>
    </r>
    <r>
      <rPr>
        <sz val="11"/>
        <color indexed="10"/>
        <rFont val="Calibri"/>
        <family val="2"/>
      </rPr>
      <t>NEXT</t>
    </r>
    <r>
      <rPr>
        <sz val="11"/>
        <color indexed="8"/>
        <rFont val="Calibri"/>
        <family val="2"/>
      </rPr>
      <t xml:space="preserve"> class</t>
    </r>
  </si>
  <si>
    <t>25.JointHypoTestIntro</t>
  </si>
  <si>
    <t>27.Het &amp; Robust SE</t>
  </si>
  <si>
    <t>28.HetGLS &amp; Bring 2 questions</t>
  </si>
  <si>
    <t>https://depauw-edu.zoom.us/rec/share/9-_B05Wfg5iICKT0ZxFWSAM6P2E4N0Ec1AN0VGoQ4nMe7kMZwVIUdty3E6UyZTi6.ftV2Usj6l-NuZvut</t>
  </si>
  <si>
    <t>Passcode: 0F?D%&amp;ZK</t>
  </si>
  <si>
    <t>https://depauw-edu.zoom.us/rec/share/AVh7A6aYKWR4Twi_UZ7dfc4Qut6e6booRgzW0By3SoO4kv3D-pWpmULAXQgHF8Zo.bCoeqna39S-CU3R_</t>
  </si>
  <si>
    <t>Passcode: ?QC8zKx+</t>
  </si>
  <si>
    <t>https://depauw-edu.zoom.us/rec/share/tGrSNEymFO3ogf-oei11z8V8ddulOT5sPjSfary5hYx5nMwgr-M5QuasS9E4X6g_.nlfEFXpg0Dsf5MfF</t>
  </si>
  <si>
    <t>Passcode: SD8WJqr?</t>
  </si>
  <si>
    <t>https://depauw-edu.zoom.us/rec/share/OWscfjfqFkaoZKYHlRyKMnBlgtpO4KE1EOeRIciE3hmSt9oY0uN9uIkVO6uGHZY._X2ozq_jMlAXvrmi</t>
  </si>
  <si>
    <t>Passcode: 2+ypYvp8</t>
  </si>
  <si>
    <t>https://depauw-edu.zoom.us/rec/share/e_tnBj9TPBpDpJwk-M58NZFEMtq_gGstEBvRMubEQ2hXFlTkV2Ews-c_58hF0N3j.YViq6NRYyDEZQgFR</t>
  </si>
  <si>
    <t>Passcode: Jdq%n7Cx</t>
  </si>
  <si>
    <t>Imagine</t>
  </si>
  <si>
    <t>30.Partial Xs</t>
  </si>
  <si>
    <t>36.Matriculation.xlsx</t>
  </si>
  <si>
    <t>37.EqualUnequalProb.xlsm</t>
  </si>
  <si>
    <t>student presentations</t>
  </si>
  <si>
    <t>https://depauw-edu.zoom.us/rec/share/LrwL07QRW0DCiQMSJT5SRdssv4ErCniVigzjECF2d8M_D4SxtHmUtl2R5s4jG2gv.DNPgpryXz8k_cGg6</t>
  </si>
  <si>
    <t>Passcode: bd1^b8dU</t>
  </si>
  <si>
    <t>35.Orthoreg.xlsm</t>
  </si>
  <si>
    <t>https://depauw-edu.zoom.us/rec/share/IwJ29UkeOmKYMlhZXAEuajxRM2L7c2IIz4sQtigcf2x0ClN6gcy1j0GZUYMkb3gu.MH7NP4YOVcxQZjqy</t>
  </si>
  <si>
    <t>Passcode: g55@@DW3</t>
  </si>
  <si>
    <t>Jose F anthem</t>
  </si>
  <si>
    <t>https://www.youtube.com/watch?v=aQkY2UFBUb4</t>
  </si>
  <si>
    <t>https://depauw-edu.zoom.us/rec/share/yfj8mnMWkXOUWwFr4LfZTgwOGDhNics2MNMR6Hd_8nLPcwC7_X2tFP7vLIBNsp7X.33YPJqqqXbJVfQRM</t>
  </si>
  <si>
    <t>Passcode: pp@1HK.k</t>
  </si>
  <si>
    <t>SPRING BREAK</t>
  </si>
  <si>
    <t>Unequal Probability of Selection and WLS</t>
  </si>
  <si>
    <t>Song Played before class starts</t>
  </si>
  <si>
    <t>BUSA 305: Regression with Microdata</t>
  </si>
  <si>
    <t>Most classes have a student Word doc handout (see Google drive folder)</t>
  </si>
  <si>
    <t>SPRING 2026 VERSION</t>
  </si>
  <si>
    <t>Print A1:D48 for last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</si>
</sst>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9"/>
      <name val="Geneva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Geneva"/>
    </font>
    <font>
      <sz val="9"/>
      <name val="Geneva"/>
    </font>
    <font>
      <b/>
      <sz val="10"/>
      <name val="Geneva"/>
    </font>
    <font>
      <b/>
      <sz val="14"/>
      <name val="Geneva"/>
    </font>
    <font>
      <sz val="10"/>
      <color indexed="10"/>
      <name val="Geneva"/>
    </font>
    <font>
      <b/>
      <i/>
      <sz val="10"/>
      <name val="Geneva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Geneva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i/>
      <sz val="9"/>
      <name val="Geneva"/>
    </font>
    <font>
      <u/>
      <sz val="9"/>
      <color theme="10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/>
    <xf numFmtId="0" fontId="4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1" xfId="0" applyBorder="1" applyAlignment="1">
      <alignment horizontal="center"/>
    </xf>
    <xf numFmtId="0" fontId="3" fillId="0" borderId="0" xfId="4" applyFont="1" applyBorder="1" applyAlignment="1">
      <alignment horizontal="center"/>
    </xf>
    <xf numFmtId="0" fontId="3" fillId="0" borderId="0" xfId="4" applyFont="1" applyBorder="1"/>
    <xf numFmtId="0" fontId="3" fillId="0" borderId="0" xfId="4" applyFont="1" applyFill="1" applyBorder="1"/>
    <xf numFmtId="0" fontId="5" fillId="0" borderId="0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0" fillId="0" borderId="0" xfId="0" quotePrefix="1"/>
    <xf numFmtId="0" fontId="3" fillId="0" borderId="0" xfId="4" applyFont="1" applyBorder="1" applyAlignment="1">
      <alignment horizontal="left"/>
    </xf>
    <xf numFmtId="0" fontId="6" fillId="0" borderId="0" xfId="4" applyFont="1" applyBorder="1"/>
    <xf numFmtId="0" fontId="12" fillId="0" borderId="1" xfId="4" applyFont="1" applyBorder="1" applyAlignment="1">
      <alignment horizontal="center"/>
    </xf>
    <xf numFmtId="0" fontId="13" fillId="0" borderId="0" xfId="0" applyFont="1" applyAlignment="1">
      <alignment horizontal="center"/>
    </xf>
    <xf numFmtId="16" fontId="0" fillId="0" borderId="0" xfId="0" applyNumberFormat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4" applyFont="1" applyBorder="1" applyAlignment="1">
      <alignment horizontal="center" vertical="center"/>
    </xf>
    <xf numFmtId="0" fontId="14" fillId="0" borderId="0" xfId="4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4" applyFont="1" applyBorder="1" applyAlignment="1">
      <alignment horizontal="left" vertical="center"/>
    </xf>
    <xf numFmtId="16" fontId="15" fillId="0" borderId="0" xfId="0" applyNumberFormat="1" applyFont="1"/>
    <xf numFmtId="0" fontId="15" fillId="0" borderId="0" xfId="0" applyFont="1"/>
    <xf numFmtId="0" fontId="3" fillId="0" borderId="1" xfId="4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8" fillId="0" borderId="0" xfId="6"/>
    <xf numFmtId="0" fontId="3" fillId="0" borderId="0" xfId="4" applyFont="1" applyFill="1" applyBorder="1" applyAlignment="1">
      <alignment horizontal="center"/>
    </xf>
    <xf numFmtId="0" fontId="0" fillId="0" borderId="0" xfId="0" applyAlignment="1">
      <alignment wrapText="1"/>
    </xf>
    <xf numFmtId="0" fontId="18" fillId="0" borderId="0" xfId="6" applyAlignment="1">
      <alignment vertical="center"/>
    </xf>
    <xf numFmtId="0" fontId="3" fillId="0" borderId="0" xfId="4" applyFont="1" applyFill="1" applyBorder="1" applyAlignment="1">
      <alignment horizontal="center"/>
    </xf>
  </cellXfs>
  <cellStyles count="7">
    <cellStyle name="Hyperlink" xfId="6" builtinId="8"/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DailyRecord.xls" xfId="4" xr:uid="{00000000-0005-0000-0000-000004000000}"/>
    <cellStyle name="Percent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pauw-edu.zoom.us/rec/share/lhHiHPHjmcnsDk4e1ASO8Ixsl8TI6dr2aroAu9UqHX4RaOIon1N9dfHp7597Q7VI.k11-6KZaV0KX79Om" TargetMode="External"/><Relationship Id="rId18" Type="http://schemas.openxmlformats.org/officeDocument/2006/relationships/hyperlink" Target="https://depauw-edu.zoom.us/rec/share/0QFyjU17rgqnlj5vOEt17WY-MUKPq4s-RjiO1LflEFJPqIsVG0Q7UjRRUMXeDj6Q.Uks4lVawUOXYbB-a" TargetMode="External"/><Relationship Id="rId26" Type="http://schemas.openxmlformats.org/officeDocument/2006/relationships/hyperlink" Target="https://depauw-edu.zoom.us/rec/share/UrKtTqDha8DDW9TuykHsnUmi1P3CW40d9YH6lQSfh9wMf3-1i0Di6AFijplgnCcZ.tm4ajmcVZnCmCzDb" TargetMode="External"/><Relationship Id="rId39" Type="http://schemas.openxmlformats.org/officeDocument/2006/relationships/hyperlink" Target="https://depauw-edu.zoom.us/rec/share/tGrSNEymFO3ogf-oei11z8V8ddulOT5sPjSfary5hYx5nMwgr-M5QuasS9E4X6g_.nlfEFXpg0Dsf5MfF" TargetMode="External"/><Relationship Id="rId21" Type="http://schemas.openxmlformats.org/officeDocument/2006/relationships/hyperlink" Target="https://depauw-edu.zoom.us/rec/share/SYknr1IBFGa0EqNMNIwvRdroEY3aIfp8gOkOUH8pJ-0CK_z73z3g0fqjXZrB1BaL.jduBwlEaCJFusQBn" TargetMode="External"/><Relationship Id="rId34" Type="http://schemas.openxmlformats.org/officeDocument/2006/relationships/hyperlink" Target="https://www.youtube.com/watch?v=kbJcQYVtZMo&amp;t=2s" TargetMode="External"/><Relationship Id="rId42" Type="http://schemas.openxmlformats.org/officeDocument/2006/relationships/hyperlink" Target="https://depauw-edu.zoom.us/rec/share/LrwL07QRW0DCiQMSJT5SRdssv4ErCniVigzjECF2d8M_D4SxtHmUtl2R5s4jG2gv.DNPgpryXz8k_cGg6" TargetMode="External"/><Relationship Id="rId7" Type="http://schemas.openxmlformats.org/officeDocument/2006/relationships/hyperlink" Target="https://www.youtube.com/watch?v=tGbRZ73NvlY" TargetMode="External"/><Relationship Id="rId2" Type="http://schemas.openxmlformats.org/officeDocument/2006/relationships/hyperlink" Target="https://depauw-edu.zoom.us/rec/share/ICNzqLZgGiAc_ag012Lyg9kh-OpC2vtVSRgFZV1GMbboLGXf9s6eWOat08c2zzSx.WK0Lk7pnjIGZE7QX?startTime=1769440479000" TargetMode="External"/><Relationship Id="rId16" Type="http://schemas.openxmlformats.org/officeDocument/2006/relationships/hyperlink" Target="https://depauw-edu.zoom.us/rec/share/sDDRC8AUYOc-kkzteg9ZGK-5LrR7m4HfYGg-yiGzDeS95MNfeucsqZQsQ2q7DL5O.YpS6cvuZUunJBFWM" TargetMode="External"/><Relationship Id="rId29" Type="http://schemas.openxmlformats.org/officeDocument/2006/relationships/hyperlink" Target="https://depauw-edu.zoom.us/rec/share/uer43ydmisN8lTqJl-5jJetrIMm_OKDCI1LLH5mFLTxFw51M0sZgijCcaibcBf__.JKtOtJzShcJkxXPr" TargetMode="External"/><Relationship Id="rId1" Type="http://schemas.openxmlformats.org/officeDocument/2006/relationships/hyperlink" Target="https://dub.sh/regcourse" TargetMode="External"/><Relationship Id="rId6" Type="http://schemas.openxmlformats.org/officeDocument/2006/relationships/hyperlink" Target="https://depauw-edu.zoom.us/rec/share/UNxi8SSaPQs-t2m2v_77yf8malSdp7W_gb95AYMGXwqgazgJA1S2Nqu2YYG3RXPh.5lct_YlgfzJzuzsr" TargetMode="External"/><Relationship Id="rId11" Type="http://schemas.openxmlformats.org/officeDocument/2006/relationships/hyperlink" Target="https://depauw-edu.zoom.us/rec/share/8Ma03tb3qOC9X03KZ17FYqKAz42Jq1JklNBBzrMbhC7IZA-CA5irvVA6kClhJBkc.L4L-5dPo2Fzoaj0C" TargetMode="External"/><Relationship Id="rId24" Type="http://schemas.openxmlformats.org/officeDocument/2006/relationships/hyperlink" Target="https://depauw-edu.zoom.us/rec/share/swTXwX6tE5UKs7rGpDgQ_2RCgb-x8w_weNGtKShYCd4Gpn2A-8YqccG5wzqZ8LzY.YY2k84vkU11CX_Ex" TargetMode="External"/><Relationship Id="rId32" Type="http://schemas.openxmlformats.org/officeDocument/2006/relationships/hyperlink" Target="https://www.youtube.com/watch?v=FrkEDe6Ljqs" TargetMode="External"/><Relationship Id="rId37" Type="http://schemas.openxmlformats.org/officeDocument/2006/relationships/hyperlink" Target="https://depauw-edu.zoom.us/rec/share/9-_B05Wfg5iICKT0ZxFWSAM6P2E4N0Ec1AN0VGoQ4nMe7kMZwVIUdty3E6UyZTi6.ftV2Usj6l-NuZvut" TargetMode="External"/><Relationship Id="rId40" Type="http://schemas.openxmlformats.org/officeDocument/2006/relationships/hyperlink" Target="https://depauw-edu.zoom.us/rec/share/OWscfjfqFkaoZKYHlRyKMnBlgtpO4KE1EOeRIciE3hmSt9oY0uN9uIkVO6uGHZY._X2ozq_jMlAXvrmi" TargetMode="External"/><Relationship Id="rId45" Type="http://schemas.openxmlformats.org/officeDocument/2006/relationships/hyperlink" Target="https://depauw-edu.zoom.us/rec/share/yfj8mnMWkXOUWwFr4LfZTgwOGDhNics2MNMR6Hd_8nLPcwC7_X2tFP7vLIBNsp7X.33YPJqqqXbJVfQRM" TargetMode="External"/><Relationship Id="rId5" Type="http://schemas.openxmlformats.org/officeDocument/2006/relationships/hyperlink" Target="https://depauw-edu.zoom.us/rec/share/dFkNbZT_V0gQz2yHDSYiOdTXOo4n-8tEvALIBUhr91LFHXZeluUZZdgAgUXZYTl5.PFaUCOYz3YJfnTT6?startTime=1770045404000" TargetMode="External"/><Relationship Id="rId15" Type="http://schemas.openxmlformats.org/officeDocument/2006/relationships/hyperlink" Target="https://depauw-edu.zoom.us/rec/share/AU7eTe3HQqv1iAdWmsxCZB7fSwof20Q5IuZkWI5G1RanjhIBGq9VrEHyUO3YUg_v.k5oPE5UBY3BgeKtT" TargetMode="External"/><Relationship Id="rId23" Type="http://schemas.openxmlformats.org/officeDocument/2006/relationships/hyperlink" Target="https://depauw-edu.zoom.us/rec/share/uxfne8g5W8Iz48l9w14vDzOOknTC_9UrMp2YGeC16WwmrqScIE1mwLzQ-d1nPz3V.WlxMe0_ginZ5YeQy" TargetMode="External"/><Relationship Id="rId28" Type="http://schemas.openxmlformats.org/officeDocument/2006/relationships/hyperlink" Target="https://www.youtube.com/watch?v=A3Ix4hKSnxQ" TargetMode="External"/><Relationship Id="rId36" Type="http://schemas.openxmlformats.org/officeDocument/2006/relationships/hyperlink" Target="https://www.youtube.com/watch?v=ZVj8FgMMAK8&amp;t=96s" TargetMode="External"/><Relationship Id="rId10" Type="http://schemas.openxmlformats.org/officeDocument/2006/relationships/hyperlink" Target="https://depauw-edu.zoom.us/rec/share/ljCjP20z71Be4EpuJsm8Z9oC1T6f3WFxT124rXH_-cC_yvMNrz6ZSLAf75-YvXGb.EhOaidxzb3Z3lVoQ" TargetMode="External"/><Relationship Id="rId19" Type="http://schemas.openxmlformats.org/officeDocument/2006/relationships/hyperlink" Target="https://depauw-edu.zoom.us/rec/share/_yzHNg6uuyMOfzGwk8b8XTh1xXfq58l7TvS1txQxSQaAn23KipO2avwZxggUBAps.KfYB3pSeNRY_GLxh" TargetMode="External"/><Relationship Id="rId31" Type="http://schemas.openxmlformats.org/officeDocument/2006/relationships/hyperlink" Target="https://www.youtube.com/watch?v=jhuDgUnqXUY&amp;t=16s" TargetMode="External"/><Relationship Id="rId44" Type="http://schemas.openxmlformats.org/officeDocument/2006/relationships/hyperlink" Target="https://www.youtube.com/watch?v=aQkY2UFBUb4" TargetMode="External"/><Relationship Id="rId4" Type="http://schemas.openxmlformats.org/officeDocument/2006/relationships/hyperlink" Target="https://depauw-edu.zoom.us/rec/share/7Ye7b5N7JoPTF0ltSlnbW_566rJDV26uMjVKKgAHzBjINVD3hnynEsugkM4s18UK.7jq4XKs7ucDlkNZ0" TargetMode="External"/><Relationship Id="rId9" Type="http://schemas.openxmlformats.org/officeDocument/2006/relationships/hyperlink" Target="https://depauw-edu.zoom.us/rec/share/5y24hfnP5N07-CNif4tm_846v_OrMwZqJaiGvppeFQIvUfLgtu_PJtLERKmDrdqN.TWlB_lwqUZtZfaCM" TargetMode="External"/><Relationship Id="rId14" Type="http://schemas.openxmlformats.org/officeDocument/2006/relationships/hyperlink" Target="https://depauw-edu.zoom.us/rec/share/YgPD9M5qq2ZoYC1bbprhEdyy3yMi8x5V7X19fFkJlalCd04Ba-6DF1Tw5ZnxbBAg.l2hOVlM_9gV7FShe" TargetMode="External"/><Relationship Id="rId22" Type="http://schemas.openxmlformats.org/officeDocument/2006/relationships/hyperlink" Target="https://depauw-edu.zoom.us/rec/share/pjmrMHQPyFkFnkcDZ7InshMJxXpa-DSiK4f_KSikl1ZkmX-WiDgPbRLEDtqrCsr5.u0POW2AwSDpyblmx" TargetMode="External"/><Relationship Id="rId27" Type="http://schemas.openxmlformats.org/officeDocument/2006/relationships/hyperlink" Target="https://depauw-edu.zoom.us/rec/share/QxTeTPnl5XUrbYDk-noM8xTx4mlfG0GIY4nH2alZrAEpFcxG2lueW-iIpEHLxPkb.EoN1Fejzw4jC7vdu" TargetMode="External"/><Relationship Id="rId30" Type="http://schemas.openxmlformats.org/officeDocument/2006/relationships/hyperlink" Target="https://depauw-edu.zoom.us/rec/share/JMMF_lYAvJrFUlC_q1-DTJEvqiUfaR_KuhPgb_7-_Ot3s8-qK1FJcoXvvdPy81-b.Ha-qjzuLsOqFwWO1" TargetMode="External"/><Relationship Id="rId35" Type="http://schemas.openxmlformats.org/officeDocument/2006/relationships/hyperlink" Target="https://www.youtube.com/watch?v=ycwtqqhV6UE" TargetMode="External"/><Relationship Id="rId43" Type="http://schemas.openxmlformats.org/officeDocument/2006/relationships/hyperlink" Target="https://depauw-edu.zoom.us/rec/share/IwJ29UkeOmKYMlhZXAEuajxRM2L7c2IIz4sQtigcf2x0ClN6gcy1j0GZUYMkb3gu.MH7NP4YOVcxQZjqy" TargetMode="External"/><Relationship Id="rId8" Type="http://schemas.openxmlformats.org/officeDocument/2006/relationships/hyperlink" Target="https://www.youtube.com/watch?v=pLfH9HSUyf4" TargetMode="External"/><Relationship Id="rId3" Type="http://schemas.openxmlformats.org/officeDocument/2006/relationships/hyperlink" Target="https://depauw-edu.zoom.us/rec/share/ZmQPaxZLWJcUqKWyTjAmZrkhPtanB96Dz7X6hXwETAeUprHzO7fcp052eLiNBARs.W6ahgehJLXD39ai1?startTime=1769613455000" TargetMode="External"/><Relationship Id="rId12" Type="http://schemas.openxmlformats.org/officeDocument/2006/relationships/hyperlink" Target="https://depauw-edu.zoom.us/rec/share/XKeJyvUQqDwX_QOhT5GXLN3-kxlo8bg8kovnU5RiGcXok5aNCuZdj8RloVGeBH66.beRU6aLw7nUkbqTe" TargetMode="External"/><Relationship Id="rId17" Type="http://schemas.openxmlformats.org/officeDocument/2006/relationships/hyperlink" Target="https://depauw-edu.zoom.us/rec/share/GZ3RC2GBUnESLea6xgPKb4ajz9iCR_LkY65C7i4pKkEh5_HZSmbrkkN3jDAxAH8.sAKs06uISDRGwqa0" TargetMode="External"/><Relationship Id="rId25" Type="http://schemas.openxmlformats.org/officeDocument/2006/relationships/hyperlink" Target="https://depauw-edu.zoom.us/rec/share/nILnRyItwbyejBoQMIHi2hAitX7Zsbpvbdb1Iw6RUA29W0b0DCoTrU5AY4uWPCoK.IDlCFfRuTn6EilL2" TargetMode="External"/><Relationship Id="rId33" Type="http://schemas.openxmlformats.org/officeDocument/2006/relationships/hyperlink" Target="https://www.youtube.com/watch?v=F2AitTPI5U0" TargetMode="External"/><Relationship Id="rId38" Type="http://schemas.openxmlformats.org/officeDocument/2006/relationships/hyperlink" Target="https://depauw-edu.zoom.us/rec/share/AVh7A6aYKWR4Twi_UZ7dfc4Qut6e6booRgzW0By3SoO4kv3D-pWpmULAXQgHF8Zo.bCoeqna39S-CU3R_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depauw-edu.zoom.us/rec/share/v03uwOsjOYdyo1RApKPxG5iIlCdBLT4UDwOkFRIq-KHxmPsq13H8AwIxKz9SIikG.HA3AZsjLWRmzmZZg" TargetMode="External"/><Relationship Id="rId41" Type="http://schemas.openxmlformats.org/officeDocument/2006/relationships/hyperlink" Target="https://depauw-edu.zoom.us/rec/share/e_tnBj9TPBpDpJwk-M58NZFEMtq_gGstEBvRMubEQ2hXFlTkV2Ews-c_58hF0N3j.YViq6NRYyDEZQg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R59"/>
  <sheetViews>
    <sheetView tabSelected="1" zoomScale="120" zoomScaleNormal="120" workbookViewId="0">
      <pane ySplit="4" topLeftCell="A5" activePane="bottomLeft" state="frozen"/>
      <selection pane="bottomLeft" activeCell="F1" sqref="F1"/>
    </sheetView>
  </sheetViews>
  <sheetFormatPr defaultRowHeight="11.4"/>
  <cols>
    <col min="3" max="3" width="8.625" customWidth="1"/>
    <col min="4" max="4" width="55.875" bestFit="1" customWidth="1"/>
    <col min="5" max="5" width="59" customWidth="1"/>
    <col min="6" max="6" width="27" customWidth="1"/>
    <col min="7" max="7" width="27.75" customWidth="1"/>
    <col min="8" max="8" width="62.875" customWidth="1"/>
    <col min="9" max="9" width="11.75" customWidth="1"/>
  </cols>
  <sheetData>
    <row r="1" spans="1:18" ht="17.399999999999999">
      <c r="A1" s="11" t="s">
        <v>308</v>
      </c>
      <c r="C1" s="4"/>
      <c r="D1" s="5"/>
      <c r="E1" s="1" t="s">
        <v>310</v>
      </c>
    </row>
    <row r="2" spans="1:18" ht="13.2">
      <c r="A2" t="s">
        <v>131</v>
      </c>
      <c r="C2" s="1"/>
      <c r="D2" s="1"/>
      <c r="E2" s="4"/>
    </row>
    <row r="3" spans="1:18">
      <c r="A3" s="24" t="s">
        <v>132</v>
      </c>
      <c r="C3" s="1"/>
      <c r="H3" s="1" t="s">
        <v>309</v>
      </c>
    </row>
    <row r="4" spans="1:18" ht="16.2" thickBot="1">
      <c r="A4" s="12" t="s">
        <v>6</v>
      </c>
      <c r="B4" s="12" t="s">
        <v>9</v>
      </c>
      <c r="C4" s="8" t="s">
        <v>7</v>
      </c>
      <c r="D4" s="8" t="s">
        <v>3</v>
      </c>
      <c r="E4" s="22" t="s">
        <v>12</v>
      </c>
      <c r="F4" s="23" t="s">
        <v>277</v>
      </c>
      <c r="G4" s="23" t="s">
        <v>129</v>
      </c>
      <c r="H4" s="22" t="s">
        <v>194</v>
      </c>
      <c r="I4" s="28" t="s">
        <v>134</v>
      </c>
      <c r="J4" s="28"/>
      <c r="L4" t="s">
        <v>307</v>
      </c>
    </row>
    <row r="5" spans="1:18" ht="15.6">
      <c r="A5" s="2">
        <v>46048</v>
      </c>
      <c r="B5" s="13">
        <v>1</v>
      </c>
      <c r="C5" s="4" t="str">
        <f t="shared" ref="C5:C25" si="0">TEXT(A5,"ddd")</f>
        <v>Mon</v>
      </c>
      <c r="D5" s="10" t="s">
        <v>103</v>
      </c>
      <c r="E5" t="s">
        <v>47</v>
      </c>
      <c r="F5" t="s">
        <v>180</v>
      </c>
      <c r="G5" t="s">
        <v>124</v>
      </c>
      <c r="H5" t="s">
        <v>193</v>
      </c>
      <c r="I5" s="24" t="s">
        <v>135</v>
      </c>
      <c r="J5" t="s">
        <v>136</v>
      </c>
      <c r="L5" t="s">
        <v>233</v>
      </c>
    </row>
    <row r="6" spans="1:18" ht="15.6">
      <c r="A6" s="2">
        <f>A5+2</f>
        <v>46050</v>
      </c>
      <c r="B6" s="13">
        <v>2</v>
      </c>
      <c r="C6" s="4" t="str">
        <f t="shared" si="0"/>
        <v>Wed</v>
      </c>
      <c r="D6" s="6" t="s">
        <v>13</v>
      </c>
      <c r="E6" t="s">
        <v>14</v>
      </c>
      <c r="F6" t="s">
        <v>181</v>
      </c>
      <c r="G6" t="s">
        <v>48</v>
      </c>
      <c r="H6" t="s">
        <v>182</v>
      </c>
      <c r="I6" s="24" t="s">
        <v>183</v>
      </c>
      <c r="J6" t="s">
        <v>184</v>
      </c>
      <c r="L6" t="s">
        <v>137</v>
      </c>
    </row>
    <row r="7" spans="1:18" ht="24">
      <c r="A7" s="2">
        <f>A6+2</f>
        <v>46052</v>
      </c>
      <c r="B7" s="13">
        <v>3</v>
      </c>
      <c r="C7" s="4" t="str">
        <f t="shared" si="0"/>
        <v>Fri</v>
      </c>
      <c r="D7" s="5" t="s">
        <v>15</v>
      </c>
      <c r="E7" t="s">
        <v>16</v>
      </c>
      <c r="F7" t="s">
        <v>185</v>
      </c>
      <c r="G7" t="s">
        <v>49</v>
      </c>
      <c r="H7" s="26" t="s">
        <v>195</v>
      </c>
      <c r="I7" s="24" t="s">
        <v>187</v>
      </c>
      <c r="J7" t="s">
        <v>186</v>
      </c>
      <c r="L7" t="s">
        <v>138</v>
      </c>
    </row>
    <row r="8" spans="1:18" ht="15.6">
      <c r="A8" s="2">
        <f>A5+7</f>
        <v>46055</v>
      </c>
      <c r="B8" s="13">
        <v>4</v>
      </c>
      <c r="C8" s="4" t="str">
        <f t="shared" si="0"/>
        <v>Mon</v>
      </c>
      <c r="D8" s="5" t="s">
        <v>17</v>
      </c>
      <c r="E8" t="s">
        <v>18</v>
      </c>
      <c r="F8" t="s">
        <v>190</v>
      </c>
      <c r="G8" t="s">
        <v>50</v>
      </c>
      <c r="H8" t="s">
        <v>51</v>
      </c>
      <c r="I8" s="24" t="s">
        <v>188</v>
      </c>
      <c r="J8" t="s">
        <v>189</v>
      </c>
      <c r="L8" t="s">
        <v>139</v>
      </c>
    </row>
    <row r="9" spans="1:18" ht="15.6">
      <c r="A9" s="2">
        <f t="shared" ref="A9:A15" si="1">A6+7</f>
        <v>46057</v>
      </c>
      <c r="B9" s="13">
        <v>5</v>
      </c>
      <c r="C9" s="4" t="str">
        <f t="shared" si="0"/>
        <v>Wed</v>
      </c>
      <c r="D9" s="5" t="s">
        <v>19</v>
      </c>
      <c r="E9" t="s">
        <v>20</v>
      </c>
      <c r="F9" t="s">
        <v>52</v>
      </c>
      <c r="G9" t="s">
        <v>53</v>
      </c>
      <c r="H9" t="s">
        <v>54</v>
      </c>
      <c r="I9" s="24" t="s">
        <v>192</v>
      </c>
      <c r="J9" t="s">
        <v>191</v>
      </c>
      <c r="L9" t="s">
        <v>140</v>
      </c>
      <c r="M9" s="24" t="s">
        <v>141</v>
      </c>
      <c r="R9" t="s">
        <v>142</v>
      </c>
    </row>
    <row r="10" spans="1:18" ht="15.6">
      <c r="A10" s="2">
        <f t="shared" si="1"/>
        <v>46059</v>
      </c>
      <c r="B10" s="13">
        <v>6</v>
      </c>
      <c r="C10" s="4" t="str">
        <f t="shared" si="0"/>
        <v>Fri</v>
      </c>
      <c r="D10" s="6" t="s">
        <v>55</v>
      </c>
      <c r="E10" t="s">
        <v>197</v>
      </c>
      <c r="F10" t="s">
        <v>56</v>
      </c>
      <c r="G10" t="s">
        <v>57</v>
      </c>
      <c r="H10" t="s">
        <v>196</v>
      </c>
      <c r="I10" s="24" t="s">
        <v>199</v>
      </c>
      <c r="J10" t="s">
        <v>198</v>
      </c>
      <c r="L10" t="s">
        <v>172</v>
      </c>
      <c r="M10" s="24" t="s">
        <v>173</v>
      </c>
    </row>
    <row r="11" spans="1:18" ht="15.6">
      <c r="A11" s="2">
        <f t="shared" si="1"/>
        <v>46062</v>
      </c>
      <c r="B11" s="13">
        <v>7</v>
      </c>
      <c r="C11" s="4" t="str">
        <f t="shared" si="0"/>
        <v>Mon</v>
      </c>
      <c r="D11" s="6" t="s">
        <v>58</v>
      </c>
      <c r="E11" s="5" t="s">
        <v>59</v>
      </c>
      <c r="F11" t="s">
        <v>60</v>
      </c>
      <c r="G11" t="s">
        <v>61</v>
      </c>
      <c r="H11" t="s">
        <v>203</v>
      </c>
      <c r="I11" s="24" t="s">
        <v>201</v>
      </c>
      <c r="J11" t="s">
        <v>200</v>
      </c>
      <c r="L11" t="s">
        <v>146</v>
      </c>
    </row>
    <row r="12" spans="1:18" ht="15.6">
      <c r="A12" s="2">
        <f t="shared" si="1"/>
        <v>46064</v>
      </c>
      <c r="B12" s="13">
        <v>8</v>
      </c>
      <c r="C12" s="4" t="str">
        <f t="shared" si="0"/>
        <v>Wed</v>
      </c>
      <c r="D12" s="5" t="s">
        <v>62</v>
      </c>
      <c r="E12" t="s">
        <v>208</v>
      </c>
      <c r="F12" t="s">
        <v>202</v>
      </c>
      <c r="G12" t="s">
        <v>63</v>
      </c>
      <c r="H12" t="s">
        <v>204</v>
      </c>
      <c r="I12" s="24" t="s">
        <v>206</v>
      </c>
      <c r="J12" t="s">
        <v>205</v>
      </c>
      <c r="L12" t="s">
        <v>150</v>
      </c>
    </row>
    <row r="13" spans="1:18" ht="15.6">
      <c r="A13" s="2">
        <f t="shared" si="1"/>
        <v>46066</v>
      </c>
      <c r="B13" s="13">
        <v>9</v>
      </c>
      <c r="C13" s="4" t="str">
        <f t="shared" si="0"/>
        <v>Fri</v>
      </c>
      <c r="D13" s="6" t="s">
        <v>64</v>
      </c>
      <c r="E13" t="s">
        <v>209</v>
      </c>
      <c r="F13" t="s">
        <v>65</v>
      </c>
      <c r="G13" t="s">
        <v>66</v>
      </c>
      <c r="H13" t="s">
        <v>67</v>
      </c>
      <c r="I13" s="24" t="s">
        <v>211</v>
      </c>
      <c r="J13" t="s">
        <v>210</v>
      </c>
      <c r="L13" t="s">
        <v>207</v>
      </c>
    </row>
    <row r="14" spans="1:18" ht="15.6">
      <c r="A14" s="2">
        <f t="shared" si="1"/>
        <v>46069</v>
      </c>
      <c r="B14" s="13">
        <v>10</v>
      </c>
      <c r="C14" s="4" t="str">
        <f t="shared" si="0"/>
        <v>Mon</v>
      </c>
      <c r="D14" s="5" t="s">
        <v>21</v>
      </c>
      <c r="E14" t="s">
        <v>68</v>
      </c>
      <c r="F14" t="s">
        <v>69</v>
      </c>
      <c r="G14" t="s">
        <v>70</v>
      </c>
      <c r="H14" t="s">
        <v>71</v>
      </c>
      <c r="I14" s="24" t="s">
        <v>213</v>
      </c>
      <c r="J14" t="s">
        <v>212</v>
      </c>
      <c r="L14" t="s">
        <v>148</v>
      </c>
    </row>
    <row r="15" spans="1:18" ht="15.6">
      <c r="A15" s="2">
        <f t="shared" si="1"/>
        <v>46071</v>
      </c>
      <c r="B15" s="13">
        <v>11</v>
      </c>
      <c r="C15" s="4" t="str">
        <f t="shared" si="0"/>
        <v>Wed</v>
      </c>
      <c r="D15" s="5" t="s">
        <v>72</v>
      </c>
      <c r="E15" t="s">
        <v>22</v>
      </c>
      <c r="F15" t="s">
        <v>73</v>
      </c>
      <c r="G15" t="s">
        <v>74</v>
      </c>
      <c r="H15" t="s">
        <v>214</v>
      </c>
      <c r="I15" s="24" t="s">
        <v>216</v>
      </c>
      <c r="J15" t="s">
        <v>215</v>
      </c>
      <c r="L15" t="s">
        <v>144</v>
      </c>
    </row>
    <row r="16" spans="1:18" ht="15.6">
      <c r="A16" s="2">
        <f>A15+2</f>
        <v>46073</v>
      </c>
      <c r="B16" s="13">
        <v>12</v>
      </c>
      <c r="C16" s="4" t="str">
        <f t="shared" si="0"/>
        <v>Fri</v>
      </c>
      <c r="D16" s="5" t="s">
        <v>23</v>
      </c>
      <c r="E16" t="s">
        <v>24</v>
      </c>
      <c r="F16" t="s">
        <v>75</v>
      </c>
      <c r="G16" t="s">
        <v>76</v>
      </c>
      <c r="H16" t="s">
        <v>77</v>
      </c>
      <c r="I16" s="24" t="s">
        <v>218</v>
      </c>
      <c r="J16" t="s">
        <v>217</v>
      </c>
      <c r="L16" t="s">
        <v>147</v>
      </c>
    </row>
    <row r="17" spans="1:13" ht="15.6">
      <c r="A17" s="2">
        <f>A16+3</f>
        <v>46076</v>
      </c>
      <c r="B17" s="13">
        <v>13</v>
      </c>
      <c r="C17" s="4" t="str">
        <f t="shared" si="0"/>
        <v>Mon</v>
      </c>
      <c r="D17" s="6" t="s">
        <v>78</v>
      </c>
      <c r="E17" t="s">
        <v>38</v>
      </c>
      <c r="F17" t="s">
        <v>79</v>
      </c>
      <c r="G17" t="s">
        <v>80</v>
      </c>
      <c r="I17" s="24" t="s">
        <v>220</v>
      </c>
      <c r="J17" t="s">
        <v>219</v>
      </c>
      <c r="L17" t="s">
        <v>149</v>
      </c>
    </row>
    <row r="18" spans="1:13" ht="15.6">
      <c r="A18" s="2">
        <f>A17+2</f>
        <v>46078</v>
      </c>
      <c r="B18" s="13">
        <v>14</v>
      </c>
      <c r="C18" s="4" t="str">
        <f t="shared" si="0"/>
        <v>Wed</v>
      </c>
      <c r="D18" s="7" t="s">
        <v>1</v>
      </c>
      <c r="F18" s="6" t="s">
        <v>221</v>
      </c>
      <c r="G18" s="6"/>
      <c r="L18" t="s">
        <v>234</v>
      </c>
    </row>
    <row r="19" spans="1:13" ht="15.6">
      <c r="A19" s="2">
        <f>A18+2</f>
        <v>46080</v>
      </c>
      <c r="B19" s="13">
        <v>15</v>
      </c>
      <c r="C19" s="4" t="str">
        <f t="shared" si="0"/>
        <v>Fri</v>
      </c>
      <c r="D19" s="6" t="s">
        <v>81</v>
      </c>
      <c r="E19" t="s">
        <v>82</v>
      </c>
      <c r="F19" t="s">
        <v>222</v>
      </c>
      <c r="G19" t="s">
        <v>228</v>
      </c>
      <c r="H19" t="s">
        <v>227</v>
      </c>
      <c r="I19" s="24" t="s">
        <v>226</v>
      </c>
      <c r="J19" t="s">
        <v>225</v>
      </c>
      <c r="L19" t="s">
        <v>223</v>
      </c>
      <c r="M19" t="s">
        <v>224</v>
      </c>
    </row>
    <row r="20" spans="1:13" ht="15.6">
      <c r="A20" s="2">
        <f>A17+7</f>
        <v>46083</v>
      </c>
      <c r="B20" s="13">
        <v>16</v>
      </c>
      <c r="C20" s="4" t="str">
        <f t="shared" si="0"/>
        <v>Mon</v>
      </c>
      <c r="D20" s="5" t="s">
        <v>25</v>
      </c>
      <c r="E20" t="s">
        <v>83</v>
      </c>
      <c r="F20" t="s">
        <v>84</v>
      </c>
      <c r="G20" t="s">
        <v>229</v>
      </c>
      <c r="H20" t="s">
        <v>230</v>
      </c>
      <c r="I20" s="24" t="s">
        <v>232</v>
      </c>
      <c r="J20" t="s">
        <v>231</v>
      </c>
      <c r="L20" t="s">
        <v>233</v>
      </c>
    </row>
    <row r="21" spans="1:13" ht="15.6">
      <c r="A21" s="2">
        <f>A18+7</f>
        <v>46085</v>
      </c>
      <c r="B21" s="13">
        <v>17</v>
      </c>
      <c r="C21" s="4" t="str">
        <f t="shared" si="0"/>
        <v>Wed</v>
      </c>
      <c r="D21" s="6" t="s">
        <v>85</v>
      </c>
      <c r="E21" t="s">
        <v>86</v>
      </c>
      <c r="F21" t="s">
        <v>87</v>
      </c>
      <c r="G21" t="s">
        <v>88</v>
      </c>
      <c r="H21" t="s">
        <v>235</v>
      </c>
      <c r="I21" s="24" t="s">
        <v>237</v>
      </c>
      <c r="J21" t="s">
        <v>236</v>
      </c>
      <c r="L21" t="s">
        <v>152</v>
      </c>
    </row>
    <row r="22" spans="1:13" ht="15.6">
      <c r="A22" s="2">
        <f>A21+2</f>
        <v>46087</v>
      </c>
      <c r="B22" s="13">
        <v>18</v>
      </c>
      <c r="C22" s="4" t="str">
        <f t="shared" si="0"/>
        <v>Fri</v>
      </c>
      <c r="D22" s="5" t="s">
        <v>26</v>
      </c>
      <c r="E22" t="s">
        <v>89</v>
      </c>
      <c r="F22" t="s">
        <v>90</v>
      </c>
      <c r="G22" t="s">
        <v>91</v>
      </c>
      <c r="H22" t="s">
        <v>92</v>
      </c>
      <c r="I22" s="24" t="s">
        <v>239</v>
      </c>
      <c r="J22" t="s">
        <v>238</v>
      </c>
      <c r="L22" t="s">
        <v>153</v>
      </c>
    </row>
    <row r="23" spans="1:13" ht="15.6">
      <c r="A23" s="2">
        <f>A22+3</f>
        <v>46090</v>
      </c>
      <c r="B23" s="13">
        <v>19</v>
      </c>
      <c r="C23" s="4" t="str">
        <f t="shared" si="0"/>
        <v>Mon</v>
      </c>
      <c r="D23" s="5" t="s">
        <v>27</v>
      </c>
      <c r="E23" t="s">
        <v>244</v>
      </c>
      <c r="F23" t="s">
        <v>125</v>
      </c>
      <c r="G23" t="s">
        <v>240</v>
      </c>
      <c r="H23" t="s">
        <v>241</v>
      </c>
      <c r="I23" s="24" t="s">
        <v>243</v>
      </c>
      <c r="J23" t="s">
        <v>242</v>
      </c>
      <c r="L23" t="s">
        <v>151</v>
      </c>
    </row>
    <row r="24" spans="1:13" ht="15.6">
      <c r="A24" s="2">
        <f>A23+2</f>
        <v>46092</v>
      </c>
      <c r="B24" s="13">
        <v>20</v>
      </c>
      <c r="C24" s="4" t="str">
        <f t="shared" si="0"/>
        <v>Wed</v>
      </c>
      <c r="D24" s="5" t="s">
        <v>28</v>
      </c>
      <c r="E24" t="s">
        <v>274</v>
      </c>
      <c r="F24" t="s">
        <v>126</v>
      </c>
      <c r="G24" t="s">
        <v>105</v>
      </c>
      <c r="H24" t="s">
        <v>245</v>
      </c>
      <c r="I24" s="24" t="s">
        <v>247</v>
      </c>
      <c r="J24" t="s">
        <v>246</v>
      </c>
    </row>
    <row r="25" spans="1:13" ht="15.6">
      <c r="A25" s="2">
        <f>A24+2</f>
        <v>46094</v>
      </c>
      <c r="B25" s="13">
        <v>21</v>
      </c>
      <c r="C25" s="4" t="str">
        <f t="shared" si="0"/>
        <v>Fri</v>
      </c>
      <c r="D25" s="6" t="s">
        <v>29</v>
      </c>
      <c r="E25" t="s">
        <v>275</v>
      </c>
      <c r="F25" t="s">
        <v>253</v>
      </c>
      <c r="G25" t="s">
        <v>104</v>
      </c>
      <c r="H25" t="s">
        <v>248</v>
      </c>
      <c r="I25" s="24" t="s">
        <v>251</v>
      </c>
      <c r="J25" t="s">
        <v>250</v>
      </c>
      <c r="L25" t="s">
        <v>252</v>
      </c>
    </row>
    <row r="26" spans="1:13" ht="15.6">
      <c r="A26" s="2">
        <f>A25+3</f>
        <v>46097</v>
      </c>
      <c r="B26" s="13">
        <v>22</v>
      </c>
      <c r="C26" s="4" t="str">
        <f t="shared" ref="C26:C31" si="2">TEXT(A26,"ddd")</f>
        <v>Mon</v>
      </c>
      <c r="D26" s="5" t="s">
        <v>30</v>
      </c>
      <c r="E26" s="5" t="s">
        <v>106</v>
      </c>
      <c r="F26" t="s">
        <v>276</v>
      </c>
      <c r="G26" t="s">
        <v>254</v>
      </c>
      <c r="H26" t="s">
        <v>249</v>
      </c>
      <c r="I26" s="24" t="s">
        <v>256</v>
      </c>
      <c r="J26" t="s">
        <v>255</v>
      </c>
      <c r="L26" t="s">
        <v>161</v>
      </c>
      <c r="M26" s="24" t="s">
        <v>162</v>
      </c>
    </row>
    <row r="27" spans="1:13" ht="15.6">
      <c r="A27" s="2">
        <f>A26+2</f>
        <v>46099</v>
      </c>
      <c r="B27" s="13">
        <v>23</v>
      </c>
      <c r="C27" s="25" t="str">
        <f t="shared" si="2"/>
        <v>Wed</v>
      </c>
      <c r="D27" s="6" t="s">
        <v>31</v>
      </c>
      <c r="E27" s="5" t="s">
        <v>259</v>
      </c>
      <c r="F27" t="s">
        <v>127</v>
      </c>
      <c r="G27" t="s">
        <v>93</v>
      </c>
      <c r="H27" t="s">
        <v>257</v>
      </c>
      <c r="I27" s="24" t="s">
        <v>261</v>
      </c>
      <c r="J27" t="s">
        <v>260</v>
      </c>
      <c r="L27" t="s">
        <v>258</v>
      </c>
    </row>
    <row r="28" spans="1:13" ht="15.6">
      <c r="A28" s="2">
        <f>A27+2</f>
        <v>46101</v>
      </c>
      <c r="B28" s="13">
        <v>24</v>
      </c>
      <c r="C28" s="4" t="str">
        <f t="shared" si="2"/>
        <v>Fri</v>
      </c>
      <c r="D28" s="5" t="s">
        <v>43</v>
      </c>
      <c r="E28" t="s">
        <v>94</v>
      </c>
      <c r="F28" t="s">
        <v>128</v>
      </c>
      <c r="G28" t="s">
        <v>95</v>
      </c>
      <c r="H28" t="s">
        <v>111</v>
      </c>
      <c r="I28" s="24" t="s">
        <v>263</v>
      </c>
      <c r="J28" t="s">
        <v>262</v>
      </c>
      <c r="L28" t="s">
        <v>143</v>
      </c>
      <c r="M28" s="24"/>
    </row>
    <row r="29" spans="1:13" ht="15.6">
      <c r="A29" s="2">
        <f>A28+3</f>
        <v>46104</v>
      </c>
      <c r="B29" s="13"/>
      <c r="C29" s="4" t="str">
        <f t="shared" si="2"/>
        <v>Mon</v>
      </c>
      <c r="D29" s="5" t="s">
        <v>305</v>
      </c>
    </row>
    <row r="30" spans="1:13" ht="15.6">
      <c r="A30" s="2">
        <f>A29+2</f>
        <v>46106</v>
      </c>
      <c r="B30" s="13"/>
      <c r="C30" s="4" t="str">
        <f t="shared" si="2"/>
        <v>Wed</v>
      </c>
      <c r="D30" s="5" t="s">
        <v>305</v>
      </c>
    </row>
    <row r="31" spans="1:13" ht="15.6">
      <c r="A31" s="2">
        <f>A30+2</f>
        <v>46108</v>
      </c>
      <c r="B31" s="13"/>
      <c r="C31" s="4" t="str">
        <f t="shared" si="2"/>
        <v>Fri</v>
      </c>
      <c r="D31" s="5" t="s">
        <v>305</v>
      </c>
    </row>
    <row r="32" spans="1:13" ht="15.6">
      <c r="A32" s="2">
        <f>A31+3</f>
        <v>46111</v>
      </c>
      <c r="B32" s="13">
        <v>25</v>
      </c>
      <c r="C32" s="4" t="str">
        <f t="shared" ref="C32:C41" si="3">TEXT(A32,"ddd")</f>
        <v>Mon</v>
      </c>
      <c r="D32" s="5" t="s">
        <v>32</v>
      </c>
      <c r="E32" t="s">
        <v>96</v>
      </c>
      <c r="F32" t="s">
        <v>107</v>
      </c>
      <c r="G32" t="s">
        <v>278</v>
      </c>
      <c r="H32" t="s">
        <v>110</v>
      </c>
      <c r="I32" s="27" t="s">
        <v>264</v>
      </c>
      <c r="J32" t="s">
        <v>265</v>
      </c>
    </row>
    <row r="33" spans="1:13" ht="15.6">
      <c r="A33" s="2">
        <f>A32+2</f>
        <v>46113</v>
      </c>
      <c r="B33" s="13">
        <v>26</v>
      </c>
      <c r="C33" s="4" t="str">
        <f t="shared" si="3"/>
        <v>Wed</v>
      </c>
      <c r="D33" s="5" t="s">
        <v>33</v>
      </c>
      <c r="E33" t="s">
        <v>108</v>
      </c>
      <c r="F33" t="s">
        <v>109</v>
      </c>
      <c r="G33" t="s">
        <v>109</v>
      </c>
      <c r="H33" t="s">
        <v>273</v>
      </c>
      <c r="I33" s="27" t="s">
        <v>266</v>
      </c>
      <c r="J33" t="s">
        <v>267</v>
      </c>
      <c r="L33" t="s">
        <v>169</v>
      </c>
      <c r="M33" s="24" t="s">
        <v>170</v>
      </c>
    </row>
    <row r="34" spans="1:13" ht="15.6">
      <c r="A34" s="2">
        <f>A33+2</f>
        <v>46115</v>
      </c>
      <c r="B34" s="13">
        <v>27</v>
      </c>
      <c r="C34" s="4" t="str">
        <f t="shared" si="3"/>
        <v>Fri</v>
      </c>
      <c r="D34" s="5" t="s">
        <v>45</v>
      </c>
      <c r="E34" t="s">
        <v>114</v>
      </c>
      <c r="F34" t="s">
        <v>279</v>
      </c>
      <c r="G34" t="s">
        <v>112</v>
      </c>
      <c r="H34" t="s">
        <v>271</v>
      </c>
      <c r="I34" s="27" t="s">
        <v>268</v>
      </c>
      <c r="J34" t="s">
        <v>269</v>
      </c>
      <c r="L34" t="s">
        <v>270</v>
      </c>
      <c r="M34" s="24"/>
    </row>
    <row r="35" spans="1:13" ht="15.6">
      <c r="A35" s="2">
        <f>A34+3</f>
        <v>46118</v>
      </c>
      <c r="B35" s="13">
        <v>28</v>
      </c>
      <c r="C35" s="4" t="str">
        <f t="shared" si="3"/>
        <v>Mon</v>
      </c>
      <c r="D35" s="5" t="s">
        <v>46</v>
      </c>
      <c r="E35" t="s">
        <v>115</v>
      </c>
      <c r="F35" t="s">
        <v>280</v>
      </c>
      <c r="G35" t="s">
        <v>113</v>
      </c>
      <c r="H35" t="s">
        <v>272</v>
      </c>
      <c r="I35" s="27" t="s">
        <v>281</v>
      </c>
      <c r="J35" t="s">
        <v>282</v>
      </c>
      <c r="L35" t="s">
        <v>158</v>
      </c>
      <c r="M35" s="24" t="s">
        <v>159</v>
      </c>
    </row>
    <row r="36" spans="1:13" ht="15.6">
      <c r="A36" s="2">
        <f>A35+2</f>
        <v>46120</v>
      </c>
      <c r="B36" s="13">
        <v>29</v>
      </c>
      <c r="C36" s="4" t="str">
        <f t="shared" si="3"/>
        <v>Wed</v>
      </c>
      <c r="D36" s="6" t="s">
        <v>97</v>
      </c>
      <c r="E36" t="s">
        <v>116</v>
      </c>
      <c r="F36" t="s">
        <v>122</v>
      </c>
      <c r="G36" t="s">
        <v>80</v>
      </c>
      <c r="I36" s="27" t="s">
        <v>283</v>
      </c>
      <c r="J36" t="s">
        <v>284</v>
      </c>
      <c r="L36" t="s">
        <v>163</v>
      </c>
      <c r="M36" s="24" t="s">
        <v>164</v>
      </c>
    </row>
    <row r="37" spans="1:13" ht="16.2" thickBot="1">
      <c r="A37" s="2">
        <f>A36+2</f>
        <v>46122</v>
      </c>
      <c r="B37" s="13">
        <v>30</v>
      </c>
      <c r="C37" s="4" t="str">
        <f t="shared" si="3"/>
        <v>Fri</v>
      </c>
      <c r="D37" s="7" t="s">
        <v>2</v>
      </c>
      <c r="E37" s="3" t="s">
        <v>41</v>
      </c>
      <c r="F37" s="3" t="s">
        <v>0</v>
      </c>
      <c r="G37" s="3" t="s">
        <v>121</v>
      </c>
      <c r="L37" t="s">
        <v>234</v>
      </c>
    </row>
    <row r="38" spans="1:13" ht="15.6">
      <c r="A38" s="2">
        <f>A37+3</f>
        <v>46125</v>
      </c>
      <c r="B38" s="13">
        <v>31</v>
      </c>
      <c r="C38" s="4" t="str">
        <f t="shared" si="3"/>
        <v>Mon</v>
      </c>
      <c r="D38" s="6" t="s">
        <v>10</v>
      </c>
      <c r="E38" s="6" t="s">
        <v>98</v>
      </c>
      <c r="F38" s="9" t="s">
        <v>118</v>
      </c>
      <c r="G38" s="9"/>
      <c r="H38" t="s">
        <v>35</v>
      </c>
      <c r="I38" s="27" t="s">
        <v>285</v>
      </c>
      <c r="J38" t="s">
        <v>286</v>
      </c>
      <c r="L38" t="s">
        <v>155</v>
      </c>
    </row>
    <row r="39" spans="1:13" ht="15.6">
      <c r="A39" s="2">
        <f>A38+2</f>
        <v>46127</v>
      </c>
      <c r="B39" s="13">
        <v>32</v>
      </c>
      <c r="C39" s="4" t="str">
        <f t="shared" si="3"/>
        <v>Wed</v>
      </c>
      <c r="D39" s="6" t="s">
        <v>11</v>
      </c>
      <c r="H39" t="s">
        <v>36</v>
      </c>
      <c r="I39" s="27" t="s">
        <v>287</v>
      </c>
      <c r="J39" t="s">
        <v>288</v>
      </c>
      <c r="L39" t="s">
        <v>157</v>
      </c>
    </row>
    <row r="40" spans="1:13" ht="15.6">
      <c r="A40" s="2">
        <f>A39+2</f>
        <v>46129</v>
      </c>
      <c r="B40" s="13">
        <v>33</v>
      </c>
      <c r="C40" s="4" t="str">
        <f t="shared" si="3"/>
        <v>Fri</v>
      </c>
      <c r="D40" s="5" t="s">
        <v>34</v>
      </c>
      <c r="G40" t="s">
        <v>292</v>
      </c>
      <c r="H40" t="s">
        <v>120</v>
      </c>
      <c r="I40" s="27" t="s">
        <v>289</v>
      </c>
      <c r="J40" t="s">
        <v>290</v>
      </c>
      <c r="L40" t="s">
        <v>291</v>
      </c>
    </row>
    <row r="41" spans="1:13" ht="15.6">
      <c r="A41" s="2">
        <f>A40+3</f>
        <v>46132</v>
      </c>
      <c r="B41" s="13">
        <v>34</v>
      </c>
      <c r="C41" s="4" t="str">
        <f t="shared" si="3"/>
        <v>Mon</v>
      </c>
      <c r="D41" s="5" t="s">
        <v>39</v>
      </c>
      <c r="E41" s="10" t="s">
        <v>100</v>
      </c>
      <c r="F41" s="9" t="s">
        <v>99</v>
      </c>
      <c r="L41" t="s">
        <v>295</v>
      </c>
    </row>
    <row r="42" spans="1:13" ht="15.6">
      <c r="A42" s="2">
        <f>A41+2</f>
        <v>46134</v>
      </c>
      <c r="B42" s="13">
        <v>35</v>
      </c>
      <c r="C42" s="4" t="str">
        <f t="shared" ref="C42:C48" si="4">TEXT(A42,"ddd")</f>
        <v>Wed</v>
      </c>
      <c r="D42" s="6" t="s">
        <v>117</v>
      </c>
      <c r="E42" s="5" t="s">
        <v>42</v>
      </c>
      <c r="F42" s="9" t="s">
        <v>118</v>
      </c>
      <c r="G42" t="s">
        <v>123</v>
      </c>
      <c r="H42" s="9" t="s">
        <v>298</v>
      </c>
      <c r="I42" s="27" t="s">
        <v>296</v>
      </c>
      <c r="J42" t="s">
        <v>297</v>
      </c>
      <c r="L42" t="s">
        <v>167</v>
      </c>
    </row>
    <row r="43" spans="1:13" ht="15.6">
      <c r="A43" s="2">
        <f>A42+2</f>
        <v>46136</v>
      </c>
      <c r="B43" s="13">
        <v>36</v>
      </c>
      <c r="C43" s="4" t="str">
        <f t="shared" si="4"/>
        <v>Fri</v>
      </c>
      <c r="D43" s="5" t="s">
        <v>130</v>
      </c>
      <c r="G43" t="s">
        <v>123</v>
      </c>
      <c r="H43" t="s">
        <v>293</v>
      </c>
      <c r="I43" s="27" t="s">
        <v>299</v>
      </c>
      <c r="J43" t="s">
        <v>300</v>
      </c>
      <c r="L43" t="s">
        <v>171</v>
      </c>
    </row>
    <row r="44" spans="1:13" ht="15.6">
      <c r="A44" s="2">
        <f>A43+3</f>
        <v>46139</v>
      </c>
      <c r="B44" s="13">
        <v>37</v>
      </c>
      <c r="C44" s="4" t="str">
        <f t="shared" si="4"/>
        <v>Mon</v>
      </c>
      <c r="D44" s="6" t="s">
        <v>306</v>
      </c>
      <c r="E44" t="s">
        <v>119</v>
      </c>
      <c r="F44" s="9" t="s">
        <v>118</v>
      </c>
      <c r="G44" t="s">
        <v>123</v>
      </c>
      <c r="H44" t="s">
        <v>294</v>
      </c>
      <c r="I44" s="27" t="s">
        <v>303</v>
      </c>
      <c r="J44" t="s">
        <v>304</v>
      </c>
      <c r="L44" t="s">
        <v>301</v>
      </c>
      <c r="M44" s="24" t="s">
        <v>302</v>
      </c>
    </row>
    <row r="45" spans="1:13" ht="15.6">
      <c r="A45" s="2">
        <f>A44+2</f>
        <v>46141</v>
      </c>
      <c r="B45" s="13">
        <v>38</v>
      </c>
      <c r="C45" s="4" t="str">
        <f t="shared" si="4"/>
        <v>Wed</v>
      </c>
      <c r="D45" s="5" t="s">
        <v>40</v>
      </c>
      <c r="E45" s="5" t="s">
        <v>101</v>
      </c>
      <c r="F45" s="9" t="s">
        <v>99</v>
      </c>
      <c r="L45" t="s">
        <v>165</v>
      </c>
      <c r="M45" s="24" t="s">
        <v>166</v>
      </c>
    </row>
    <row r="46" spans="1:13" ht="15.6">
      <c r="A46" s="14">
        <f>A45+2</f>
        <v>46143</v>
      </c>
      <c r="B46" s="13">
        <v>39</v>
      </c>
      <c r="C46" s="16" t="str">
        <f t="shared" si="4"/>
        <v>Fri</v>
      </c>
      <c r="D46" s="5" t="s">
        <v>5</v>
      </c>
      <c r="E46" s="5" t="s">
        <v>5</v>
      </c>
      <c r="F46" s="9" t="s">
        <v>118</v>
      </c>
      <c r="G46" s="9"/>
    </row>
    <row r="47" spans="1:13" ht="15.6">
      <c r="A47" s="2">
        <f>A46+3</f>
        <v>46146</v>
      </c>
      <c r="B47" s="15">
        <v>40</v>
      </c>
      <c r="C47" s="4" t="str">
        <f t="shared" si="4"/>
        <v>Mon</v>
      </c>
      <c r="D47" s="19" t="s">
        <v>102</v>
      </c>
      <c r="E47" s="17" t="s">
        <v>133</v>
      </c>
      <c r="F47" s="18" t="s">
        <v>4</v>
      </c>
      <c r="G47" s="18"/>
    </row>
    <row r="48" spans="1:13" ht="15.6">
      <c r="A48" s="2">
        <f>A47+2</f>
        <v>46148</v>
      </c>
      <c r="B48" s="13">
        <v>41</v>
      </c>
      <c r="C48" s="4" t="str">
        <f t="shared" si="4"/>
        <v>Wed</v>
      </c>
      <c r="D48" s="6" t="s">
        <v>37</v>
      </c>
      <c r="E48" s="5" t="s">
        <v>44</v>
      </c>
      <c r="F48" t="s">
        <v>8</v>
      </c>
      <c r="G48" t="s">
        <v>311</v>
      </c>
      <c r="L48" t="s">
        <v>178</v>
      </c>
    </row>
    <row r="51" spans="1:13" ht="14.4">
      <c r="A51" s="20"/>
      <c r="C51" s="21"/>
    </row>
    <row r="52" spans="1:13" ht="14.4">
      <c r="B52" s="21"/>
      <c r="L52" t="s">
        <v>160</v>
      </c>
    </row>
    <row r="53" spans="1:13">
      <c r="L53" t="s">
        <v>174</v>
      </c>
      <c r="M53" s="24" t="s">
        <v>175</v>
      </c>
    </row>
    <row r="54" spans="1:13">
      <c r="L54" t="s">
        <v>168</v>
      </c>
    </row>
    <row r="55" spans="1:13">
      <c r="L55" t="s">
        <v>176</v>
      </c>
      <c r="M55" s="24" t="s">
        <v>177</v>
      </c>
    </row>
    <row r="56" spans="1:13">
      <c r="L56" t="s">
        <v>179</v>
      </c>
    </row>
    <row r="57" spans="1:13">
      <c r="L57" t="s">
        <v>154</v>
      </c>
    </row>
    <row r="58" spans="1:13">
      <c r="L58" t="s">
        <v>145</v>
      </c>
    </row>
    <row r="59" spans="1:13">
      <c r="L59" t="s">
        <v>156</v>
      </c>
    </row>
  </sheetData>
  <mergeCells count="1">
    <mergeCell ref="I4:J4"/>
  </mergeCells>
  <hyperlinks>
    <hyperlink ref="A3" r:id="rId1" xr:uid="{3D3B7898-05FD-48F6-8F07-D32B74DA5A67}"/>
    <hyperlink ref="I5" r:id="rId2" xr:uid="{947B4D59-7636-4588-BD18-2C678B4AF492}"/>
    <hyperlink ref="I6" r:id="rId3" xr:uid="{0E5531E3-F596-46FD-8247-3290306DDEF2}"/>
    <hyperlink ref="I7" r:id="rId4" xr:uid="{510B6558-56CD-44A2-805A-B2C7949FF8EF}"/>
    <hyperlink ref="I8" r:id="rId5" xr:uid="{8F594743-93A9-4665-95A9-83C99405E5BD}"/>
    <hyperlink ref="I9" r:id="rId6" xr:uid="{22CA0FDC-A63D-456F-81DA-74E9A89775EE}"/>
    <hyperlink ref="M9" r:id="rId7" xr:uid="{57DEC4EF-2D00-4E8D-9A77-300474F2F32A}"/>
    <hyperlink ref="M10" r:id="rId8" xr:uid="{FEFB366C-46B5-4FCF-B20A-B66880D0CBB0}"/>
    <hyperlink ref="I10" r:id="rId9" xr:uid="{81DBC2F5-857F-40BD-8614-8B92975625C0}"/>
    <hyperlink ref="I11" r:id="rId10" xr:uid="{9DB554BE-F1E7-4A10-8857-6AD7EE61C4F9}"/>
    <hyperlink ref="I12" r:id="rId11" xr:uid="{A0BE5509-76CC-47EB-8F87-CE802986609C}"/>
    <hyperlink ref="I13" r:id="rId12" xr:uid="{17E1DBA7-1282-4B9C-AE93-3520A2CC1B70}"/>
    <hyperlink ref="I14" r:id="rId13" xr:uid="{B2838FD0-63F6-4E7A-BA3A-876EF84E7420}"/>
    <hyperlink ref="I15" r:id="rId14" xr:uid="{284CEF5E-CA76-42E6-ABDD-B2562CA15DD5}"/>
    <hyperlink ref="I16" r:id="rId15" xr:uid="{740748D9-3731-4D44-90E6-D444B3DFFCDA}"/>
    <hyperlink ref="I17" r:id="rId16" xr:uid="{66888497-A698-4D0D-A51C-3F6EF823B9DB}"/>
    <hyperlink ref="I19" r:id="rId17" xr:uid="{4AC4DC58-D110-49BA-AE55-2D0EC7976090}"/>
    <hyperlink ref="I20" r:id="rId18" xr:uid="{A4C4F584-67AC-4B2D-9137-C45F31F04441}"/>
    <hyperlink ref="I21" r:id="rId19" xr:uid="{266AF027-98B3-4D9C-8AB8-C8B1B42BAD7B}"/>
    <hyperlink ref="I22" r:id="rId20" xr:uid="{FEC1AA73-808D-4A29-9E5F-50B1A3E7721F}"/>
    <hyperlink ref="I23" r:id="rId21" xr:uid="{8B44EAEB-E310-4371-8C4C-2F58A07E7C87}"/>
    <hyperlink ref="I24" r:id="rId22" xr:uid="{3942BA65-4836-4C7A-95F8-6C4B19B38220}"/>
    <hyperlink ref="I25" r:id="rId23" xr:uid="{EB0A94FC-1253-44E8-A838-2C52B3979496}"/>
    <hyperlink ref="I26" r:id="rId24" xr:uid="{BFEB963A-7643-41BF-9C5D-4A5452BD9A9D}"/>
    <hyperlink ref="I27" r:id="rId25" xr:uid="{F3195E4E-9BDD-4125-BBD6-A00170E588CA}"/>
    <hyperlink ref="I28" r:id="rId26" xr:uid="{A7A55F02-5B29-4375-AB5F-BE0C0B59FFE1}"/>
    <hyperlink ref="I32" r:id="rId27" xr:uid="{7BBB8307-26C1-4A6B-A11B-C046A9E889A3}"/>
    <hyperlink ref="M33" r:id="rId28" xr:uid="{A99321CF-3833-4711-9272-617D4ADACDCC}"/>
    <hyperlink ref="I33" r:id="rId29" xr:uid="{90B349C4-33E9-4C05-A37C-6D393BD1852A}"/>
    <hyperlink ref="I34" r:id="rId30" xr:uid="{B4B1FB19-A42A-409A-B51B-5F25103A0C02}"/>
    <hyperlink ref="M35" r:id="rId31" xr:uid="{4808DC9C-9621-475A-912C-A4349B18342E}"/>
    <hyperlink ref="M26" r:id="rId32" xr:uid="{90B7AFE8-10E2-4E37-B21B-86B368CCBC7D}"/>
    <hyperlink ref="M36" r:id="rId33" xr:uid="{5157CB41-CD23-479F-BF03-7DCA0601E8C4}"/>
    <hyperlink ref="M45" r:id="rId34" xr:uid="{5AEB11BA-66D4-4B88-98BE-7B30D51D6CE2}"/>
    <hyperlink ref="M53" r:id="rId35" xr:uid="{4FB78D27-EA2B-47A6-BF6B-7AA3C15BE02F}"/>
    <hyperlink ref="M55" r:id="rId36" xr:uid="{C679864C-F1BF-40AB-9F12-9EE67A0B581C}"/>
    <hyperlink ref="I35" r:id="rId37" xr:uid="{F2225EC5-E8B7-4715-A3DD-E8C926AFFBE9}"/>
    <hyperlink ref="I36" r:id="rId38" xr:uid="{3191F546-109F-40A5-B0B8-48A63054C6DC}"/>
    <hyperlink ref="I38" r:id="rId39" xr:uid="{7F488FF9-D4C9-4DFD-B169-AAE599D57542}"/>
    <hyperlink ref="I39" r:id="rId40" xr:uid="{5A6D8735-3851-4571-89F6-B6E871265ABD}"/>
    <hyperlink ref="I40" r:id="rId41" xr:uid="{8F6B8108-DD3C-4289-A467-451C85593211}"/>
    <hyperlink ref="I42" r:id="rId42" xr:uid="{3F17C56B-6F35-4988-8883-DE8FFF7E7326}"/>
    <hyperlink ref="I43" r:id="rId43" xr:uid="{636CA437-ACF7-4C88-BDF0-0C4D90586AB3}"/>
    <hyperlink ref="M44" r:id="rId44" xr:uid="{F53A76E4-EA6A-4525-A21C-E969118B049B}"/>
    <hyperlink ref="I44" r:id="rId45" xr:uid="{8D18B240-303A-4DA2-881B-EEB25165E0A3}"/>
  </hyperlinks>
  <pageMargins left="0.7" right="0.7" top="0.75" bottom="0.75" header="0.3" footer="0.3"/>
  <pageSetup scale="91" orientation="portrait" r:id="rId46"/>
  <ignoredErrors>
    <ignoredError sqref="A38 A41 A44 A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DailyRecord</vt:lpstr>
      <vt:lpstr>DailyRecord!Print_Area</vt:lpstr>
    </vt:vector>
  </TitlesOfParts>
  <Company>Wabash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Barreto</dc:creator>
  <cp:lastModifiedBy>Humberto Barreto</cp:lastModifiedBy>
  <cp:lastPrinted>2026-05-20T14:06:16Z</cp:lastPrinted>
  <dcterms:created xsi:type="dcterms:W3CDTF">1999-08-27T17:53:09Z</dcterms:created>
  <dcterms:modified xsi:type="dcterms:W3CDTF">2026-05-20T14:07:50Z</dcterms:modified>
</cp:coreProperties>
</file>