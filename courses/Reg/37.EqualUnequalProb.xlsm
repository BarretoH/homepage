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checkCompatibility="1" defaultThemeVersion="124226"/>
  <mc:AlternateContent xmlns:mc="http://schemas.openxmlformats.org/markup-compatibility/2006">
    <mc:Choice Requires="x15">
      <x15ac:absPath xmlns:x15ac="http://schemas.microsoft.com/office/spreadsheetml/2010/11/ac" url="G:\My Drive\DePauwCoursesTeaching\BUS305\ClassesS26\"/>
    </mc:Choice>
  </mc:AlternateContent>
  <xr:revisionPtr revIDLastSave="0" documentId="13_ncr:1_{B80BFC0F-45DB-43F4-95D2-789C690EA821}" xr6:coauthVersionLast="47" xr6:coauthVersionMax="47" xr10:uidLastSave="{00000000-0000-0000-0000-000000000000}"/>
  <bookViews>
    <workbookView xWindow="-108" yWindow="-108" windowWidth="23256" windowHeight="12456" firstSheet="2" activeTab="2" xr2:uid="{00000000-000D-0000-FFFF-FFFF00000000}"/>
  </bookViews>
  <sheets>
    <sheet name="OneVarMCSim" sheetId="73" state="hidden" r:id="rId1"/>
    <sheet name="TwoVarMCSim" sheetId="74" state="hidden" r:id="rId2"/>
    <sheet name="Intro" sheetId="33" r:id="rId3"/>
    <sheet name="ChatGPT" sheetId="78" state="hidden" r:id="rId4"/>
    <sheet name="DGP" sheetId="34" state="hidden" r:id="rId5"/>
    <sheet name="Doc" sheetId="75" r:id="rId6"/>
    <sheet name="SampleFn" sheetId="72" state="hidden" r:id="rId7"/>
  </sheets>
  <functionGroups builtInGroupCount="19"/>
  <externalReferences>
    <externalReference r:id="rId8"/>
  </externalReferences>
  <definedNames>
    <definedName name="SD">DGP!$B$3</definedName>
    <definedName name="slope">DGP!$B$2</definedName>
    <definedName name="solver_adj" localSheetId="4" hidden="1">DGP!$M$16</definedName>
    <definedName name="solver_cvg" localSheetId="4" hidden="1">0.0001</definedName>
    <definedName name="solver_drv" localSheetId="4" hidden="1">1</definedName>
    <definedName name="solver_est" localSheetId="4" hidden="1">1</definedName>
    <definedName name="solver_itr" localSheetId="4" hidden="1">100</definedName>
    <definedName name="solver_lin" localSheetId="4" hidden="1">2</definedName>
    <definedName name="solver_neg" localSheetId="4" hidden="1">2</definedName>
    <definedName name="solver_num" localSheetId="4" hidden="1">0</definedName>
    <definedName name="solver_nwt" localSheetId="4" hidden="1">1</definedName>
    <definedName name="solver_opt" localSheetId="4" hidden="1">DGP!$M$20</definedName>
    <definedName name="solver_pre" localSheetId="4" hidden="1">0.000001</definedName>
    <definedName name="solver_scl" localSheetId="4" hidden="1">2</definedName>
    <definedName name="solver_sho" localSheetId="4" hidden="1">2</definedName>
    <definedName name="solver_tim" localSheetId="4" hidden="1">100</definedName>
    <definedName name="solver_tol" localSheetId="4" hidden="1">0.05</definedName>
    <definedName name="solver_typ" localSheetId="4" hidden="1">3</definedName>
    <definedName name="solver_val" localSheetId="4" hidden="1">1</definedName>
  </definedNames>
  <calcPr calcId="191029"/>
  <pivotCaches>
    <pivotCache cacheId="30" r:id="rId9"/>
    <pivotCache cacheId="31"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Y21" i="33" l="1"/>
  <c r="Y22" i="33"/>
  <c r="O26" i="33"/>
  <c r="O30" i="33" s="1"/>
  <c r="O28" i="33"/>
  <c r="O31" i="33" s="1"/>
  <c r="N18" i="34"/>
  <c r="N17" i="34"/>
  <c r="N16" i="34"/>
  <c r="N15" i="34"/>
  <c r="N14" i="34"/>
  <c r="N5" i="34"/>
  <c r="N6" i="34"/>
  <c r="N7" i="34"/>
  <c r="N8" i="34"/>
  <c r="N4" i="34"/>
  <c r="M44" i="72"/>
  <c r="G13" i="72"/>
  <c r="X4" i="34"/>
  <c r="Z30" i="34"/>
  <c r="Z26" i="34"/>
  <c r="Z27" i="34"/>
  <c r="Z28" i="34"/>
  <c r="Z29" i="34"/>
  <c r="Z25" i="34"/>
  <c r="I10" i="34"/>
  <c r="I8" i="34"/>
  <c r="BG370" i="34" s="1"/>
  <c r="B7" i="72"/>
  <c r="M24" i="72"/>
  <c r="M28" i="72"/>
  <c r="M31" i="72"/>
  <c r="M29" i="72"/>
  <c r="M30" i="72"/>
  <c r="M41" i="72"/>
  <c r="K2" i="34"/>
  <c r="O2" i="34"/>
  <c r="P2" i="34"/>
  <c r="K3" i="34"/>
  <c r="O3" i="34"/>
  <c r="P3" i="34"/>
  <c r="K4" i="34"/>
  <c r="O4" i="34"/>
  <c r="P4" i="34"/>
  <c r="K5" i="34"/>
  <c r="O5" i="34"/>
  <c r="P5" i="34"/>
  <c r="A6" i="34"/>
  <c r="B6" i="34" s="1"/>
  <c r="K6" i="34"/>
  <c r="O6" i="34"/>
  <c r="P6" i="34"/>
  <c r="K7" i="34"/>
  <c r="O7" i="34"/>
  <c r="P7" i="34"/>
  <c r="K8" i="34"/>
  <c r="O8" i="34"/>
  <c r="P8" i="34"/>
  <c r="K9" i="34"/>
  <c r="O9" i="34"/>
  <c r="P9" i="34"/>
  <c r="K10" i="34"/>
  <c r="O10" i="34"/>
  <c r="P10" i="34"/>
  <c r="Z10" i="34"/>
  <c r="K11" i="34"/>
  <c r="O11" i="34"/>
  <c r="P11" i="34"/>
  <c r="Z11" i="34"/>
  <c r="K12" i="34"/>
  <c r="O12" i="34"/>
  <c r="P12" i="34"/>
  <c r="K13" i="34"/>
  <c r="O13" i="34"/>
  <c r="P13" i="34"/>
  <c r="K14" i="34"/>
  <c r="O14" i="34"/>
  <c r="P14" i="34"/>
  <c r="K15" i="34"/>
  <c r="O15" i="34"/>
  <c r="P15" i="34"/>
  <c r="K16" i="34"/>
  <c r="O16" i="34"/>
  <c r="P16" i="34"/>
  <c r="K17" i="34"/>
  <c r="O17" i="34"/>
  <c r="P17" i="34"/>
  <c r="K18" i="34"/>
  <c r="O18" i="34"/>
  <c r="P18" i="34"/>
  <c r="K19" i="34"/>
  <c r="O19" i="34"/>
  <c r="P19" i="34"/>
  <c r="K20" i="34"/>
  <c r="O20" i="34"/>
  <c r="P20" i="34"/>
  <c r="K21" i="34"/>
  <c r="O21" i="34"/>
  <c r="P21" i="34"/>
  <c r="K22" i="34"/>
  <c r="O22" i="34"/>
  <c r="P22" i="34"/>
  <c r="K23" i="34"/>
  <c r="O23" i="34"/>
  <c r="P23" i="34"/>
  <c r="K24" i="34"/>
  <c r="O24" i="34"/>
  <c r="P24" i="34"/>
  <c r="K25" i="34"/>
  <c r="O25" i="34"/>
  <c r="P25" i="34"/>
  <c r="K26" i="34"/>
  <c r="O26" i="34"/>
  <c r="P26" i="34"/>
  <c r="G27" i="34"/>
  <c r="K27" i="34"/>
  <c r="O27" i="34"/>
  <c r="P27" i="34"/>
  <c r="G28" i="34"/>
  <c r="K28" i="34"/>
  <c r="O28" i="34"/>
  <c r="P28" i="34"/>
  <c r="G29" i="34"/>
  <c r="K29" i="34"/>
  <c r="O29" i="34"/>
  <c r="P29" i="34"/>
  <c r="G30" i="34"/>
  <c r="K30" i="34"/>
  <c r="O30" i="34"/>
  <c r="P30" i="34"/>
  <c r="G31" i="34"/>
  <c r="K31" i="34"/>
  <c r="O31" i="34"/>
  <c r="P31" i="34"/>
  <c r="K32" i="34"/>
  <c r="O32" i="34"/>
  <c r="P32" i="34"/>
  <c r="K33" i="34"/>
  <c r="O33" i="34"/>
  <c r="P33" i="34"/>
  <c r="K34" i="34"/>
  <c r="O34" i="34"/>
  <c r="P34" i="34"/>
  <c r="K35" i="34"/>
  <c r="O35" i="34"/>
  <c r="P35" i="34"/>
  <c r="K36" i="34"/>
  <c r="O36" i="34"/>
  <c r="P36" i="34"/>
  <c r="K37" i="34"/>
  <c r="O37" i="34"/>
  <c r="P37" i="34"/>
  <c r="K38" i="34"/>
  <c r="O38" i="34"/>
  <c r="P38" i="34"/>
  <c r="K39" i="34"/>
  <c r="O39" i="34"/>
  <c r="P39" i="34"/>
  <c r="K40" i="34"/>
  <c r="O40" i="34"/>
  <c r="P40" i="34"/>
  <c r="K41" i="34"/>
  <c r="O41" i="34"/>
  <c r="P41" i="34"/>
  <c r="K42" i="34"/>
  <c r="O42" i="34"/>
  <c r="P42" i="34"/>
  <c r="K43" i="34"/>
  <c r="O43" i="34"/>
  <c r="P43" i="34"/>
  <c r="K44" i="34"/>
  <c r="O44" i="34"/>
  <c r="P44" i="34"/>
  <c r="K45" i="34"/>
  <c r="O45" i="34"/>
  <c r="P45" i="34"/>
  <c r="K46" i="34"/>
  <c r="O46" i="34"/>
  <c r="P46" i="34"/>
  <c r="K47" i="34"/>
  <c r="O47" i="34"/>
  <c r="P47" i="34"/>
  <c r="K48" i="34"/>
  <c r="O48" i="34"/>
  <c r="P48" i="34"/>
  <c r="K49" i="34"/>
  <c r="O49" i="34"/>
  <c r="P49" i="34"/>
  <c r="K50" i="34"/>
  <c r="O50" i="34"/>
  <c r="P50" i="34"/>
  <c r="K51" i="34"/>
  <c r="O51" i="34"/>
  <c r="P51" i="34"/>
  <c r="K52" i="34"/>
  <c r="O52" i="34"/>
  <c r="P52" i="34"/>
  <c r="K53" i="34"/>
  <c r="O53" i="34"/>
  <c r="P53" i="34"/>
  <c r="K54" i="34"/>
  <c r="O54" i="34"/>
  <c r="P54" i="34"/>
  <c r="K55" i="34"/>
  <c r="O55" i="34"/>
  <c r="P55" i="34"/>
  <c r="K56" i="34"/>
  <c r="O56" i="34"/>
  <c r="P56" i="34"/>
  <c r="K57" i="34"/>
  <c r="O57" i="34"/>
  <c r="P57" i="34"/>
  <c r="K58" i="34"/>
  <c r="O58" i="34"/>
  <c r="P58" i="34"/>
  <c r="K59" i="34"/>
  <c r="O59" i="34"/>
  <c r="P59" i="34"/>
  <c r="K60" i="34"/>
  <c r="O60" i="34"/>
  <c r="P60" i="34"/>
  <c r="K61" i="34"/>
  <c r="O61" i="34"/>
  <c r="P61" i="34"/>
  <c r="K62" i="34"/>
  <c r="O62" i="34"/>
  <c r="P62" i="34"/>
  <c r="K63" i="34"/>
  <c r="O63" i="34"/>
  <c r="P63" i="34"/>
  <c r="K64" i="34"/>
  <c r="O64" i="34"/>
  <c r="P64" i="34"/>
  <c r="K65" i="34"/>
  <c r="O65" i="34"/>
  <c r="P65" i="34"/>
  <c r="K66" i="34"/>
  <c r="O66" i="34"/>
  <c r="P66" i="34"/>
  <c r="K67" i="34"/>
  <c r="O67" i="34"/>
  <c r="P67" i="34"/>
  <c r="K68" i="34"/>
  <c r="O68" i="34"/>
  <c r="P68" i="34"/>
  <c r="K69" i="34"/>
  <c r="O69" i="34"/>
  <c r="P69" i="34"/>
  <c r="K70" i="34"/>
  <c r="O70" i="34"/>
  <c r="P70" i="34"/>
  <c r="K71" i="34"/>
  <c r="O71" i="34"/>
  <c r="P71" i="34"/>
  <c r="K72" i="34"/>
  <c r="O72" i="34"/>
  <c r="P72" i="34"/>
  <c r="K73" i="34"/>
  <c r="O73" i="34"/>
  <c r="P73" i="34"/>
  <c r="K74" i="34"/>
  <c r="O74" i="34"/>
  <c r="P74" i="34"/>
  <c r="K75" i="34"/>
  <c r="O75" i="34"/>
  <c r="P75" i="34"/>
  <c r="K76" i="34"/>
  <c r="O76" i="34"/>
  <c r="P76" i="34"/>
  <c r="K77" i="34"/>
  <c r="O77" i="34"/>
  <c r="P77" i="34"/>
  <c r="K78" i="34"/>
  <c r="O78" i="34"/>
  <c r="P78" i="34"/>
  <c r="K79" i="34"/>
  <c r="O79" i="34"/>
  <c r="P79" i="34"/>
  <c r="K80" i="34"/>
  <c r="O80" i="34"/>
  <c r="P80" i="34"/>
  <c r="K81" i="34"/>
  <c r="O81" i="34"/>
  <c r="P81" i="34"/>
  <c r="K82" i="34"/>
  <c r="O82" i="34"/>
  <c r="P82" i="34"/>
  <c r="K83" i="34"/>
  <c r="O83" i="34"/>
  <c r="P83" i="34"/>
  <c r="K84" i="34"/>
  <c r="O84" i="34"/>
  <c r="P84" i="34"/>
  <c r="K85" i="34"/>
  <c r="O85" i="34"/>
  <c r="P85" i="34"/>
  <c r="K86" i="34"/>
  <c r="O86" i="34"/>
  <c r="P86" i="34"/>
  <c r="K87" i="34"/>
  <c r="O87" i="34"/>
  <c r="P87" i="34"/>
  <c r="K88" i="34"/>
  <c r="O88" i="34"/>
  <c r="P88" i="34"/>
  <c r="K89" i="34"/>
  <c r="O89" i="34"/>
  <c r="P89" i="34"/>
  <c r="K90" i="34"/>
  <c r="O90" i="34"/>
  <c r="P90" i="34"/>
  <c r="K91" i="34"/>
  <c r="O91" i="34"/>
  <c r="P91" i="34"/>
  <c r="K92" i="34"/>
  <c r="O92" i="34"/>
  <c r="P92" i="34"/>
  <c r="K93" i="34"/>
  <c r="O93" i="34"/>
  <c r="P93" i="34"/>
  <c r="K94" i="34"/>
  <c r="O94" i="34"/>
  <c r="P94" i="34"/>
  <c r="K95" i="34"/>
  <c r="O95" i="34"/>
  <c r="P95" i="34"/>
  <c r="K96" i="34"/>
  <c r="O96" i="34"/>
  <c r="P96" i="34"/>
  <c r="K97" i="34"/>
  <c r="O97" i="34"/>
  <c r="P97" i="34"/>
  <c r="K98" i="34"/>
  <c r="O98" i="34"/>
  <c r="P98" i="34"/>
  <c r="K99" i="34"/>
  <c r="O99" i="34"/>
  <c r="P99" i="34"/>
  <c r="K100" i="34"/>
  <c r="O100" i="34"/>
  <c r="P100" i="34"/>
  <c r="K101" i="34"/>
  <c r="O101" i="34"/>
  <c r="P101" i="34"/>
  <c r="K102" i="34"/>
  <c r="O102" i="34"/>
  <c r="P102" i="34"/>
  <c r="K103" i="34"/>
  <c r="O103" i="34"/>
  <c r="P103" i="34"/>
  <c r="K104" i="34"/>
  <c r="O104" i="34"/>
  <c r="P104" i="34"/>
  <c r="K105" i="34"/>
  <c r="O105" i="34"/>
  <c r="P105" i="34"/>
  <c r="K106" i="34"/>
  <c r="O106" i="34"/>
  <c r="P106" i="34"/>
  <c r="K107" i="34"/>
  <c r="O107" i="34"/>
  <c r="P107" i="34"/>
  <c r="K108" i="34"/>
  <c r="O108" i="34"/>
  <c r="P108" i="34"/>
  <c r="K109" i="34"/>
  <c r="O109" i="34"/>
  <c r="P109" i="34"/>
  <c r="K110" i="34"/>
  <c r="O110" i="34"/>
  <c r="P110" i="34"/>
  <c r="K111" i="34"/>
  <c r="O111" i="34"/>
  <c r="P111" i="34"/>
  <c r="K112" i="34"/>
  <c r="O112" i="34"/>
  <c r="P112" i="34"/>
  <c r="K113" i="34"/>
  <c r="O113" i="34"/>
  <c r="P113" i="34"/>
  <c r="K114" i="34"/>
  <c r="O114" i="34"/>
  <c r="P114" i="34"/>
  <c r="K115" i="34"/>
  <c r="O115" i="34"/>
  <c r="P115" i="34"/>
  <c r="K116" i="34"/>
  <c r="O116" i="34"/>
  <c r="P116" i="34"/>
  <c r="K117" i="34"/>
  <c r="O117" i="34"/>
  <c r="P117" i="34"/>
  <c r="K118" i="34"/>
  <c r="O118" i="34"/>
  <c r="P118" i="34"/>
  <c r="K119" i="34"/>
  <c r="O119" i="34"/>
  <c r="P119" i="34"/>
  <c r="K120" i="34"/>
  <c r="O120" i="34"/>
  <c r="P120" i="34"/>
  <c r="K121" i="34"/>
  <c r="O121" i="34"/>
  <c r="P121" i="34"/>
  <c r="K122" i="34"/>
  <c r="O122" i="34"/>
  <c r="P122" i="34"/>
  <c r="K123" i="34"/>
  <c r="O123" i="34"/>
  <c r="P123" i="34"/>
  <c r="K124" i="34"/>
  <c r="O124" i="34"/>
  <c r="P124" i="34"/>
  <c r="K125" i="34"/>
  <c r="O125" i="34"/>
  <c r="P125" i="34"/>
  <c r="K126" i="34"/>
  <c r="O126" i="34"/>
  <c r="P126" i="34"/>
  <c r="K127" i="34"/>
  <c r="O127" i="34"/>
  <c r="P127" i="34"/>
  <c r="K128" i="34"/>
  <c r="O128" i="34"/>
  <c r="P128" i="34"/>
  <c r="K129" i="34"/>
  <c r="O129" i="34"/>
  <c r="P129" i="34"/>
  <c r="K130" i="34"/>
  <c r="O130" i="34"/>
  <c r="P130" i="34"/>
  <c r="K131" i="34"/>
  <c r="O131" i="34"/>
  <c r="P131" i="34"/>
  <c r="K132" i="34"/>
  <c r="O132" i="34"/>
  <c r="P132" i="34"/>
  <c r="K133" i="34"/>
  <c r="O133" i="34"/>
  <c r="P133" i="34"/>
  <c r="K134" i="34"/>
  <c r="O134" i="34"/>
  <c r="P134" i="34"/>
  <c r="K135" i="34"/>
  <c r="O135" i="34"/>
  <c r="P135" i="34"/>
  <c r="K136" i="34"/>
  <c r="O136" i="34"/>
  <c r="P136" i="34"/>
  <c r="K137" i="34"/>
  <c r="O137" i="34"/>
  <c r="P137" i="34"/>
  <c r="K138" i="34"/>
  <c r="O138" i="34"/>
  <c r="P138" i="34"/>
  <c r="K139" i="34"/>
  <c r="O139" i="34"/>
  <c r="P139" i="34"/>
  <c r="K140" i="34"/>
  <c r="O140" i="34"/>
  <c r="P140" i="34"/>
  <c r="K141" i="34"/>
  <c r="O141" i="34"/>
  <c r="P141" i="34"/>
  <c r="K142" i="34"/>
  <c r="O142" i="34"/>
  <c r="P142" i="34"/>
  <c r="K143" i="34"/>
  <c r="O143" i="34"/>
  <c r="P143" i="34"/>
  <c r="K144" i="34"/>
  <c r="O144" i="34"/>
  <c r="P144" i="34"/>
  <c r="K145" i="34"/>
  <c r="O145" i="34"/>
  <c r="P145" i="34"/>
  <c r="K146" i="34"/>
  <c r="O146" i="34"/>
  <c r="P146" i="34"/>
  <c r="K147" i="34"/>
  <c r="O147" i="34"/>
  <c r="P147" i="34"/>
  <c r="K148" i="34"/>
  <c r="O148" i="34"/>
  <c r="P148" i="34"/>
  <c r="K149" i="34"/>
  <c r="O149" i="34"/>
  <c r="P149" i="34"/>
  <c r="K150" i="34"/>
  <c r="O150" i="34"/>
  <c r="P150" i="34"/>
  <c r="K151" i="34"/>
  <c r="O151" i="34"/>
  <c r="P151" i="34"/>
  <c r="K152" i="34"/>
  <c r="O152" i="34"/>
  <c r="P152" i="34"/>
  <c r="K153" i="34"/>
  <c r="O153" i="34"/>
  <c r="P153" i="34"/>
  <c r="K154" i="34"/>
  <c r="O154" i="34"/>
  <c r="P154" i="34"/>
  <c r="K155" i="34"/>
  <c r="O155" i="34"/>
  <c r="P155" i="34"/>
  <c r="K156" i="34"/>
  <c r="O156" i="34"/>
  <c r="P156" i="34"/>
  <c r="K157" i="34"/>
  <c r="O157" i="34"/>
  <c r="P157" i="34"/>
  <c r="K158" i="34"/>
  <c r="O158" i="34"/>
  <c r="P158" i="34"/>
  <c r="K159" i="34"/>
  <c r="O159" i="34"/>
  <c r="P159" i="34"/>
  <c r="K160" i="34"/>
  <c r="O160" i="34"/>
  <c r="P160" i="34"/>
  <c r="K161" i="34"/>
  <c r="O161" i="34"/>
  <c r="P161" i="34"/>
  <c r="K162" i="34"/>
  <c r="O162" i="34"/>
  <c r="P162" i="34"/>
  <c r="K163" i="34"/>
  <c r="O163" i="34"/>
  <c r="P163" i="34"/>
  <c r="K164" i="34"/>
  <c r="O164" i="34"/>
  <c r="P164" i="34"/>
  <c r="K165" i="34"/>
  <c r="O165" i="34"/>
  <c r="P165" i="34"/>
  <c r="K166" i="34"/>
  <c r="O166" i="34"/>
  <c r="P166" i="34"/>
  <c r="K167" i="34"/>
  <c r="O167" i="34"/>
  <c r="P167" i="34"/>
  <c r="K168" i="34"/>
  <c r="O168" i="34"/>
  <c r="P168" i="34"/>
  <c r="K169" i="34"/>
  <c r="O169" i="34"/>
  <c r="P169" i="34"/>
  <c r="K170" i="34"/>
  <c r="O170" i="34"/>
  <c r="P170" i="34"/>
  <c r="K171" i="34"/>
  <c r="O171" i="34"/>
  <c r="P171" i="34"/>
  <c r="K172" i="34"/>
  <c r="O172" i="34"/>
  <c r="P172" i="34"/>
  <c r="K173" i="34"/>
  <c r="O173" i="34"/>
  <c r="P173" i="34"/>
  <c r="K174" i="34"/>
  <c r="O174" i="34"/>
  <c r="P174" i="34"/>
  <c r="K175" i="34"/>
  <c r="O175" i="34"/>
  <c r="P175" i="34"/>
  <c r="K176" i="34"/>
  <c r="O176" i="34"/>
  <c r="P176" i="34"/>
  <c r="K177" i="34"/>
  <c r="O177" i="34"/>
  <c r="P177" i="34"/>
  <c r="K178" i="34"/>
  <c r="O178" i="34"/>
  <c r="P178" i="34"/>
  <c r="K179" i="34"/>
  <c r="O179" i="34"/>
  <c r="P179" i="34"/>
  <c r="K180" i="34"/>
  <c r="O180" i="34"/>
  <c r="P180" i="34"/>
  <c r="K181" i="34"/>
  <c r="O181" i="34"/>
  <c r="P181" i="34"/>
  <c r="K182" i="34"/>
  <c r="O182" i="34"/>
  <c r="P182" i="34"/>
  <c r="K183" i="34"/>
  <c r="O183" i="34"/>
  <c r="P183" i="34"/>
  <c r="K184" i="34"/>
  <c r="O184" i="34"/>
  <c r="P184" i="34"/>
  <c r="K185" i="34"/>
  <c r="O185" i="34"/>
  <c r="P185" i="34"/>
  <c r="K186" i="34"/>
  <c r="O186" i="34"/>
  <c r="P186" i="34"/>
  <c r="K187" i="34"/>
  <c r="O187" i="34"/>
  <c r="P187" i="34"/>
  <c r="K188" i="34"/>
  <c r="O188" i="34"/>
  <c r="P188" i="34"/>
  <c r="K189" i="34"/>
  <c r="O189" i="34"/>
  <c r="P189" i="34"/>
  <c r="K190" i="34"/>
  <c r="O190" i="34"/>
  <c r="P190" i="34"/>
  <c r="K191" i="34"/>
  <c r="O191" i="34"/>
  <c r="P191" i="34"/>
  <c r="K192" i="34"/>
  <c r="O192" i="34"/>
  <c r="P192" i="34"/>
  <c r="K193" i="34"/>
  <c r="O193" i="34"/>
  <c r="P193" i="34"/>
  <c r="K194" i="34"/>
  <c r="O194" i="34"/>
  <c r="P194" i="34"/>
  <c r="K195" i="34"/>
  <c r="O195" i="34"/>
  <c r="P195" i="34"/>
  <c r="K196" i="34"/>
  <c r="O196" i="34"/>
  <c r="P196" i="34"/>
  <c r="K197" i="34"/>
  <c r="O197" i="34"/>
  <c r="P197" i="34"/>
  <c r="K198" i="34"/>
  <c r="O198" i="34"/>
  <c r="P198" i="34"/>
  <c r="K199" i="34"/>
  <c r="O199" i="34"/>
  <c r="P199" i="34"/>
  <c r="K200" i="34"/>
  <c r="O200" i="34"/>
  <c r="P200" i="34"/>
  <c r="K201" i="34"/>
  <c r="O201" i="34"/>
  <c r="P201" i="34"/>
  <c r="K202" i="34"/>
  <c r="O202" i="34"/>
  <c r="P202" i="34"/>
  <c r="K203" i="34"/>
  <c r="O203" i="34"/>
  <c r="P203" i="34"/>
  <c r="K204" i="34"/>
  <c r="O204" i="34"/>
  <c r="P204" i="34"/>
  <c r="K205" i="34"/>
  <c r="O205" i="34"/>
  <c r="P205" i="34"/>
  <c r="K206" i="34"/>
  <c r="O206" i="34"/>
  <c r="P206" i="34"/>
  <c r="K207" i="34"/>
  <c r="O207" i="34"/>
  <c r="P207" i="34"/>
  <c r="K208" i="34"/>
  <c r="O208" i="34"/>
  <c r="P208" i="34"/>
  <c r="K209" i="34"/>
  <c r="O209" i="34"/>
  <c r="P209" i="34"/>
  <c r="K210" i="34"/>
  <c r="O210" i="34"/>
  <c r="P210" i="34"/>
  <c r="K211" i="34"/>
  <c r="O211" i="34"/>
  <c r="P211" i="34"/>
  <c r="K212" i="34"/>
  <c r="O212" i="34"/>
  <c r="P212" i="34"/>
  <c r="K213" i="34"/>
  <c r="O213" i="34"/>
  <c r="P213" i="34"/>
  <c r="K214" i="34"/>
  <c r="O214" i="34"/>
  <c r="P214" i="34"/>
  <c r="K215" i="34"/>
  <c r="O215" i="34"/>
  <c r="P215" i="34"/>
  <c r="K216" i="34"/>
  <c r="O216" i="34"/>
  <c r="P216" i="34"/>
  <c r="K217" i="34"/>
  <c r="O217" i="34"/>
  <c r="P217" i="34"/>
  <c r="K218" i="34"/>
  <c r="O218" i="34"/>
  <c r="P218" i="34"/>
  <c r="K219" i="34"/>
  <c r="O219" i="34"/>
  <c r="P219" i="34"/>
  <c r="K220" i="34"/>
  <c r="O220" i="34"/>
  <c r="P220" i="34"/>
  <c r="K221" i="34"/>
  <c r="O221" i="34"/>
  <c r="P221" i="34"/>
  <c r="K222" i="34"/>
  <c r="O222" i="34"/>
  <c r="P222" i="34"/>
  <c r="K223" i="34"/>
  <c r="O223" i="34"/>
  <c r="P223" i="34"/>
  <c r="K224" i="34"/>
  <c r="O224" i="34"/>
  <c r="P224" i="34"/>
  <c r="K225" i="34"/>
  <c r="O225" i="34"/>
  <c r="P225" i="34"/>
  <c r="K226" i="34"/>
  <c r="O226" i="34"/>
  <c r="P226" i="34"/>
  <c r="K227" i="34"/>
  <c r="O227" i="34"/>
  <c r="P227" i="34"/>
  <c r="K228" i="34"/>
  <c r="O228" i="34"/>
  <c r="P228" i="34"/>
  <c r="K229" i="34"/>
  <c r="O229" i="34"/>
  <c r="P229" i="34"/>
  <c r="K230" i="34"/>
  <c r="O230" i="34"/>
  <c r="P230" i="34"/>
  <c r="K231" i="34"/>
  <c r="O231" i="34"/>
  <c r="P231" i="34"/>
  <c r="K232" i="34"/>
  <c r="O232" i="34"/>
  <c r="P232" i="34"/>
  <c r="K233" i="34"/>
  <c r="O233" i="34"/>
  <c r="P233" i="34"/>
  <c r="K234" i="34"/>
  <c r="O234" i="34"/>
  <c r="P234" i="34"/>
  <c r="K235" i="34"/>
  <c r="O235" i="34"/>
  <c r="P235" i="34"/>
  <c r="K236" i="34"/>
  <c r="O236" i="34"/>
  <c r="P236" i="34"/>
  <c r="K237" i="34"/>
  <c r="O237" i="34"/>
  <c r="P237" i="34"/>
  <c r="K238" i="34"/>
  <c r="O238" i="34"/>
  <c r="P238" i="34"/>
  <c r="K239" i="34"/>
  <c r="O239" i="34"/>
  <c r="P239" i="34"/>
  <c r="K240" i="34"/>
  <c r="O240" i="34"/>
  <c r="P240" i="34"/>
  <c r="K241" i="34"/>
  <c r="O241" i="34"/>
  <c r="P241" i="34"/>
  <c r="K242" i="34"/>
  <c r="O242" i="34"/>
  <c r="P242" i="34"/>
  <c r="K243" i="34"/>
  <c r="O243" i="34"/>
  <c r="P243" i="34"/>
  <c r="K244" i="34"/>
  <c r="O244" i="34"/>
  <c r="P244" i="34"/>
  <c r="K245" i="34"/>
  <c r="O245" i="34"/>
  <c r="P245" i="34"/>
  <c r="K246" i="34"/>
  <c r="O246" i="34"/>
  <c r="P246" i="34"/>
  <c r="K247" i="34"/>
  <c r="O247" i="34"/>
  <c r="P247" i="34"/>
  <c r="K248" i="34"/>
  <c r="O248" i="34"/>
  <c r="P248" i="34"/>
  <c r="K249" i="34"/>
  <c r="O249" i="34"/>
  <c r="P249" i="34"/>
  <c r="K250" i="34"/>
  <c r="O250" i="34"/>
  <c r="P250" i="34"/>
  <c r="K251" i="34"/>
  <c r="O251" i="34"/>
  <c r="P251" i="34"/>
  <c r="K252" i="34"/>
  <c r="O252" i="34"/>
  <c r="P252" i="34"/>
  <c r="K253" i="34"/>
  <c r="O253" i="34"/>
  <c r="P253" i="34"/>
  <c r="K254" i="34"/>
  <c r="O254" i="34"/>
  <c r="P254" i="34"/>
  <c r="K255" i="34"/>
  <c r="O255" i="34"/>
  <c r="P255" i="34"/>
  <c r="K256" i="34"/>
  <c r="O256" i="34"/>
  <c r="P256" i="34"/>
  <c r="K257" i="34"/>
  <c r="O257" i="34"/>
  <c r="P257" i="34"/>
  <c r="K258" i="34"/>
  <c r="O258" i="34"/>
  <c r="P258" i="34"/>
  <c r="K259" i="34"/>
  <c r="O259" i="34"/>
  <c r="P259" i="34"/>
  <c r="K260" i="34"/>
  <c r="O260" i="34"/>
  <c r="P260" i="34"/>
  <c r="K261" i="34"/>
  <c r="O261" i="34"/>
  <c r="P261" i="34"/>
  <c r="K262" i="34"/>
  <c r="O262" i="34"/>
  <c r="P262" i="34"/>
  <c r="K263" i="34"/>
  <c r="O263" i="34"/>
  <c r="P263" i="34"/>
  <c r="K264" i="34"/>
  <c r="O264" i="34"/>
  <c r="P264" i="34"/>
  <c r="K265" i="34"/>
  <c r="O265" i="34"/>
  <c r="P265" i="34"/>
  <c r="K266" i="34"/>
  <c r="O266" i="34"/>
  <c r="P266" i="34"/>
  <c r="K267" i="34"/>
  <c r="O267" i="34"/>
  <c r="P267" i="34"/>
  <c r="K268" i="34"/>
  <c r="O268" i="34"/>
  <c r="P268" i="34"/>
  <c r="K269" i="34"/>
  <c r="O269" i="34"/>
  <c r="P269" i="34"/>
  <c r="K270" i="34"/>
  <c r="O270" i="34"/>
  <c r="P270" i="34"/>
  <c r="K271" i="34"/>
  <c r="O271" i="34"/>
  <c r="P271" i="34"/>
  <c r="K272" i="34"/>
  <c r="O272" i="34"/>
  <c r="P272" i="34"/>
  <c r="K273" i="34"/>
  <c r="O273" i="34"/>
  <c r="P273" i="34"/>
  <c r="K274" i="34"/>
  <c r="O274" i="34"/>
  <c r="P274" i="34"/>
  <c r="K275" i="34"/>
  <c r="O275" i="34"/>
  <c r="P275" i="34"/>
  <c r="K276" i="34"/>
  <c r="O276" i="34"/>
  <c r="P276" i="34"/>
  <c r="K277" i="34"/>
  <c r="O277" i="34"/>
  <c r="P277" i="34"/>
  <c r="K278" i="34"/>
  <c r="O278" i="34"/>
  <c r="P278" i="34"/>
  <c r="K279" i="34"/>
  <c r="O279" i="34"/>
  <c r="P279" i="34"/>
  <c r="K280" i="34"/>
  <c r="O280" i="34"/>
  <c r="P280" i="34"/>
  <c r="K281" i="34"/>
  <c r="O281" i="34"/>
  <c r="P281" i="34"/>
  <c r="K282" i="34"/>
  <c r="O282" i="34"/>
  <c r="P282" i="34"/>
  <c r="K283" i="34"/>
  <c r="O283" i="34"/>
  <c r="P283" i="34"/>
  <c r="K284" i="34"/>
  <c r="O284" i="34"/>
  <c r="P284" i="34"/>
  <c r="K285" i="34"/>
  <c r="O285" i="34"/>
  <c r="P285" i="34"/>
  <c r="K286" i="34"/>
  <c r="O286" i="34"/>
  <c r="P286" i="34"/>
  <c r="K287" i="34"/>
  <c r="O287" i="34"/>
  <c r="P287" i="34"/>
  <c r="K288" i="34"/>
  <c r="O288" i="34"/>
  <c r="P288" i="34"/>
  <c r="K289" i="34"/>
  <c r="O289" i="34"/>
  <c r="P289" i="34"/>
  <c r="K290" i="34"/>
  <c r="O290" i="34"/>
  <c r="P290" i="34"/>
  <c r="K291" i="34"/>
  <c r="O291" i="34"/>
  <c r="P291" i="34"/>
  <c r="K292" i="34"/>
  <c r="O292" i="34"/>
  <c r="P292" i="34"/>
  <c r="K293" i="34"/>
  <c r="O293" i="34"/>
  <c r="P293" i="34"/>
  <c r="K294" i="34"/>
  <c r="O294" i="34"/>
  <c r="P294" i="34"/>
  <c r="K295" i="34"/>
  <c r="O295" i="34"/>
  <c r="P295" i="34"/>
  <c r="K296" i="34"/>
  <c r="O296" i="34"/>
  <c r="P296" i="34"/>
  <c r="K297" i="34"/>
  <c r="O297" i="34"/>
  <c r="P297" i="34"/>
  <c r="K298" i="34"/>
  <c r="O298" i="34"/>
  <c r="P298" i="34"/>
  <c r="K299" i="34"/>
  <c r="O299" i="34"/>
  <c r="P299" i="34"/>
  <c r="K300" i="34"/>
  <c r="O300" i="34"/>
  <c r="P300" i="34"/>
  <c r="K301" i="34"/>
  <c r="O301" i="34"/>
  <c r="P301" i="34"/>
  <c r="K302" i="34"/>
  <c r="O302" i="34"/>
  <c r="P302" i="34"/>
  <c r="K303" i="34"/>
  <c r="O303" i="34"/>
  <c r="P303" i="34"/>
  <c r="K304" i="34"/>
  <c r="O304" i="34"/>
  <c r="P304" i="34"/>
  <c r="K305" i="34"/>
  <c r="O305" i="34"/>
  <c r="P305" i="34"/>
  <c r="K306" i="34"/>
  <c r="O306" i="34"/>
  <c r="P306" i="34"/>
  <c r="K307" i="34"/>
  <c r="O307" i="34"/>
  <c r="P307" i="34"/>
  <c r="K308" i="34"/>
  <c r="O308" i="34"/>
  <c r="P308" i="34"/>
  <c r="K309" i="34"/>
  <c r="O309" i="34"/>
  <c r="P309" i="34"/>
  <c r="K310" i="34"/>
  <c r="O310" i="34"/>
  <c r="P310" i="34"/>
  <c r="K311" i="34"/>
  <c r="O311" i="34"/>
  <c r="P311" i="34"/>
  <c r="K312" i="34"/>
  <c r="O312" i="34"/>
  <c r="P312" i="34"/>
  <c r="K313" i="34"/>
  <c r="O313" i="34"/>
  <c r="P313" i="34"/>
  <c r="K314" i="34"/>
  <c r="O314" i="34"/>
  <c r="P314" i="34"/>
  <c r="K315" i="34"/>
  <c r="O315" i="34"/>
  <c r="P315" i="34"/>
  <c r="K316" i="34"/>
  <c r="O316" i="34"/>
  <c r="P316" i="34"/>
  <c r="K317" i="34"/>
  <c r="O317" i="34"/>
  <c r="P317" i="34"/>
  <c r="K318" i="34"/>
  <c r="O318" i="34"/>
  <c r="P318" i="34"/>
  <c r="K319" i="34"/>
  <c r="O319" i="34"/>
  <c r="P319" i="34"/>
  <c r="K320" i="34"/>
  <c r="O320" i="34"/>
  <c r="P320" i="34"/>
  <c r="K321" i="34"/>
  <c r="O321" i="34"/>
  <c r="P321" i="34"/>
  <c r="K322" i="34"/>
  <c r="O322" i="34"/>
  <c r="P322" i="34"/>
  <c r="K323" i="34"/>
  <c r="O323" i="34"/>
  <c r="P323" i="34"/>
  <c r="K324" i="34"/>
  <c r="O324" i="34"/>
  <c r="P324" i="34"/>
  <c r="K325" i="34"/>
  <c r="O325" i="34"/>
  <c r="P325" i="34"/>
  <c r="K326" i="34"/>
  <c r="O326" i="34"/>
  <c r="P326" i="34"/>
  <c r="K327" i="34"/>
  <c r="O327" i="34"/>
  <c r="P327" i="34"/>
  <c r="K328" i="34"/>
  <c r="O328" i="34"/>
  <c r="P328" i="34"/>
  <c r="K329" i="34"/>
  <c r="O329" i="34"/>
  <c r="P329" i="34"/>
  <c r="K330" i="34"/>
  <c r="O330" i="34"/>
  <c r="P330" i="34"/>
  <c r="K331" i="34"/>
  <c r="O331" i="34"/>
  <c r="P331" i="34"/>
  <c r="K332" i="34"/>
  <c r="O332" i="34"/>
  <c r="P332" i="34"/>
  <c r="K333" i="34"/>
  <c r="O333" i="34"/>
  <c r="P333" i="34"/>
  <c r="K334" i="34"/>
  <c r="O334" i="34"/>
  <c r="P334" i="34"/>
  <c r="K335" i="34"/>
  <c r="O335" i="34"/>
  <c r="P335" i="34"/>
  <c r="K336" i="34"/>
  <c r="O336" i="34"/>
  <c r="P336" i="34"/>
  <c r="K337" i="34"/>
  <c r="O337" i="34"/>
  <c r="P337" i="34"/>
  <c r="K338" i="34"/>
  <c r="O338" i="34"/>
  <c r="P338" i="34"/>
  <c r="K339" i="34"/>
  <c r="O339" i="34"/>
  <c r="P339" i="34"/>
  <c r="K340" i="34"/>
  <c r="O340" i="34"/>
  <c r="P340" i="34"/>
  <c r="K341" i="34"/>
  <c r="O341" i="34"/>
  <c r="P341" i="34"/>
  <c r="K342" i="34"/>
  <c r="O342" i="34"/>
  <c r="P342" i="34"/>
  <c r="K343" i="34"/>
  <c r="O343" i="34"/>
  <c r="P343" i="34"/>
  <c r="K344" i="34"/>
  <c r="O344" i="34"/>
  <c r="P344" i="34"/>
  <c r="K345" i="34"/>
  <c r="O345" i="34"/>
  <c r="P345" i="34"/>
  <c r="K346" i="34"/>
  <c r="O346" i="34"/>
  <c r="P346" i="34"/>
  <c r="K347" i="34"/>
  <c r="O347" i="34"/>
  <c r="P347" i="34"/>
  <c r="K348" i="34"/>
  <c r="O348" i="34"/>
  <c r="P348" i="34"/>
  <c r="K349" i="34"/>
  <c r="O349" i="34"/>
  <c r="P349" i="34"/>
  <c r="K350" i="34"/>
  <c r="O350" i="34"/>
  <c r="P350" i="34"/>
  <c r="K351" i="34"/>
  <c r="O351" i="34"/>
  <c r="P351" i="34"/>
  <c r="K352" i="34"/>
  <c r="O352" i="34"/>
  <c r="P352" i="34"/>
  <c r="K353" i="34"/>
  <c r="O353" i="34"/>
  <c r="P353" i="34"/>
  <c r="K354" i="34"/>
  <c r="O354" i="34"/>
  <c r="P354" i="34"/>
  <c r="K355" i="34"/>
  <c r="O355" i="34"/>
  <c r="P355" i="34"/>
  <c r="K356" i="34"/>
  <c r="O356" i="34"/>
  <c r="P356" i="34"/>
  <c r="K357" i="34"/>
  <c r="O357" i="34"/>
  <c r="P357" i="34"/>
  <c r="K358" i="34"/>
  <c r="O358" i="34"/>
  <c r="P358" i="34"/>
  <c r="K359" i="34"/>
  <c r="O359" i="34"/>
  <c r="P359" i="34"/>
  <c r="K360" i="34"/>
  <c r="O360" i="34"/>
  <c r="P360" i="34"/>
  <c r="K361" i="34"/>
  <c r="O361" i="34"/>
  <c r="P361" i="34"/>
  <c r="K362" i="34"/>
  <c r="O362" i="34"/>
  <c r="P362" i="34"/>
  <c r="K363" i="34"/>
  <c r="O363" i="34"/>
  <c r="P363" i="34"/>
  <c r="K364" i="34"/>
  <c r="O364" i="34"/>
  <c r="P364" i="34"/>
  <c r="K365" i="34"/>
  <c r="O365" i="34"/>
  <c r="P365" i="34"/>
  <c r="K366" i="34"/>
  <c r="O366" i="34"/>
  <c r="P366" i="34"/>
  <c r="K367" i="34"/>
  <c r="O367" i="34"/>
  <c r="P367" i="34"/>
  <c r="K368" i="34"/>
  <c r="O368" i="34"/>
  <c r="P368" i="34"/>
  <c r="K369" i="34"/>
  <c r="O369" i="34"/>
  <c r="P369" i="34"/>
  <c r="K370" i="34"/>
  <c r="O370" i="34"/>
  <c r="P370" i="34"/>
  <c r="K371" i="34"/>
  <c r="O371" i="34"/>
  <c r="P371" i="34"/>
  <c r="K372" i="34"/>
  <c r="O372" i="34"/>
  <c r="P372" i="34"/>
  <c r="K373" i="34"/>
  <c r="O373" i="34"/>
  <c r="P373" i="34"/>
  <c r="K374" i="34"/>
  <c r="O374" i="34"/>
  <c r="P374" i="34"/>
  <c r="K375" i="34"/>
  <c r="O375" i="34"/>
  <c r="P375" i="34"/>
  <c r="K376" i="34"/>
  <c r="O376" i="34"/>
  <c r="P376" i="34"/>
  <c r="K377" i="34"/>
  <c r="O377" i="34"/>
  <c r="P377" i="34"/>
  <c r="K378" i="34"/>
  <c r="O378" i="34"/>
  <c r="P378" i="34"/>
  <c r="K379" i="34"/>
  <c r="O379" i="34"/>
  <c r="P379" i="34"/>
  <c r="K380" i="34"/>
  <c r="O380" i="34"/>
  <c r="P380" i="34"/>
  <c r="K381" i="34"/>
  <c r="O381" i="34"/>
  <c r="P381" i="34"/>
  <c r="K382" i="34"/>
  <c r="O382" i="34"/>
  <c r="P382" i="34"/>
  <c r="K383" i="34"/>
  <c r="O383" i="34"/>
  <c r="P383" i="34"/>
  <c r="K384" i="34"/>
  <c r="O384" i="34"/>
  <c r="P384" i="34"/>
  <c r="K385" i="34"/>
  <c r="O385" i="34"/>
  <c r="P385" i="34"/>
  <c r="K386" i="34"/>
  <c r="O386" i="34"/>
  <c r="P386" i="34"/>
  <c r="K387" i="34"/>
  <c r="O387" i="34"/>
  <c r="P387" i="34"/>
  <c r="K388" i="34"/>
  <c r="O388" i="34"/>
  <c r="P388" i="34"/>
  <c r="K389" i="34"/>
  <c r="O389" i="34"/>
  <c r="P389" i="34"/>
  <c r="K390" i="34"/>
  <c r="O390" i="34"/>
  <c r="P390" i="34"/>
  <c r="K391" i="34"/>
  <c r="O391" i="34"/>
  <c r="P391" i="34"/>
  <c r="K392" i="34"/>
  <c r="O392" i="34"/>
  <c r="P392" i="34"/>
  <c r="K393" i="34"/>
  <c r="O393" i="34"/>
  <c r="P393" i="34"/>
  <c r="K394" i="34"/>
  <c r="O394" i="34"/>
  <c r="P394" i="34"/>
  <c r="K395" i="34"/>
  <c r="O395" i="34"/>
  <c r="P395" i="34"/>
  <c r="K396" i="34"/>
  <c r="O396" i="34"/>
  <c r="P396" i="34"/>
  <c r="K397" i="34"/>
  <c r="O397" i="34"/>
  <c r="P397" i="34"/>
  <c r="K398" i="34"/>
  <c r="O398" i="34"/>
  <c r="P398" i="34"/>
  <c r="K399" i="34"/>
  <c r="O399" i="34"/>
  <c r="P399" i="34"/>
  <c r="K400" i="34"/>
  <c r="O400" i="34"/>
  <c r="P400" i="34"/>
  <c r="K401" i="34"/>
  <c r="O401" i="34"/>
  <c r="P401" i="34"/>
  <c r="K402" i="34"/>
  <c r="O402" i="34"/>
  <c r="P402" i="34"/>
  <c r="K403" i="34"/>
  <c r="O403" i="34"/>
  <c r="P403" i="34"/>
  <c r="K404" i="34"/>
  <c r="O404" i="34"/>
  <c r="P404" i="34"/>
  <c r="K405" i="34"/>
  <c r="O405" i="34"/>
  <c r="P405" i="34"/>
  <c r="K406" i="34"/>
  <c r="O406" i="34"/>
  <c r="P406" i="34"/>
  <c r="K407" i="34"/>
  <c r="O407" i="34"/>
  <c r="P407" i="34"/>
  <c r="K408" i="34"/>
  <c r="O408" i="34"/>
  <c r="P408" i="34"/>
  <c r="K409" i="34"/>
  <c r="O409" i="34"/>
  <c r="P409" i="34"/>
  <c r="K410" i="34"/>
  <c r="O410" i="34"/>
  <c r="P410" i="34"/>
  <c r="K411" i="34"/>
  <c r="O411" i="34"/>
  <c r="P411" i="34"/>
  <c r="K412" i="34"/>
  <c r="O412" i="34"/>
  <c r="P412" i="34"/>
  <c r="K413" i="34"/>
  <c r="O413" i="34"/>
  <c r="P413" i="34"/>
  <c r="K414" i="34"/>
  <c r="O414" i="34"/>
  <c r="P414" i="34"/>
  <c r="K415" i="34"/>
  <c r="O415" i="34"/>
  <c r="P415" i="34"/>
  <c r="K416" i="34"/>
  <c r="O416" i="34"/>
  <c r="P416" i="34"/>
  <c r="K417" i="34"/>
  <c r="O417" i="34"/>
  <c r="P417" i="34"/>
  <c r="K418" i="34"/>
  <c r="O418" i="34"/>
  <c r="P418" i="34"/>
  <c r="K419" i="34"/>
  <c r="O419" i="34"/>
  <c r="P419" i="34"/>
  <c r="K420" i="34"/>
  <c r="O420" i="34"/>
  <c r="P420" i="34"/>
  <c r="K421" i="34"/>
  <c r="O421" i="34"/>
  <c r="P421" i="34"/>
  <c r="K422" i="34"/>
  <c r="O422" i="34"/>
  <c r="P422" i="34"/>
  <c r="K423" i="34"/>
  <c r="O423" i="34"/>
  <c r="P423" i="34"/>
  <c r="K424" i="34"/>
  <c r="O424" i="34"/>
  <c r="P424" i="34"/>
  <c r="K425" i="34"/>
  <c r="O425" i="34"/>
  <c r="P425" i="34"/>
  <c r="K426" i="34"/>
  <c r="O426" i="34"/>
  <c r="P426" i="34"/>
  <c r="K427" i="34"/>
  <c r="O427" i="34"/>
  <c r="P427" i="34"/>
  <c r="K428" i="34"/>
  <c r="O428" i="34"/>
  <c r="P428" i="34"/>
  <c r="K429" i="34"/>
  <c r="O429" i="34"/>
  <c r="P429" i="34"/>
  <c r="K430" i="34"/>
  <c r="O430" i="34"/>
  <c r="P430" i="34"/>
  <c r="K431" i="34"/>
  <c r="O431" i="34"/>
  <c r="P431" i="34"/>
  <c r="K432" i="34"/>
  <c r="O432" i="34"/>
  <c r="P432" i="34"/>
  <c r="K433" i="34"/>
  <c r="O433" i="34"/>
  <c r="P433" i="34"/>
  <c r="K434" i="34"/>
  <c r="O434" i="34"/>
  <c r="P434" i="34"/>
  <c r="K435" i="34"/>
  <c r="O435" i="34"/>
  <c r="P435" i="34"/>
  <c r="K436" i="34"/>
  <c r="O436" i="34"/>
  <c r="P436" i="34"/>
  <c r="K437" i="34"/>
  <c r="O437" i="34"/>
  <c r="P437" i="34"/>
  <c r="K438" i="34"/>
  <c r="O438" i="34"/>
  <c r="P438" i="34"/>
  <c r="K439" i="34"/>
  <c r="O439" i="34"/>
  <c r="P439" i="34"/>
  <c r="K440" i="34"/>
  <c r="O440" i="34"/>
  <c r="P440" i="34"/>
  <c r="K441" i="34"/>
  <c r="O441" i="34"/>
  <c r="P441" i="34"/>
  <c r="K442" i="34"/>
  <c r="O442" i="34"/>
  <c r="P442" i="34"/>
  <c r="K443" i="34"/>
  <c r="O443" i="34"/>
  <c r="P443" i="34"/>
  <c r="K444" i="34"/>
  <c r="O444" i="34"/>
  <c r="P444" i="34"/>
  <c r="K445" i="34"/>
  <c r="O445" i="34"/>
  <c r="P445" i="34"/>
  <c r="K446" i="34"/>
  <c r="O446" i="34"/>
  <c r="P446" i="34"/>
  <c r="K447" i="34"/>
  <c r="O447" i="34"/>
  <c r="P447" i="34"/>
  <c r="K448" i="34"/>
  <c r="O448" i="34"/>
  <c r="P448" i="34"/>
  <c r="K449" i="34"/>
  <c r="O449" i="34"/>
  <c r="P449" i="34"/>
  <c r="K450" i="34"/>
  <c r="O450" i="34"/>
  <c r="P450" i="34"/>
  <c r="K451" i="34"/>
  <c r="O451" i="34"/>
  <c r="P451" i="34"/>
  <c r="K452" i="34"/>
  <c r="O452" i="34"/>
  <c r="P452" i="34"/>
  <c r="K453" i="34"/>
  <c r="O453" i="34"/>
  <c r="P453" i="34"/>
  <c r="K454" i="34"/>
  <c r="O454" i="34"/>
  <c r="P454" i="34"/>
  <c r="K455" i="34"/>
  <c r="O455" i="34"/>
  <c r="P455" i="34"/>
  <c r="K456" i="34"/>
  <c r="O456" i="34"/>
  <c r="P456" i="34"/>
  <c r="K457" i="34"/>
  <c r="O457" i="34"/>
  <c r="P457" i="34"/>
  <c r="K458" i="34"/>
  <c r="O458" i="34"/>
  <c r="P458" i="34"/>
  <c r="K459" i="34"/>
  <c r="O459" i="34"/>
  <c r="P459" i="34"/>
  <c r="K460" i="34"/>
  <c r="O460" i="34"/>
  <c r="P460" i="34"/>
  <c r="K461" i="34"/>
  <c r="O461" i="34"/>
  <c r="P461" i="34"/>
  <c r="K462" i="34"/>
  <c r="O462" i="34"/>
  <c r="P462" i="34"/>
  <c r="K463" i="34"/>
  <c r="O463" i="34"/>
  <c r="P463" i="34"/>
  <c r="K464" i="34"/>
  <c r="O464" i="34"/>
  <c r="P464" i="34"/>
  <c r="K465" i="34"/>
  <c r="O465" i="34"/>
  <c r="P465" i="34"/>
  <c r="K466" i="34"/>
  <c r="O466" i="34"/>
  <c r="P466" i="34"/>
  <c r="K467" i="34"/>
  <c r="O467" i="34"/>
  <c r="P467" i="34"/>
  <c r="K468" i="34"/>
  <c r="O468" i="34"/>
  <c r="P468" i="34"/>
  <c r="K469" i="34"/>
  <c r="O469" i="34"/>
  <c r="P469" i="34"/>
  <c r="K470" i="34"/>
  <c r="O470" i="34"/>
  <c r="P470" i="34"/>
  <c r="K471" i="34"/>
  <c r="O471" i="34"/>
  <c r="P471" i="34"/>
  <c r="K472" i="34"/>
  <c r="O472" i="34"/>
  <c r="P472" i="34"/>
  <c r="K473" i="34"/>
  <c r="O473" i="34"/>
  <c r="P473" i="34"/>
  <c r="K474" i="34"/>
  <c r="O474" i="34"/>
  <c r="P474" i="34"/>
  <c r="K475" i="34"/>
  <c r="O475" i="34"/>
  <c r="P475" i="34"/>
  <c r="K476" i="34"/>
  <c r="O476" i="34"/>
  <c r="P476" i="34"/>
  <c r="K477" i="34"/>
  <c r="O477" i="34"/>
  <c r="P477" i="34"/>
  <c r="K478" i="34"/>
  <c r="O478" i="34"/>
  <c r="P478" i="34"/>
  <c r="K479" i="34"/>
  <c r="O479" i="34"/>
  <c r="P479" i="34"/>
  <c r="K480" i="34"/>
  <c r="O480" i="34"/>
  <c r="P480" i="34"/>
  <c r="K481" i="34"/>
  <c r="O481" i="34"/>
  <c r="P481" i="34"/>
  <c r="K482" i="34"/>
  <c r="O482" i="34"/>
  <c r="P482" i="34"/>
  <c r="K483" i="34"/>
  <c r="O483" i="34"/>
  <c r="P483" i="34"/>
  <c r="K484" i="34"/>
  <c r="O484" i="34"/>
  <c r="P484" i="34"/>
  <c r="K485" i="34"/>
  <c r="O485" i="34"/>
  <c r="P485" i="34"/>
  <c r="K486" i="34"/>
  <c r="O486" i="34"/>
  <c r="P486" i="34"/>
  <c r="K487" i="34"/>
  <c r="O487" i="34"/>
  <c r="P487" i="34"/>
  <c r="K488" i="34"/>
  <c r="O488" i="34"/>
  <c r="P488" i="34"/>
  <c r="K489" i="34"/>
  <c r="O489" i="34"/>
  <c r="P489" i="34"/>
  <c r="K490" i="34"/>
  <c r="O490" i="34"/>
  <c r="P490" i="34"/>
  <c r="K491" i="34"/>
  <c r="O491" i="34"/>
  <c r="P491" i="34"/>
  <c r="K492" i="34"/>
  <c r="O492" i="34"/>
  <c r="P492" i="34"/>
  <c r="K493" i="34"/>
  <c r="O493" i="34"/>
  <c r="P493" i="34"/>
  <c r="K494" i="34"/>
  <c r="O494" i="34"/>
  <c r="P494" i="34"/>
  <c r="K495" i="34"/>
  <c r="O495" i="34"/>
  <c r="P495" i="34"/>
  <c r="K496" i="34"/>
  <c r="O496" i="34"/>
  <c r="P496" i="34"/>
  <c r="K497" i="34"/>
  <c r="O497" i="34"/>
  <c r="P497" i="34"/>
  <c r="K498" i="34"/>
  <c r="O498" i="34"/>
  <c r="P498" i="34"/>
  <c r="K499" i="34"/>
  <c r="O499" i="34"/>
  <c r="P499" i="34"/>
  <c r="K500" i="34"/>
  <c r="O500" i="34"/>
  <c r="P500" i="34"/>
  <c r="K501" i="34"/>
  <c r="O501" i="34"/>
  <c r="P501" i="34"/>
  <c r="K502" i="34"/>
  <c r="O502" i="34"/>
  <c r="P502" i="34"/>
  <c r="K503" i="34"/>
  <c r="O503" i="34"/>
  <c r="P503" i="34"/>
  <c r="K504" i="34"/>
  <c r="O504" i="34"/>
  <c r="P504" i="34"/>
  <c r="K505" i="34"/>
  <c r="O505" i="34"/>
  <c r="P505" i="34"/>
  <c r="K506" i="34"/>
  <c r="O506" i="34"/>
  <c r="P506" i="34"/>
  <c r="K507" i="34"/>
  <c r="O507" i="34"/>
  <c r="P507" i="34"/>
  <c r="K508" i="34"/>
  <c r="O508" i="34"/>
  <c r="P508" i="34"/>
  <c r="K509" i="34"/>
  <c r="O509" i="34"/>
  <c r="P509" i="34"/>
  <c r="K510" i="34"/>
  <c r="O510" i="34"/>
  <c r="P510" i="34"/>
  <c r="K511" i="34"/>
  <c r="O511" i="34"/>
  <c r="P511" i="34"/>
  <c r="K512" i="34"/>
  <c r="O512" i="34"/>
  <c r="P512" i="34"/>
  <c r="K513" i="34"/>
  <c r="O513" i="34"/>
  <c r="P513" i="34"/>
  <c r="K514" i="34"/>
  <c r="O514" i="34"/>
  <c r="P514" i="34"/>
  <c r="K515" i="34"/>
  <c r="O515" i="34"/>
  <c r="P515" i="34"/>
  <c r="K516" i="34"/>
  <c r="O516" i="34"/>
  <c r="P516" i="34"/>
  <c r="K517" i="34"/>
  <c r="O517" i="34"/>
  <c r="P517" i="34"/>
  <c r="K518" i="34"/>
  <c r="O518" i="34"/>
  <c r="P518" i="34"/>
  <c r="K519" i="34"/>
  <c r="O519" i="34"/>
  <c r="P519" i="34"/>
  <c r="K520" i="34"/>
  <c r="O520" i="34"/>
  <c r="P520" i="34"/>
  <c r="K521" i="34"/>
  <c r="O521" i="34"/>
  <c r="P521" i="34"/>
  <c r="K522" i="34"/>
  <c r="O522" i="34"/>
  <c r="P522" i="34"/>
  <c r="K523" i="34"/>
  <c r="O523" i="34"/>
  <c r="P523" i="34"/>
  <c r="K524" i="34"/>
  <c r="O524" i="34"/>
  <c r="P524" i="34"/>
  <c r="K525" i="34"/>
  <c r="O525" i="34"/>
  <c r="P525" i="34"/>
  <c r="K526" i="34"/>
  <c r="O526" i="34"/>
  <c r="P526" i="34"/>
  <c r="K527" i="34"/>
  <c r="O527" i="34"/>
  <c r="P527" i="34"/>
  <c r="K528" i="34"/>
  <c r="O528" i="34"/>
  <c r="P528" i="34"/>
  <c r="K529" i="34"/>
  <c r="O529" i="34"/>
  <c r="P529" i="34"/>
  <c r="K530" i="34"/>
  <c r="O530" i="34"/>
  <c r="P530" i="34"/>
  <c r="K531" i="34"/>
  <c r="O531" i="34"/>
  <c r="P531" i="34"/>
  <c r="K532" i="34"/>
  <c r="O532" i="34"/>
  <c r="P532" i="34"/>
  <c r="K533" i="34"/>
  <c r="O533" i="34"/>
  <c r="P533" i="34"/>
  <c r="K534" i="34"/>
  <c r="O534" i="34"/>
  <c r="P534" i="34"/>
  <c r="K535" i="34"/>
  <c r="O535" i="34"/>
  <c r="P535" i="34"/>
  <c r="K536" i="34"/>
  <c r="O536" i="34"/>
  <c r="P536" i="34"/>
  <c r="K537" i="34"/>
  <c r="O537" i="34"/>
  <c r="P537" i="34"/>
  <c r="K538" i="34"/>
  <c r="O538" i="34"/>
  <c r="P538" i="34"/>
  <c r="K539" i="34"/>
  <c r="O539" i="34"/>
  <c r="P539" i="34"/>
  <c r="K540" i="34"/>
  <c r="O540" i="34"/>
  <c r="P540" i="34"/>
  <c r="K541" i="34"/>
  <c r="O541" i="34"/>
  <c r="P541" i="34"/>
  <c r="K542" i="34"/>
  <c r="O542" i="34"/>
  <c r="P542" i="34"/>
  <c r="K543" i="34"/>
  <c r="O543" i="34"/>
  <c r="P543" i="34"/>
  <c r="K544" i="34"/>
  <c r="O544" i="34"/>
  <c r="P544" i="34"/>
  <c r="K545" i="34"/>
  <c r="O545" i="34"/>
  <c r="P545" i="34"/>
  <c r="K546" i="34"/>
  <c r="O546" i="34"/>
  <c r="P546" i="34"/>
  <c r="K547" i="34"/>
  <c r="O547" i="34"/>
  <c r="P547" i="34"/>
  <c r="K548" i="34"/>
  <c r="O548" i="34"/>
  <c r="P548" i="34"/>
  <c r="K549" i="34"/>
  <c r="O549" i="34"/>
  <c r="P549" i="34"/>
  <c r="K550" i="34"/>
  <c r="O550" i="34"/>
  <c r="P550" i="34"/>
  <c r="K551" i="34"/>
  <c r="O551" i="34"/>
  <c r="P551" i="34"/>
  <c r="K552" i="34"/>
  <c r="O552" i="34"/>
  <c r="P552" i="34"/>
  <c r="K553" i="34"/>
  <c r="O553" i="34"/>
  <c r="P553" i="34"/>
  <c r="K554" i="34"/>
  <c r="O554" i="34"/>
  <c r="P554" i="34"/>
  <c r="K555" i="34"/>
  <c r="O555" i="34"/>
  <c r="P555" i="34"/>
  <c r="K556" i="34"/>
  <c r="O556" i="34"/>
  <c r="P556" i="34"/>
  <c r="K557" i="34"/>
  <c r="O557" i="34"/>
  <c r="P557" i="34"/>
  <c r="K558" i="34"/>
  <c r="O558" i="34"/>
  <c r="P558" i="34"/>
  <c r="K559" i="34"/>
  <c r="O559" i="34"/>
  <c r="P559" i="34"/>
  <c r="K560" i="34"/>
  <c r="O560" i="34"/>
  <c r="P560" i="34"/>
  <c r="K561" i="34"/>
  <c r="O561" i="34"/>
  <c r="P561" i="34"/>
  <c r="K562" i="34"/>
  <c r="O562" i="34"/>
  <c r="P562" i="34"/>
  <c r="K563" i="34"/>
  <c r="O563" i="34"/>
  <c r="P563" i="34"/>
  <c r="K564" i="34"/>
  <c r="O564" i="34"/>
  <c r="P564" i="34"/>
  <c r="K565" i="34"/>
  <c r="O565" i="34"/>
  <c r="P565" i="34"/>
  <c r="K566" i="34"/>
  <c r="O566" i="34"/>
  <c r="P566" i="34"/>
  <c r="K567" i="34"/>
  <c r="O567" i="34"/>
  <c r="P567" i="34"/>
  <c r="K568" i="34"/>
  <c r="O568" i="34"/>
  <c r="P568" i="34"/>
  <c r="K569" i="34"/>
  <c r="O569" i="34"/>
  <c r="P569" i="34"/>
  <c r="K570" i="34"/>
  <c r="O570" i="34"/>
  <c r="P570" i="34"/>
  <c r="K571" i="34"/>
  <c r="O571" i="34"/>
  <c r="P571" i="34"/>
  <c r="K572" i="34"/>
  <c r="O572" i="34"/>
  <c r="P572" i="34"/>
  <c r="K573" i="34"/>
  <c r="O573" i="34"/>
  <c r="P573" i="34"/>
  <c r="K574" i="34"/>
  <c r="O574" i="34"/>
  <c r="P574" i="34"/>
  <c r="K575" i="34"/>
  <c r="O575" i="34"/>
  <c r="P575" i="34"/>
  <c r="K576" i="34"/>
  <c r="O576" i="34"/>
  <c r="P576" i="34"/>
  <c r="K577" i="34"/>
  <c r="O577" i="34"/>
  <c r="P577" i="34"/>
  <c r="K578" i="34"/>
  <c r="O578" i="34"/>
  <c r="P578" i="34"/>
  <c r="K579" i="34"/>
  <c r="O579" i="34"/>
  <c r="P579" i="34"/>
  <c r="K580" i="34"/>
  <c r="O580" i="34"/>
  <c r="P580" i="34"/>
  <c r="K581" i="34"/>
  <c r="O581" i="34"/>
  <c r="P581" i="34"/>
  <c r="K582" i="34"/>
  <c r="O582" i="34"/>
  <c r="P582" i="34"/>
  <c r="K583" i="34"/>
  <c r="O583" i="34"/>
  <c r="P583" i="34"/>
  <c r="K584" i="34"/>
  <c r="O584" i="34"/>
  <c r="P584" i="34"/>
  <c r="K585" i="34"/>
  <c r="O585" i="34"/>
  <c r="P585" i="34"/>
  <c r="K586" i="34"/>
  <c r="O586" i="34"/>
  <c r="P586" i="34"/>
  <c r="K587" i="34"/>
  <c r="O587" i="34"/>
  <c r="P587" i="34"/>
  <c r="K588" i="34"/>
  <c r="O588" i="34"/>
  <c r="P588" i="34"/>
  <c r="K589" i="34"/>
  <c r="O589" i="34"/>
  <c r="P589" i="34"/>
  <c r="K590" i="34"/>
  <c r="O590" i="34"/>
  <c r="P590" i="34"/>
  <c r="K591" i="34"/>
  <c r="O591" i="34"/>
  <c r="P591" i="34"/>
  <c r="K592" i="34"/>
  <c r="O592" i="34"/>
  <c r="P592" i="34"/>
  <c r="K593" i="34"/>
  <c r="O593" i="34"/>
  <c r="P593" i="34"/>
  <c r="K594" i="34"/>
  <c r="O594" i="34"/>
  <c r="P594" i="34"/>
  <c r="K595" i="34"/>
  <c r="O595" i="34"/>
  <c r="P595" i="34"/>
  <c r="K596" i="34"/>
  <c r="O596" i="34"/>
  <c r="P596" i="34"/>
  <c r="K597" i="34"/>
  <c r="O597" i="34"/>
  <c r="P597" i="34"/>
  <c r="K598" i="34"/>
  <c r="O598" i="34"/>
  <c r="P598" i="34"/>
  <c r="K599" i="34"/>
  <c r="O599" i="34"/>
  <c r="P599" i="34"/>
  <c r="K600" i="34"/>
  <c r="O600" i="34"/>
  <c r="P600" i="34"/>
  <c r="K601" i="34"/>
  <c r="O601" i="34"/>
  <c r="P601" i="34"/>
  <c r="K602" i="34"/>
  <c r="O602" i="34"/>
  <c r="P602" i="34"/>
  <c r="K603" i="34"/>
  <c r="O603" i="34"/>
  <c r="P603" i="34"/>
  <c r="K604" i="34"/>
  <c r="O604" i="34"/>
  <c r="P604" i="34"/>
  <c r="K605" i="34"/>
  <c r="O605" i="34"/>
  <c r="P605" i="34"/>
  <c r="K606" i="34"/>
  <c r="O606" i="34"/>
  <c r="P606" i="34"/>
  <c r="K607" i="34"/>
  <c r="O607" i="34"/>
  <c r="P607" i="34"/>
  <c r="K608" i="34"/>
  <c r="O608" i="34"/>
  <c r="P608" i="34"/>
  <c r="K609" i="34"/>
  <c r="O609" i="34"/>
  <c r="P609" i="34"/>
  <c r="K610" i="34"/>
  <c r="O610" i="34"/>
  <c r="P610" i="34"/>
  <c r="K611" i="34"/>
  <c r="O611" i="34"/>
  <c r="P611" i="34"/>
  <c r="K612" i="34"/>
  <c r="O612" i="34"/>
  <c r="P612" i="34"/>
  <c r="K613" i="34"/>
  <c r="O613" i="34"/>
  <c r="P613" i="34"/>
  <c r="K614" i="34"/>
  <c r="O614" i="34"/>
  <c r="P614" i="34"/>
  <c r="K615" i="34"/>
  <c r="O615" i="34"/>
  <c r="P615" i="34"/>
  <c r="K616" i="34"/>
  <c r="O616" i="34"/>
  <c r="P616" i="34"/>
  <c r="K617" i="34"/>
  <c r="O617" i="34"/>
  <c r="P617" i="34"/>
  <c r="K618" i="34"/>
  <c r="O618" i="34"/>
  <c r="P618" i="34"/>
  <c r="K619" i="34"/>
  <c r="O619" i="34"/>
  <c r="P619" i="34"/>
  <c r="K620" i="34"/>
  <c r="O620" i="34"/>
  <c r="P620" i="34"/>
  <c r="K621" i="34"/>
  <c r="O621" i="34"/>
  <c r="P621" i="34"/>
  <c r="K622" i="34"/>
  <c r="O622" i="34"/>
  <c r="P622" i="34"/>
  <c r="K623" i="34"/>
  <c r="O623" i="34"/>
  <c r="P623" i="34"/>
  <c r="K624" i="34"/>
  <c r="O624" i="34"/>
  <c r="P624" i="34"/>
  <c r="K625" i="34"/>
  <c r="O625" i="34"/>
  <c r="P625" i="34"/>
  <c r="K626" i="34"/>
  <c r="O626" i="34"/>
  <c r="P626" i="34"/>
  <c r="K627" i="34"/>
  <c r="O627" i="34"/>
  <c r="P627" i="34"/>
  <c r="K628" i="34"/>
  <c r="O628" i="34"/>
  <c r="P628" i="34"/>
  <c r="K629" i="34"/>
  <c r="O629" i="34"/>
  <c r="P629" i="34"/>
  <c r="K630" i="34"/>
  <c r="O630" i="34"/>
  <c r="P630" i="34"/>
  <c r="K631" i="34"/>
  <c r="O631" i="34"/>
  <c r="P631" i="34"/>
  <c r="K632" i="34"/>
  <c r="O632" i="34"/>
  <c r="P632" i="34"/>
  <c r="K633" i="34"/>
  <c r="O633" i="34"/>
  <c r="P633" i="34"/>
  <c r="K634" i="34"/>
  <c r="O634" i="34"/>
  <c r="P634" i="34"/>
  <c r="K635" i="34"/>
  <c r="O635" i="34"/>
  <c r="P635" i="34"/>
  <c r="K636" i="34"/>
  <c r="O636" i="34"/>
  <c r="P636" i="34"/>
  <c r="K637" i="34"/>
  <c r="O637" i="34"/>
  <c r="P637" i="34"/>
  <c r="K638" i="34"/>
  <c r="O638" i="34"/>
  <c r="P638" i="34"/>
  <c r="K639" i="34"/>
  <c r="O639" i="34"/>
  <c r="P639" i="34"/>
  <c r="K640" i="34"/>
  <c r="O640" i="34"/>
  <c r="P640" i="34"/>
  <c r="K641" i="34"/>
  <c r="O641" i="34"/>
  <c r="P641" i="34"/>
  <c r="K642" i="34"/>
  <c r="O642" i="34"/>
  <c r="P642" i="34"/>
  <c r="K643" i="34"/>
  <c r="O643" i="34"/>
  <c r="P643" i="34"/>
  <c r="K644" i="34"/>
  <c r="O644" i="34"/>
  <c r="P644" i="34"/>
  <c r="K645" i="34"/>
  <c r="O645" i="34"/>
  <c r="P645" i="34"/>
  <c r="K646" i="34"/>
  <c r="O646" i="34"/>
  <c r="P646" i="34"/>
  <c r="K647" i="34"/>
  <c r="O647" i="34"/>
  <c r="P647" i="34"/>
  <c r="K648" i="34"/>
  <c r="O648" i="34"/>
  <c r="P648" i="34"/>
  <c r="K649" i="34"/>
  <c r="O649" i="34"/>
  <c r="P649" i="34"/>
  <c r="K650" i="34"/>
  <c r="O650" i="34"/>
  <c r="P650" i="34"/>
  <c r="K651" i="34"/>
  <c r="O651" i="34"/>
  <c r="P651" i="34"/>
  <c r="K652" i="34"/>
  <c r="O652" i="34"/>
  <c r="P652" i="34"/>
  <c r="K653" i="34"/>
  <c r="O653" i="34"/>
  <c r="P653" i="34"/>
  <c r="K654" i="34"/>
  <c r="O654" i="34"/>
  <c r="P654" i="34"/>
  <c r="K655" i="34"/>
  <c r="O655" i="34"/>
  <c r="P655" i="34"/>
  <c r="K656" i="34"/>
  <c r="O656" i="34"/>
  <c r="P656" i="34"/>
  <c r="K657" i="34"/>
  <c r="O657" i="34"/>
  <c r="P657" i="34"/>
  <c r="K658" i="34"/>
  <c r="O658" i="34"/>
  <c r="P658" i="34"/>
  <c r="K659" i="34"/>
  <c r="O659" i="34"/>
  <c r="P659" i="34"/>
  <c r="K660" i="34"/>
  <c r="O660" i="34"/>
  <c r="P660" i="34"/>
  <c r="K661" i="34"/>
  <c r="O661" i="34"/>
  <c r="P661" i="34"/>
  <c r="K662" i="34"/>
  <c r="O662" i="34"/>
  <c r="P662" i="34"/>
  <c r="K663" i="34"/>
  <c r="O663" i="34"/>
  <c r="P663" i="34"/>
  <c r="K664" i="34"/>
  <c r="O664" i="34"/>
  <c r="P664" i="34"/>
  <c r="K665" i="34"/>
  <c r="O665" i="34"/>
  <c r="P665" i="34"/>
  <c r="K666" i="34"/>
  <c r="O666" i="34"/>
  <c r="P666" i="34"/>
  <c r="K667" i="34"/>
  <c r="O667" i="34"/>
  <c r="P667" i="34"/>
  <c r="K668" i="34"/>
  <c r="O668" i="34"/>
  <c r="P668" i="34"/>
  <c r="K669" i="34"/>
  <c r="O669" i="34"/>
  <c r="P669" i="34"/>
  <c r="K670" i="34"/>
  <c r="O670" i="34"/>
  <c r="P670" i="34"/>
  <c r="K671" i="34"/>
  <c r="O671" i="34"/>
  <c r="P671" i="34"/>
  <c r="K672" i="34"/>
  <c r="O672" i="34"/>
  <c r="P672" i="34"/>
  <c r="K673" i="34"/>
  <c r="O673" i="34"/>
  <c r="P673" i="34"/>
  <c r="K674" i="34"/>
  <c r="O674" i="34"/>
  <c r="P674" i="34"/>
  <c r="K675" i="34"/>
  <c r="O675" i="34"/>
  <c r="P675" i="34"/>
  <c r="K676" i="34"/>
  <c r="O676" i="34"/>
  <c r="P676" i="34"/>
  <c r="K677" i="34"/>
  <c r="O677" i="34"/>
  <c r="P677" i="34"/>
  <c r="K678" i="34"/>
  <c r="O678" i="34"/>
  <c r="P678" i="34"/>
  <c r="K679" i="34"/>
  <c r="O679" i="34"/>
  <c r="P679" i="34"/>
  <c r="K680" i="34"/>
  <c r="O680" i="34"/>
  <c r="P680" i="34"/>
  <c r="K681" i="34"/>
  <c r="O681" i="34"/>
  <c r="P681" i="34"/>
  <c r="K682" i="34"/>
  <c r="O682" i="34"/>
  <c r="P682" i="34"/>
  <c r="K683" i="34"/>
  <c r="O683" i="34"/>
  <c r="P683" i="34"/>
  <c r="K684" i="34"/>
  <c r="O684" i="34"/>
  <c r="P684" i="34"/>
  <c r="K685" i="34"/>
  <c r="O685" i="34"/>
  <c r="P685" i="34"/>
  <c r="K686" i="34"/>
  <c r="O686" i="34"/>
  <c r="P686" i="34"/>
  <c r="K687" i="34"/>
  <c r="O687" i="34"/>
  <c r="P687" i="34"/>
  <c r="K688" i="34"/>
  <c r="O688" i="34"/>
  <c r="P688" i="34"/>
  <c r="K689" i="34"/>
  <c r="O689" i="34"/>
  <c r="P689" i="34"/>
  <c r="K690" i="34"/>
  <c r="O690" i="34"/>
  <c r="P690" i="34"/>
  <c r="K691" i="34"/>
  <c r="O691" i="34"/>
  <c r="P691" i="34"/>
  <c r="K692" i="34"/>
  <c r="O692" i="34"/>
  <c r="P692" i="34"/>
  <c r="K693" i="34"/>
  <c r="O693" i="34"/>
  <c r="P693" i="34"/>
  <c r="K694" i="34"/>
  <c r="O694" i="34"/>
  <c r="P694" i="34"/>
  <c r="K695" i="34"/>
  <c r="O695" i="34"/>
  <c r="P695" i="34"/>
  <c r="K696" i="34"/>
  <c r="O696" i="34"/>
  <c r="P696" i="34"/>
  <c r="K697" i="34"/>
  <c r="O697" i="34"/>
  <c r="P697" i="34"/>
  <c r="K698" i="34"/>
  <c r="O698" i="34"/>
  <c r="P698" i="34"/>
  <c r="K699" i="34"/>
  <c r="O699" i="34"/>
  <c r="P699" i="34"/>
  <c r="K700" i="34"/>
  <c r="O700" i="34"/>
  <c r="P700" i="34"/>
  <c r="K701" i="34"/>
  <c r="O701" i="34"/>
  <c r="P701" i="34"/>
  <c r="K702" i="34"/>
  <c r="O702" i="34"/>
  <c r="P702" i="34"/>
  <c r="K703" i="34"/>
  <c r="O703" i="34"/>
  <c r="P703" i="34"/>
  <c r="K704" i="34"/>
  <c r="O704" i="34"/>
  <c r="P704" i="34"/>
  <c r="K705" i="34"/>
  <c r="O705" i="34"/>
  <c r="P705" i="34"/>
  <c r="K706" i="34"/>
  <c r="O706" i="34"/>
  <c r="P706" i="34"/>
  <c r="K707" i="34"/>
  <c r="O707" i="34"/>
  <c r="P707" i="34"/>
  <c r="K708" i="34"/>
  <c r="O708" i="34"/>
  <c r="P708" i="34"/>
  <c r="K709" i="34"/>
  <c r="O709" i="34"/>
  <c r="P709" i="34"/>
  <c r="K710" i="34"/>
  <c r="O710" i="34"/>
  <c r="P710" i="34"/>
  <c r="K711" i="34"/>
  <c r="O711" i="34"/>
  <c r="P711" i="34"/>
  <c r="K712" i="34"/>
  <c r="O712" i="34"/>
  <c r="P712" i="34"/>
  <c r="K713" i="34"/>
  <c r="O713" i="34"/>
  <c r="P713" i="34"/>
  <c r="K714" i="34"/>
  <c r="O714" i="34"/>
  <c r="P714" i="34"/>
  <c r="K715" i="34"/>
  <c r="O715" i="34"/>
  <c r="P715" i="34"/>
  <c r="K716" i="34"/>
  <c r="O716" i="34"/>
  <c r="P716" i="34"/>
  <c r="K717" i="34"/>
  <c r="O717" i="34"/>
  <c r="P717" i="34"/>
  <c r="K718" i="34"/>
  <c r="O718" i="34"/>
  <c r="P718" i="34"/>
  <c r="K719" i="34"/>
  <c r="O719" i="34"/>
  <c r="P719" i="34"/>
  <c r="K720" i="34"/>
  <c r="O720" i="34"/>
  <c r="P720" i="34"/>
  <c r="K721" i="34"/>
  <c r="O721" i="34"/>
  <c r="P721" i="34"/>
  <c r="K722" i="34"/>
  <c r="O722" i="34"/>
  <c r="P722" i="34"/>
  <c r="K723" i="34"/>
  <c r="O723" i="34"/>
  <c r="P723" i="34"/>
  <c r="K724" i="34"/>
  <c r="O724" i="34"/>
  <c r="P724" i="34"/>
  <c r="K725" i="34"/>
  <c r="O725" i="34"/>
  <c r="P725" i="34"/>
  <c r="K726" i="34"/>
  <c r="O726" i="34"/>
  <c r="P726" i="34"/>
  <c r="K727" i="34"/>
  <c r="O727" i="34"/>
  <c r="P727" i="34"/>
  <c r="K728" i="34"/>
  <c r="O728" i="34"/>
  <c r="P728" i="34"/>
  <c r="K729" i="34"/>
  <c r="O729" i="34"/>
  <c r="P729" i="34"/>
  <c r="K730" i="34"/>
  <c r="O730" i="34"/>
  <c r="P730" i="34"/>
  <c r="K731" i="34"/>
  <c r="O731" i="34"/>
  <c r="P731" i="34"/>
  <c r="K732" i="34"/>
  <c r="O732" i="34"/>
  <c r="P732" i="34"/>
  <c r="K733" i="34"/>
  <c r="O733" i="34"/>
  <c r="P733" i="34"/>
  <c r="K734" i="34"/>
  <c r="O734" i="34"/>
  <c r="P734" i="34"/>
  <c r="K735" i="34"/>
  <c r="O735" i="34"/>
  <c r="P735" i="34"/>
  <c r="K736" i="34"/>
  <c r="O736" i="34"/>
  <c r="P736" i="34"/>
  <c r="K737" i="34"/>
  <c r="O737" i="34"/>
  <c r="P737" i="34"/>
  <c r="K738" i="34"/>
  <c r="O738" i="34"/>
  <c r="P738" i="34"/>
  <c r="K739" i="34"/>
  <c r="O739" i="34"/>
  <c r="P739" i="34"/>
  <c r="K740" i="34"/>
  <c r="O740" i="34"/>
  <c r="P740" i="34"/>
  <c r="K741" i="34"/>
  <c r="O741" i="34"/>
  <c r="P741" i="34"/>
  <c r="K742" i="34"/>
  <c r="O742" i="34"/>
  <c r="P742" i="34"/>
  <c r="K743" i="34"/>
  <c r="O743" i="34"/>
  <c r="P743" i="34"/>
  <c r="K744" i="34"/>
  <c r="O744" i="34"/>
  <c r="P744" i="34"/>
  <c r="K745" i="34"/>
  <c r="O745" i="34"/>
  <c r="P745" i="34"/>
  <c r="K746" i="34"/>
  <c r="O746" i="34"/>
  <c r="P746" i="34"/>
  <c r="K747" i="34"/>
  <c r="O747" i="34"/>
  <c r="P747" i="34"/>
  <c r="K748" i="34"/>
  <c r="O748" i="34"/>
  <c r="P748" i="34"/>
  <c r="K749" i="34"/>
  <c r="O749" i="34"/>
  <c r="P749" i="34"/>
  <c r="K750" i="34"/>
  <c r="O750" i="34"/>
  <c r="P750" i="34"/>
  <c r="K751" i="34"/>
  <c r="O751" i="34"/>
  <c r="P751" i="34"/>
  <c r="K752" i="34"/>
  <c r="O752" i="34"/>
  <c r="P752" i="34"/>
  <c r="K753" i="34"/>
  <c r="O753" i="34"/>
  <c r="P753" i="34"/>
  <c r="K754" i="34"/>
  <c r="O754" i="34"/>
  <c r="P754" i="34"/>
  <c r="K755" i="34"/>
  <c r="O755" i="34"/>
  <c r="P755" i="34"/>
  <c r="K756" i="34"/>
  <c r="O756" i="34"/>
  <c r="P756" i="34"/>
  <c r="K757" i="34"/>
  <c r="O757" i="34"/>
  <c r="P757" i="34"/>
  <c r="K758" i="34"/>
  <c r="O758" i="34"/>
  <c r="P758" i="34"/>
  <c r="K759" i="34"/>
  <c r="O759" i="34"/>
  <c r="P759" i="34"/>
  <c r="K760" i="34"/>
  <c r="O760" i="34"/>
  <c r="P760" i="34"/>
  <c r="K761" i="34"/>
  <c r="O761" i="34"/>
  <c r="P761" i="34"/>
  <c r="K762" i="34"/>
  <c r="O762" i="34"/>
  <c r="P762" i="34"/>
  <c r="K763" i="34"/>
  <c r="O763" i="34"/>
  <c r="P763" i="34"/>
  <c r="K764" i="34"/>
  <c r="O764" i="34"/>
  <c r="P764" i="34"/>
  <c r="K765" i="34"/>
  <c r="O765" i="34"/>
  <c r="P765" i="34"/>
  <c r="K766" i="34"/>
  <c r="O766" i="34"/>
  <c r="P766" i="34"/>
  <c r="K767" i="34"/>
  <c r="O767" i="34"/>
  <c r="P767" i="34"/>
  <c r="K768" i="34"/>
  <c r="O768" i="34"/>
  <c r="P768" i="34"/>
  <c r="K769" i="34"/>
  <c r="O769" i="34"/>
  <c r="P769" i="34"/>
  <c r="K770" i="34"/>
  <c r="O770" i="34"/>
  <c r="P770" i="34"/>
  <c r="K771" i="34"/>
  <c r="O771" i="34"/>
  <c r="P771" i="34"/>
  <c r="K772" i="34"/>
  <c r="O772" i="34"/>
  <c r="P772" i="34"/>
  <c r="K773" i="34"/>
  <c r="O773" i="34"/>
  <c r="P773" i="34"/>
  <c r="K774" i="34"/>
  <c r="O774" i="34"/>
  <c r="P774" i="34"/>
  <c r="K775" i="34"/>
  <c r="O775" i="34"/>
  <c r="P775" i="34"/>
  <c r="K776" i="34"/>
  <c r="O776" i="34"/>
  <c r="P776" i="34"/>
  <c r="K777" i="34"/>
  <c r="O777" i="34"/>
  <c r="P777" i="34"/>
  <c r="K778" i="34"/>
  <c r="O778" i="34"/>
  <c r="P778" i="34"/>
  <c r="K779" i="34"/>
  <c r="O779" i="34"/>
  <c r="P779" i="34"/>
  <c r="K780" i="34"/>
  <c r="O780" i="34"/>
  <c r="P780" i="34"/>
  <c r="K781" i="34"/>
  <c r="O781" i="34"/>
  <c r="P781" i="34"/>
  <c r="K782" i="34"/>
  <c r="O782" i="34"/>
  <c r="P782" i="34"/>
  <c r="K783" i="34"/>
  <c r="O783" i="34"/>
  <c r="P783" i="34"/>
  <c r="K784" i="34"/>
  <c r="O784" i="34"/>
  <c r="P784" i="34"/>
  <c r="K785" i="34"/>
  <c r="O785" i="34"/>
  <c r="P785" i="34"/>
  <c r="K786" i="34"/>
  <c r="O786" i="34"/>
  <c r="P786" i="34"/>
  <c r="K787" i="34"/>
  <c r="O787" i="34"/>
  <c r="P787" i="34"/>
  <c r="K788" i="34"/>
  <c r="O788" i="34"/>
  <c r="P788" i="34"/>
  <c r="K789" i="34"/>
  <c r="O789" i="34"/>
  <c r="P789" i="34"/>
  <c r="K790" i="34"/>
  <c r="O790" i="34"/>
  <c r="P790" i="34"/>
  <c r="K791" i="34"/>
  <c r="O791" i="34"/>
  <c r="P791" i="34"/>
  <c r="K792" i="34"/>
  <c r="O792" i="34"/>
  <c r="P792" i="34"/>
  <c r="K793" i="34"/>
  <c r="O793" i="34"/>
  <c r="P793" i="34"/>
  <c r="K794" i="34"/>
  <c r="O794" i="34"/>
  <c r="P794" i="34"/>
  <c r="K795" i="34"/>
  <c r="O795" i="34"/>
  <c r="P795" i="34"/>
  <c r="K796" i="34"/>
  <c r="O796" i="34"/>
  <c r="P796" i="34"/>
  <c r="K797" i="34"/>
  <c r="O797" i="34"/>
  <c r="P797" i="34"/>
  <c r="K798" i="34"/>
  <c r="O798" i="34"/>
  <c r="P798" i="34"/>
  <c r="K799" i="34"/>
  <c r="O799" i="34"/>
  <c r="P799" i="34"/>
  <c r="K800" i="34"/>
  <c r="O800" i="34"/>
  <c r="P800" i="34"/>
  <c r="K801" i="34"/>
  <c r="O801" i="34"/>
  <c r="P801" i="34"/>
  <c r="K802" i="34"/>
  <c r="O802" i="34"/>
  <c r="P802" i="34"/>
  <c r="K803" i="34"/>
  <c r="O803" i="34"/>
  <c r="P803" i="34"/>
  <c r="K804" i="34"/>
  <c r="O804" i="34"/>
  <c r="P804" i="34"/>
  <c r="K805" i="34"/>
  <c r="O805" i="34"/>
  <c r="P805" i="34"/>
  <c r="K806" i="34"/>
  <c r="O806" i="34"/>
  <c r="P806" i="34"/>
  <c r="K807" i="34"/>
  <c r="O807" i="34"/>
  <c r="P807" i="34"/>
  <c r="K808" i="34"/>
  <c r="O808" i="34"/>
  <c r="P808" i="34"/>
  <c r="K809" i="34"/>
  <c r="O809" i="34"/>
  <c r="P809" i="34"/>
  <c r="K810" i="34"/>
  <c r="O810" i="34"/>
  <c r="P810" i="34"/>
  <c r="K811" i="34"/>
  <c r="O811" i="34"/>
  <c r="P811" i="34"/>
  <c r="K812" i="34"/>
  <c r="O812" i="34"/>
  <c r="P812" i="34"/>
  <c r="K813" i="34"/>
  <c r="O813" i="34"/>
  <c r="P813" i="34"/>
  <c r="K814" i="34"/>
  <c r="O814" i="34"/>
  <c r="P814" i="34"/>
  <c r="K815" i="34"/>
  <c r="O815" i="34"/>
  <c r="P815" i="34"/>
  <c r="K816" i="34"/>
  <c r="O816" i="34"/>
  <c r="P816" i="34"/>
  <c r="K817" i="34"/>
  <c r="O817" i="34"/>
  <c r="P817" i="34"/>
  <c r="K818" i="34"/>
  <c r="O818" i="34"/>
  <c r="P818" i="34"/>
  <c r="K819" i="34"/>
  <c r="O819" i="34"/>
  <c r="P819" i="34"/>
  <c r="K820" i="34"/>
  <c r="O820" i="34"/>
  <c r="P820" i="34"/>
  <c r="K821" i="34"/>
  <c r="O821" i="34"/>
  <c r="P821" i="34"/>
  <c r="K822" i="34"/>
  <c r="O822" i="34"/>
  <c r="P822" i="34"/>
  <c r="K823" i="34"/>
  <c r="O823" i="34"/>
  <c r="P823" i="34"/>
  <c r="K824" i="34"/>
  <c r="O824" i="34"/>
  <c r="P824" i="34"/>
  <c r="K825" i="34"/>
  <c r="O825" i="34"/>
  <c r="P825" i="34"/>
  <c r="K826" i="34"/>
  <c r="O826" i="34"/>
  <c r="P826" i="34"/>
  <c r="K827" i="34"/>
  <c r="O827" i="34"/>
  <c r="P827" i="34"/>
  <c r="K828" i="34"/>
  <c r="O828" i="34"/>
  <c r="P828" i="34"/>
  <c r="K829" i="34"/>
  <c r="O829" i="34"/>
  <c r="P829" i="34"/>
  <c r="K830" i="34"/>
  <c r="O830" i="34"/>
  <c r="P830" i="34"/>
  <c r="K831" i="34"/>
  <c r="O831" i="34"/>
  <c r="P831" i="34"/>
  <c r="K832" i="34"/>
  <c r="O832" i="34"/>
  <c r="P832" i="34"/>
  <c r="K833" i="34"/>
  <c r="O833" i="34"/>
  <c r="P833" i="34"/>
  <c r="K834" i="34"/>
  <c r="O834" i="34"/>
  <c r="P834" i="34"/>
  <c r="K835" i="34"/>
  <c r="O835" i="34"/>
  <c r="P835" i="34"/>
  <c r="K836" i="34"/>
  <c r="O836" i="34"/>
  <c r="P836" i="34"/>
  <c r="K837" i="34"/>
  <c r="O837" i="34"/>
  <c r="P837" i="34"/>
  <c r="K838" i="34"/>
  <c r="O838" i="34"/>
  <c r="P838" i="34"/>
  <c r="K839" i="34"/>
  <c r="O839" i="34"/>
  <c r="P839" i="34"/>
  <c r="K840" i="34"/>
  <c r="O840" i="34"/>
  <c r="P840" i="34"/>
  <c r="K841" i="34"/>
  <c r="O841" i="34"/>
  <c r="P841" i="34"/>
  <c r="K842" i="34"/>
  <c r="O842" i="34"/>
  <c r="P842" i="34"/>
  <c r="K843" i="34"/>
  <c r="O843" i="34"/>
  <c r="P843" i="34"/>
  <c r="K844" i="34"/>
  <c r="O844" i="34"/>
  <c r="P844" i="34"/>
  <c r="K845" i="34"/>
  <c r="O845" i="34"/>
  <c r="P845" i="34"/>
  <c r="K846" i="34"/>
  <c r="O846" i="34"/>
  <c r="P846" i="34"/>
  <c r="K847" i="34"/>
  <c r="O847" i="34"/>
  <c r="P847" i="34"/>
  <c r="K848" i="34"/>
  <c r="O848" i="34"/>
  <c r="P848" i="34"/>
  <c r="K849" i="34"/>
  <c r="O849" i="34"/>
  <c r="P849" i="34"/>
  <c r="K850" i="34"/>
  <c r="O850" i="34"/>
  <c r="P850" i="34"/>
  <c r="K851" i="34"/>
  <c r="O851" i="34"/>
  <c r="P851" i="34"/>
  <c r="K852" i="34"/>
  <c r="O852" i="34"/>
  <c r="P852" i="34"/>
  <c r="K853" i="34"/>
  <c r="O853" i="34"/>
  <c r="P853" i="34"/>
  <c r="K854" i="34"/>
  <c r="O854" i="34"/>
  <c r="P854" i="34"/>
  <c r="K855" i="34"/>
  <c r="O855" i="34"/>
  <c r="P855" i="34"/>
  <c r="K856" i="34"/>
  <c r="O856" i="34"/>
  <c r="P856" i="34"/>
  <c r="K857" i="34"/>
  <c r="O857" i="34"/>
  <c r="P857" i="34"/>
  <c r="K858" i="34"/>
  <c r="O858" i="34"/>
  <c r="P858" i="34"/>
  <c r="K859" i="34"/>
  <c r="O859" i="34"/>
  <c r="P859" i="34"/>
  <c r="K860" i="34"/>
  <c r="O860" i="34"/>
  <c r="P860" i="34"/>
  <c r="K861" i="34"/>
  <c r="O861" i="34"/>
  <c r="P861" i="34"/>
  <c r="K862" i="34"/>
  <c r="O862" i="34"/>
  <c r="P862" i="34"/>
  <c r="K863" i="34"/>
  <c r="O863" i="34"/>
  <c r="P863" i="34"/>
  <c r="K864" i="34"/>
  <c r="O864" i="34"/>
  <c r="P864" i="34"/>
  <c r="K865" i="34"/>
  <c r="O865" i="34"/>
  <c r="P865" i="34"/>
  <c r="K866" i="34"/>
  <c r="O866" i="34"/>
  <c r="P866" i="34"/>
  <c r="K867" i="34"/>
  <c r="O867" i="34"/>
  <c r="P867" i="34"/>
  <c r="K868" i="34"/>
  <c r="O868" i="34"/>
  <c r="P868" i="34"/>
  <c r="K869" i="34"/>
  <c r="O869" i="34"/>
  <c r="P869" i="34"/>
  <c r="K870" i="34"/>
  <c r="O870" i="34"/>
  <c r="P870" i="34"/>
  <c r="K871" i="34"/>
  <c r="O871" i="34"/>
  <c r="P871" i="34"/>
  <c r="K872" i="34"/>
  <c r="O872" i="34"/>
  <c r="P872" i="34"/>
  <c r="K873" i="34"/>
  <c r="O873" i="34"/>
  <c r="P873" i="34"/>
  <c r="K874" i="34"/>
  <c r="O874" i="34"/>
  <c r="P874" i="34"/>
  <c r="K875" i="34"/>
  <c r="O875" i="34"/>
  <c r="P875" i="34"/>
  <c r="K876" i="34"/>
  <c r="O876" i="34"/>
  <c r="P876" i="34"/>
  <c r="K877" i="34"/>
  <c r="O877" i="34"/>
  <c r="P877" i="34"/>
  <c r="K878" i="34"/>
  <c r="O878" i="34"/>
  <c r="P878" i="34"/>
  <c r="K879" i="34"/>
  <c r="O879" i="34"/>
  <c r="P879" i="34"/>
  <c r="K880" i="34"/>
  <c r="O880" i="34"/>
  <c r="P880" i="34"/>
  <c r="K881" i="34"/>
  <c r="O881" i="34"/>
  <c r="P881" i="34"/>
  <c r="K882" i="34"/>
  <c r="O882" i="34"/>
  <c r="P882" i="34"/>
  <c r="K883" i="34"/>
  <c r="O883" i="34"/>
  <c r="P883" i="34"/>
  <c r="K884" i="34"/>
  <c r="O884" i="34"/>
  <c r="P884" i="34"/>
  <c r="K885" i="34"/>
  <c r="O885" i="34"/>
  <c r="P885" i="34"/>
  <c r="K886" i="34"/>
  <c r="O886" i="34"/>
  <c r="P886" i="34"/>
  <c r="K887" i="34"/>
  <c r="O887" i="34"/>
  <c r="P887" i="34"/>
  <c r="K888" i="34"/>
  <c r="O888" i="34"/>
  <c r="P888" i="34"/>
  <c r="K889" i="34"/>
  <c r="O889" i="34"/>
  <c r="P889" i="34"/>
  <c r="K890" i="34"/>
  <c r="O890" i="34"/>
  <c r="P890" i="34"/>
  <c r="K891" i="34"/>
  <c r="O891" i="34"/>
  <c r="P891" i="34"/>
  <c r="K892" i="34"/>
  <c r="O892" i="34"/>
  <c r="P892" i="34"/>
  <c r="K893" i="34"/>
  <c r="O893" i="34"/>
  <c r="P893" i="34"/>
  <c r="K894" i="34"/>
  <c r="O894" i="34"/>
  <c r="P894" i="34"/>
  <c r="K895" i="34"/>
  <c r="O895" i="34"/>
  <c r="P895" i="34"/>
  <c r="K896" i="34"/>
  <c r="O896" i="34"/>
  <c r="P896" i="34"/>
  <c r="K897" i="34"/>
  <c r="O897" i="34"/>
  <c r="P897" i="34"/>
  <c r="K898" i="34"/>
  <c r="O898" i="34"/>
  <c r="P898" i="34"/>
  <c r="K899" i="34"/>
  <c r="O899" i="34"/>
  <c r="P899" i="34"/>
  <c r="K900" i="34"/>
  <c r="O900" i="34"/>
  <c r="P900" i="34"/>
  <c r="K901" i="34"/>
  <c r="O901" i="34"/>
  <c r="P901" i="34"/>
  <c r="K902" i="34"/>
  <c r="O902" i="34"/>
  <c r="P902" i="34"/>
  <c r="K903" i="34"/>
  <c r="O903" i="34"/>
  <c r="P903" i="34"/>
  <c r="K904" i="34"/>
  <c r="O904" i="34"/>
  <c r="P904" i="34"/>
  <c r="K905" i="34"/>
  <c r="O905" i="34"/>
  <c r="P905" i="34"/>
  <c r="K906" i="34"/>
  <c r="O906" i="34"/>
  <c r="P906" i="34"/>
  <c r="K907" i="34"/>
  <c r="O907" i="34"/>
  <c r="P907" i="34"/>
  <c r="K908" i="34"/>
  <c r="O908" i="34"/>
  <c r="P908" i="34"/>
  <c r="K909" i="34"/>
  <c r="O909" i="34"/>
  <c r="P909" i="34"/>
  <c r="K910" i="34"/>
  <c r="O910" i="34"/>
  <c r="P910" i="34"/>
  <c r="K911" i="34"/>
  <c r="O911" i="34"/>
  <c r="P911" i="34"/>
  <c r="K912" i="34"/>
  <c r="O912" i="34"/>
  <c r="P912" i="34"/>
  <c r="K913" i="34"/>
  <c r="O913" i="34"/>
  <c r="P913" i="34"/>
  <c r="K914" i="34"/>
  <c r="O914" i="34"/>
  <c r="P914" i="34"/>
  <c r="K915" i="34"/>
  <c r="O915" i="34"/>
  <c r="P915" i="34"/>
  <c r="K916" i="34"/>
  <c r="O916" i="34"/>
  <c r="P916" i="34"/>
  <c r="K917" i="34"/>
  <c r="O917" i="34"/>
  <c r="P917" i="34"/>
  <c r="K918" i="34"/>
  <c r="O918" i="34"/>
  <c r="P918" i="34"/>
  <c r="K919" i="34"/>
  <c r="O919" i="34"/>
  <c r="P919" i="34"/>
  <c r="K920" i="34"/>
  <c r="O920" i="34"/>
  <c r="P920" i="34"/>
  <c r="K921" i="34"/>
  <c r="O921" i="34"/>
  <c r="P921" i="34"/>
  <c r="K922" i="34"/>
  <c r="O922" i="34"/>
  <c r="P922" i="34"/>
  <c r="K923" i="34"/>
  <c r="O923" i="34"/>
  <c r="P923" i="34"/>
  <c r="K924" i="34"/>
  <c r="O924" i="34"/>
  <c r="P924" i="34"/>
  <c r="K925" i="34"/>
  <c r="O925" i="34"/>
  <c r="P925" i="34"/>
  <c r="K926" i="34"/>
  <c r="O926" i="34"/>
  <c r="P926" i="34"/>
  <c r="K927" i="34"/>
  <c r="O927" i="34"/>
  <c r="P927" i="34"/>
  <c r="K928" i="34"/>
  <c r="O928" i="34"/>
  <c r="P928" i="34"/>
  <c r="K929" i="34"/>
  <c r="O929" i="34"/>
  <c r="P929" i="34"/>
  <c r="K930" i="34"/>
  <c r="O930" i="34"/>
  <c r="P930" i="34"/>
  <c r="K931" i="34"/>
  <c r="O931" i="34"/>
  <c r="P931" i="34"/>
  <c r="K932" i="34"/>
  <c r="O932" i="34"/>
  <c r="P932" i="34"/>
  <c r="K933" i="34"/>
  <c r="O933" i="34"/>
  <c r="P933" i="34"/>
  <c r="K934" i="34"/>
  <c r="O934" i="34"/>
  <c r="P934" i="34"/>
  <c r="K935" i="34"/>
  <c r="O935" i="34"/>
  <c r="P935" i="34"/>
  <c r="K936" i="34"/>
  <c r="O936" i="34"/>
  <c r="P936" i="34"/>
  <c r="K937" i="34"/>
  <c r="O937" i="34"/>
  <c r="P937" i="34"/>
  <c r="K938" i="34"/>
  <c r="O938" i="34"/>
  <c r="P938" i="34"/>
  <c r="K939" i="34"/>
  <c r="O939" i="34"/>
  <c r="P939" i="34"/>
  <c r="K940" i="34"/>
  <c r="O940" i="34"/>
  <c r="P940" i="34"/>
  <c r="K941" i="34"/>
  <c r="O941" i="34"/>
  <c r="P941" i="34"/>
  <c r="K942" i="34"/>
  <c r="O942" i="34"/>
  <c r="P942" i="34"/>
  <c r="K943" i="34"/>
  <c r="O943" i="34"/>
  <c r="P943" i="34"/>
  <c r="K944" i="34"/>
  <c r="O944" i="34"/>
  <c r="P944" i="34"/>
  <c r="K945" i="34"/>
  <c r="O945" i="34"/>
  <c r="P945" i="34"/>
  <c r="K946" i="34"/>
  <c r="O946" i="34"/>
  <c r="P946" i="34"/>
  <c r="K947" i="34"/>
  <c r="O947" i="34"/>
  <c r="P947" i="34"/>
  <c r="K948" i="34"/>
  <c r="O948" i="34"/>
  <c r="P948" i="34"/>
  <c r="K949" i="34"/>
  <c r="O949" i="34"/>
  <c r="P949" i="34"/>
  <c r="K950" i="34"/>
  <c r="O950" i="34"/>
  <c r="P950" i="34"/>
  <c r="K951" i="34"/>
  <c r="O951" i="34"/>
  <c r="P951" i="34"/>
  <c r="K952" i="34"/>
  <c r="O952" i="34"/>
  <c r="P952" i="34"/>
  <c r="K953" i="34"/>
  <c r="O953" i="34"/>
  <c r="P953" i="34"/>
  <c r="K954" i="34"/>
  <c r="O954" i="34"/>
  <c r="P954" i="34"/>
  <c r="K955" i="34"/>
  <c r="O955" i="34"/>
  <c r="P955" i="34"/>
  <c r="K956" i="34"/>
  <c r="O956" i="34"/>
  <c r="P956" i="34"/>
  <c r="K957" i="34"/>
  <c r="O957" i="34"/>
  <c r="P957" i="34"/>
  <c r="K958" i="34"/>
  <c r="O958" i="34"/>
  <c r="P958" i="34"/>
  <c r="K959" i="34"/>
  <c r="O959" i="34"/>
  <c r="P959" i="34"/>
  <c r="K960" i="34"/>
  <c r="O960" i="34"/>
  <c r="P960" i="34"/>
  <c r="K961" i="34"/>
  <c r="O961" i="34"/>
  <c r="P961" i="34"/>
  <c r="K962" i="34"/>
  <c r="O962" i="34"/>
  <c r="P962" i="34"/>
  <c r="K963" i="34"/>
  <c r="O963" i="34"/>
  <c r="P963" i="34"/>
  <c r="K964" i="34"/>
  <c r="O964" i="34"/>
  <c r="P964" i="34"/>
  <c r="K965" i="34"/>
  <c r="O965" i="34"/>
  <c r="P965" i="34"/>
  <c r="K966" i="34"/>
  <c r="O966" i="34"/>
  <c r="P966" i="34"/>
  <c r="K967" i="34"/>
  <c r="O967" i="34"/>
  <c r="P967" i="34"/>
  <c r="K968" i="34"/>
  <c r="O968" i="34"/>
  <c r="P968" i="34"/>
  <c r="K969" i="34"/>
  <c r="O969" i="34"/>
  <c r="P969" i="34"/>
  <c r="K970" i="34"/>
  <c r="O970" i="34"/>
  <c r="P970" i="34"/>
  <c r="K971" i="34"/>
  <c r="O971" i="34"/>
  <c r="P971" i="34"/>
  <c r="K972" i="34"/>
  <c r="O972" i="34"/>
  <c r="P972" i="34"/>
  <c r="K973" i="34"/>
  <c r="O973" i="34"/>
  <c r="P973" i="34"/>
  <c r="K974" i="34"/>
  <c r="O974" i="34"/>
  <c r="P974" i="34"/>
  <c r="K975" i="34"/>
  <c r="O975" i="34"/>
  <c r="P975" i="34"/>
  <c r="K976" i="34"/>
  <c r="O976" i="34"/>
  <c r="P976" i="34"/>
  <c r="K977" i="34"/>
  <c r="O977" i="34"/>
  <c r="P977" i="34"/>
  <c r="K978" i="34"/>
  <c r="O978" i="34"/>
  <c r="P978" i="34"/>
  <c r="K979" i="34"/>
  <c r="O979" i="34"/>
  <c r="P979" i="34"/>
  <c r="K980" i="34"/>
  <c r="O980" i="34"/>
  <c r="P980" i="34"/>
  <c r="K981" i="34"/>
  <c r="O981" i="34"/>
  <c r="P981" i="34"/>
  <c r="K982" i="34"/>
  <c r="O982" i="34"/>
  <c r="P982" i="34"/>
  <c r="K983" i="34"/>
  <c r="O983" i="34"/>
  <c r="P983" i="34"/>
  <c r="K984" i="34"/>
  <c r="O984" i="34"/>
  <c r="P984" i="34"/>
  <c r="K985" i="34"/>
  <c r="O985" i="34"/>
  <c r="P985" i="34"/>
  <c r="K986" i="34"/>
  <c r="O986" i="34"/>
  <c r="P986" i="34"/>
  <c r="K987" i="34"/>
  <c r="O987" i="34"/>
  <c r="P987" i="34"/>
  <c r="K988" i="34"/>
  <c r="O988" i="34"/>
  <c r="P988" i="34"/>
  <c r="K989" i="34"/>
  <c r="O989" i="34"/>
  <c r="P989" i="34"/>
  <c r="K990" i="34"/>
  <c r="O990" i="34"/>
  <c r="P990" i="34"/>
  <c r="K991" i="34"/>
  <c r="O991" i="34"/>
  <c r="P991" i="34"/>
  <c r="K992" i="34"/>
  <c r="O992" i="34"/>
  <c r="P992" i="34"/>
  <c r="K993" i="34"/>
  <c r="O993" i="34"/>
  <c r="P993" i="34"/>
  <c r="K994" i="34"/>
  <c r="O994" i="34"/>
  <c r="P994" i="34"/>
  <c r="K995" i="34"/>
  <c r="O995" i="34"/>
  <c r="P995" i="34"/>
  <c r="K996" i="34"/>
  <c r="O996" i="34"/>
  <c r="P996" i="34"/>
  <c r="K997" i="34"/>
  <c r="O997" i="34"/>
  <c r="P997" i="34"/>
  <c r="K998" i="34"/>
  <c r="O998" i="34"/>
  <c r="P998" i="34"/>
  <c r="K999" i="34"/>
  <c r="O999" i="34"/>
  <c r="P999" i="34"/>
  <c r="K1000" i="34"/>
  <c r="O1000" i="34"/>
  <c r="P1000" i="34"/>
  <c r="K1001" i="34"/>
  <c r="O1001" i="34"/>
  <c r="P1001" i="34"/>
  <c r="BG260" i="34"/>
  <c r="BG252" i="34"/>
  <c r="BG156" i="34"/>
  <c r="BG148" i="34"/>
  <c r="BG471" i="34"/>
  <c r="BG418" i="34"/>
  <c r="BG378" i="34"/>
  <c r="BG106" i="34"/>
  <c r="BG34" i="34"/>
  <c r="BG501" i="34"/>
  <c r="BG477" i="34"/>
  <c r="BG400" i="34"/>
  <c r="BG384" i="34"/>
  <c r="BG368" i="34"/>
  <c r="BG287" i="34"/>
  <c r="BG215" i="34"/>
  <c r="BG199" i="34"/>
  <c r="BG143" i="34"/>
  <c r="BG318" i="34"/>
  <c r="BG302" i="34"/>
  <c r="BG286" i="34"/>
  <c r="BG317" i="34"/>
  <c r="BG309" i="34"/>
  <c r="BG285" i="34"/>
  <c r="BG269" i="34"/>
  <c r="BG117" i="34"/>
  <c r="BG101" i="34"/>
  <c r="BG93" i="34"/>
  <c r="BG281" i="34"/>
  <c r="BG249" i="34"/>
  <c r="BG121" i="34"/>
  <c r="BG105" i="34"/>
  <c r="BG104" i="34"/>
  <c r="BG72" i="34"/>
  <c r="BG475" i="34"/>
  <c r="BG358" i="34"/>
  <c r="BG262" i="34"/>
  <c r="BG198" i="34"/>
  <c r="BG166" i="34"/>
  <c r="BG209" i="34"/>
  <c r="BG193" i="34"/>
  <c r="BG177" i="34"/>
  <c r="BG171" i="34"/>
  <c r="BG235" i="34"/>
  <c r="BG202" i="34"/>
  <c r="BG138" i="34"/>
  <c r="BG74" i="34"/>
  <c r="BG445" i="34"/>
  <c r="BG381" i="34"/>
  <c r="BG264" i="34"/>
  <c r="BG11" i="34"/>
  <c r="BG159" i="34"/>
  <c r="BG311" i="34"/>
  <c r="BG401" i="34"/>
  <c r="BG170" i="34"/>
  <c r="BG242" i="34"/>
  <c r="BG428" i="34"/>
  <c r="BG488" i="34"/>
  <c r="BG210" i="34"/>
  <c r="BG284" i="34"/>
  <c r="BG222" i="34"/>
  <c r="BG344" i="34"/>
  <c r="BG492" i="34"/>
  <c r="BG14" i="34"/>
  <c r="BG71" i="34"/>
  <c r="BG496" i="34"/>
  <c r="BG218" i="34"/>
  <c r="BG60" i="34"/>
  <c r="BG404" i="34"/>
  <c r="BG87" i="34"/>
  <c r="BG435" i="34"/>
  <c r="BG125" i="34"/>
  <c r="BG39" i="34"/>
  <c r="BG416" i="34"/>
  <c r="BG154" i="34"/>
  <c r="BG348" i="34"/>
  <c r="BG350" i="34"/>
  <c r="BG396" i="34"/>
  <c r="BG140" i="34"/>
  <c r="BG187" i="34"/>
  <c r="BG251" i="34"/>
  <c r="BG331" i="34"/>
  <c r="BG305" i="34"/>
  <c r="BG227" i="34"/>
  <c r="BG165" i="34"/>
  <c r="BG413" i="34"/>
  <c r="BG306" i="34"/>
  <c r="BG476" i="34"/>
  <c r="BG332" i="34"/>
  <c r="BG188" i="34"/>
  <c r="BG36" i="34"/>
  <c r="BG434" i="34"/>
  <c r="BG493" i="34"/>
  <c r="BG279" i="34"/>
  <c r="BG135" i="34"/>
  <c r="BG174" i="34"/>
  <c r="BG431" i="34"/>
  <c r="BG277" i="34"/>
  <c r="BG149" i="34"/>
  <c r="BG21" i="34"/>
  <c r="BG424" i="34"/>
  <c r="BG339" i="34"/>
  <c r="BG81" i="34"/>
  <c r="BG299" i="34"/>
  <c r="BG364" i="34"/>
  <c r="BG10" i="34"/>
  <c r="BG430" i="34"/>
  <c r="BG195" i="34"/>
  <c r="BG212" i="34"/>
  <c r="BG28" i="34"/>
  <c r="BG426" i="34"/>
  <c r="BG130" i="34"/>
  <c r="BG485" i="34"/>
  <c r="BG341" i="34"/>
  <c r="BG240" i="34"/>
  <c r="BG315" i="34"/>
  <c r="BG52" i="34"/>
  <c r="BG405" i="34"/>
  <c r="BG320" i="34"/>
  <c r="BG271" i="34"/>
  <c r="BG119" i="34"/>
  <c r="BG382" i="34"/>
  <c r="BG110" i="34"/>
  <c r="BG367" i="34"/>
  <c r="BG278" i="34"/>
  <c r="BG40" i="34"/>
  <c r="BG179" i="34"/>
  <c r="BG326" i="34"/>
  <c r="BG49" i="34"/>
  <c r="BG155" i="34"/>
  <c r="BG216" i="34"/>
  <c r="BG44" i="34"/>
  <c r="BG96" i="34"/>
  <c r="BG231" i="34"/>
  <c r="BG380" i="34"/>
  <c r="BG204" i="34"/>
  <c r="BG20" i="34"/>
  <c r="BG226" i="34"/>
  <c r="BG58" i="34"/>
  <c r="BG397" i="34"/>
  <c r="BG288" i="34"/>
  <c r="BG443" i="34"/>
  <c r="BG366" i="34"/>
  <c r="BG340" i="34"/>
  <c r="BG132" i="34"/>
  <c r="BG490" i="34"/>
  <c r="BG90" i="34"/>
  <c r="BG389" i="34"/>
  <c r="BG192" i="34"/>
  <c r="BG369" i="34"/>
  <c r="BG191" i="34"/>
  <c r="BG355" i="34"/>
  <c r="BG118" i="34"/>
  <c r="BG201" i="34"/>
  <c r="BG328" i="34"/>
  <c r="BG19" i="34"/>
  <c r="BG473" i="34"/>
  <c r="BG145" i="34"/>
  <c r="BG280" i="34"/>
  <c r="BG459" i="34"/>
  <c r="BG257" i="34"/>
  <c r="BG356" i="34"/>
  <c r="BG316" i="34"/>
  <c r="BG124" i="34"/>
  <c r="BG274" i="34"/>
  <c r="BG82" i="34"/>
  <c r="BG365" i="34"/>
  <c r="BG176" i="34"/>
  <c r="BG359" i="34"/>
  <c r="BG126" i="34"/>
  <c r="BG53" i="34"/>
  <c r="BG86" i="34"/>
  <c r="BG185" i="34"/>
  <c r="BG291" i="34"/>
  <c r="BG9" i="34"/>
  <c r="BG447" i="34"/>
  <c r="BG113" i="34"/>
  <c r="BG27" i="34"/>
  <c r="BG379" i="34"/>
  <c r="BG448" i="34"/>
  <c r="BG436" i="34"/>
  <c r="BG500" i="34"/>
  <c r="BG100" i="34"/>
  <c r="BG450" i="34"/>
  <c r="BG250" i="34"/>
  <c r="BG42" i="34"/>
  <c r="BG333" i="34"/>
  <c r="BG151" i="34"/>
  <c r="BG325" i="34"/>
  <c r="BG181" i="34"/>
  <c r="BG29" i="34"/>
  <c r="BG153" i="34"/>
  <c r="BG200" i="34"/>
  <c r="BG259" i="34"/>
  <c r="BG454" i="34"/>
  <c r="BG383" i="34"/>
  <c r="BG394" i="34"/>
  <c r="BG377" i="34"/>
  <c r="BG453" i="34"/>
  <c r="BG308" i="34"/>
  <c r="BG474" i="34"/>
  <c r="BG258" i="34"/>
  <c r="BG50" i="34"/>
  <c r="BG357" i="34"/>
  <c r="BG144" i="34"/>
  <c r="BG414" i="34"/>
  <c r="BG189" i="34"/>
  <c r="BG37" i="34"/>
  <c r="BG22" i="34"/>
  <c r="BG232" i="34"/>
  <c r="BG275" i="34"/>
  <c r="BG486" i="34"/>
  <c r="BG425" i="34"/>
  <c r="BG97" i="34"/>
  <c r="BG458" i="34"/>
  <c r="BG237" i="34"/>
  <c r="BG373" i="34"/>
  <c r="BG395" i="34"/>
  <c r="BG244" i="34"/>
  <c r="BG463" i="34"/>
  <c r="BG194" i="34"/>
  <c r="BG437" i="34"/>
  <c r="BG112" i="34"/>
  <c r="BG497" i="34"/>
  <c r="BG351" i="34"/>
  <c r="BG392" i="34"/>
  <c r="BG211" i="34"/>
  <c r="BG65" i="34"/>
  <c r="BG184" i="34"/>
  <c r="BG300" i="34"/>
  <c r="BG111" i="34"/>
  <c r="BG137" i="34"/>
  <c r="BG228" i="34"/>
  <c r="BG429" i="34"/>
  <c r="BG80" i="34"/>
  <c r="BG247" i="34"/>
  <c r="BG481" i="34"/>
  <c r="BG245" i="34"/>
  <c r="BG502" i="34"/>
  <c r="BG329" i="34"/>
  <c r="BG360" i="34"/>
  <c r="BG33" i="34"/>
  <c r="BG47" i="34"/>
  <c r="BG265" i="34"/>
  <c r="BG26" i="34"/>
  <c r="BG196" i="34"/>
  <c r="BG442" i="34"/>
  <c r="BG178" i="34"/>
  <c r="BG421" i="34"/>
  <c r="BG64" i="34"/>
  <c r="BG451" i="34"/>
  <c r="BG297" i="34"/>
  <c r="BG168" i="34"/>
  <c r="BG131" i="34"/>
  <c r="BG17" i="34"/>
  <c r="BG440" i="34"/>
  <c r="BG172" i="34"/>
  <c r="BG4" i="34"/>
  <c r="BG415" i="34"/>
  <c r="BG283" i="34"/>
  <c r="BG241" i="34"/>
  <c r="BG83" i="34"/>
  <c r="BG456" i="34"/>
  <c r="BG133" i="34"/>
  <c r="BG419" i="34"/>
  <c r="BG55" i="34"/>
  <c r="BG391" i="34"/>
  <c r="BG432" i="34"/>
  <c r="BG372" i="34"/>
  <c r="BG63" i="34"/>
  <c r="BG12" i="34"/>
  <c r="M20" i="34"/>
  <c r="P1002" i="34"/>
  <c r="BG68" i="34"/>
  <c r="BG465" i="34"/>
  <c r="BG175" i="34"/>
  <c r="BG5" i="34"/>
  <c r="BG267" i="34"/>
  <c r="BG73" i="34"/>
  <c r="BG158" i="34"/>
  <c r="BG95" i="34"/>
  <c r="BG499" i="34"/>
  <c r="BG322" i="34"/>
  <c r="BG84" i="34"/>
  <c r="BG420" i="34"/>
  <c r="BG495" i="34"/>
  <c r="BG45" i="34"/>
  <c r="BG203" i="34"/>
  <c r="BG89" i="34"/>
  <c r="BG342" i="34"/>
  <c r="BG261" i="34"/>
  <c r="BG127" i="34"/>
  <c r="BG32" i="34"/>
  <c r="BG469" i="34"/>
  <c r="BG338" i="34"/>
  <c r="BG92" i="34"/>
  <c r="V1" i="34"/>
  <c r="M9" i="72" a="1"/>
  <c r="I9" i="72" a="1"/>
  <c r="R9" i="72" a="1"/>
  <c r="R2" i="34" a="1"/>
  <c r="M10" i="34" l="1"/>
  <c r="G32" i="34"/>
  <c r="K1002" i="34"/>
  <c r="O1002" i="34"/>
  <c r="BG190" i="34"/>
  <c r="BG461" i="34"/>
  <c r="BG457" i="34"/>
  <c r="BG38" i="34"/>
  <c r="BG452" i="34"/>
  <c r="BG23" i="34"/>
  <c r="BG102" i="34"/>
  <c r="BG484" i="34"/>
  <c r="BG169" i="34"/>
  <c r="BG116" i="34"/>
  <c r="BG489" i="34"/>
  <c r="BG292" i="34"/>
  <c r="BG296" i="34"/>
  <c r="BG482" i="34"/>
  <c r="BG307" i="34"/>
  <c r="BG298" i="34"/>
  <c r="BG402" i="34"/>
  <c r="BG321" i="34"/>
  <c r="BG483" i="34"/>
  <c r="BG282" i="34"/>
  <c r="BG408" i="34"/>
  <c r="BG446" i="34"/>
  <c r="BG76" i="34"/>
  <c r="BG94" i="34"/>
  <c r="BG409" i="34"/>
  <c r="BG423" i="34"/>
  <c r="BG441" i="34"/>
  <c r="BG406" i="34"/>
  <c r="BG375" i="34"/>
  <c r="BG230" i="34"/>
  <c r="BG233" i="34"/>
  <c r="BG293" i="34"/>
  <c r="BG207" i="34"/>
  <c r="BG18" i="34"/>
  <c r="BG164" i="34"/>
  <c r="BG412" i="34"/>
  <c r="BG343" i="34"/>
  <c r="BG213" i="34"/>
  <c r="BG182" i="34"/>
  <c r="BG353" i="34"/>
  <c r="BG470" i="34"/>
  <c r="BG236" i="34"/>
  <c r="BG186" i="34"/>
  <c r="BG13" i="34"/>
  <c r="BG134" i="34"/>
  <c r="BG335" i="34"/>
  <c r="BG390" i="34"/>
  <c r="BG46" i="34"/>
  <c r="BG173" i="34"/>
  <c r="BG197" i="34"/>
  <c r="BG160" i="34"/>
  <c r="BG61" i="34"/>
  <c r="BG59" i="34"/>
  <c r="BG123" i="34"/>
  <c r="BG41" i="34"/>
  <c r="BG234" i="34"/>
  <c r="BG324" i="34"/>
  <c r="BG147" i="34"/>
  <c r="BG256" i="34"/>
  <c r="BG79" i="34"/>
  <c r="BG411" i="34"/>
  <c r="BG51" i="34"/>
  <c r="BG214" i="34"/>
  <c r="BG487" i="34"/>
  <c r="BG323" i="34"/>
  <c r="BG56" i="34"/>
  <c r="BG35" i="34"/>
  <c r="BG393" i="34"/>
  <c r="BG399" i="34"/>
  <c r="BG319" i="34"/>
  <c r="BG122" i="34"/>
  <c r="BG276" i="34"/>
  <c r="BG66" i="34"/>
  <c r="BG180" i="34"/>
  <c r="BG294" i="34"/>
  <c r="BG455" i="34"/>
  <c r="BG433" i="34"/>
  <c r="BG464" i="34"/>
  <c r="BG136" i="34"/>
  <c r="BG157" i="34"/>
  <c r="BG8" i="34"/>
  <c r="BG43" i="34"/>
  <c r="BG422" i="34"/>
  <c r="BG371" i="34"/>
  <c r="BG387" i="34"/>
  <c r="BG295" i="34"/>
  <c r="BG114" i="34"/>
  <c r="BG268" i="34"/>
  <c r="BG6" i="34"/>
  <c r="BG310" i="34"/>
  <c r="BG152" i="34"/>
  <c r="BG330" i="34"/>
  <c r="BG229" i="34"/>
  <c r="BG312" i="34"/>
  <c r="BG498" i="34"/>
  <c r="BG253" i="34"/>
  <c r="BG303" i="34"/>
  <c r="BG62" i="34"/>
  <c r="BG239" i="34"/>
  <c r="BG398" i="34"/>
  <c r="BG403" i="34"/>
  <c r="BG345" i="34"/>
  <c r="BG109" i="34"/>
  <c r="BG205" i="34"/>
  <c r="BG78" i="34"/>
  <c r="BG466" i="34"/>
  <c r="BG313" i="34"/>
  <c r="BG410" i="34"/>
  <c r="BG468" i="34"/>
  <c r="BG427" i="34"/>
  <c r="BG349" i="34"/>
  <c r="BG30" i="34"/>
  <c r="BG141" i="34"/>
  <c r="BG225" i="34"/>
  <c r="BG25" i="34"/>
  <c r="BG327" i="34"/>
  <c r="BG67" i="34"/>
  <c r="BG139" i="34"/>
  <c r="BG363" i="34"/>
  <c r="BG374" i="34"/>
  <c r="BG206" i="34"/>
  <c r="BG48" i="34"/>
  <c r="BG346" i="34"/>
  <c r="BG491" i="34"/>
  <c r="BG99" i="34"/>
  <c r="BG439" i="34"/>
  <c r="BG115" i="34"/>
  <c r="BG129" i="34"/>
  <c r="BG75" i="34"/>
  <c r="BG385" i="34"/>
  <c r="BG438" i="34"/>
  <c r="BG238" i="34"/>
  <c r="BG208" i="34"/>
  <c r="BG354" i="34"/>
  <c r="BG248" i="34"/>
  <c r="BG120" i="34"/>
  <c r="BG243" i="34"/>
  <c r="BG2" i="34"/>
  <c r="BG494" i="34"/>
  <c r="BG334" i="34"/>
  <c r="BG70" i="34"/>
  <c r="BG460" i="34"/>
  <c r="BG31" i="34"/>
  <c r="BG472" i="34"/>
  <c r="BG167" i="34"/>
  <c r="BG3" i="34"/>
  <c r="BG337" i="34"/>
  <c r="BG479" i="34"/>
  <c r="BG462" i="34"/>
  <c r="BG467" i="34"/>
  <c r="BG142" i="34"/>
  <c r="BG103" i="34"/>
  <c r="BG150" i="34"/>
  <c r="BG85" i="34"/>
  <c r="BG220" i="34"/>
  <c r="BG304" i="34"/>
  <c r="BG217" i="34"/>
  <c r="BG146" i="34"/>
  <c r="BG246" i="34"/>
  <c r="BG273" i="34"/>
  <c r="BG266" i="34"/>
  <c r="BG289" i="34"/>
  <c r="BG386" i="34"/>
  <c r="BG352" i="34"/>
  <c r="BG15" i="34"/>
  <c r="BG407" i="34"/>
  <c r="BG69" i="34"/>
  <c r="BG254" i="34"/>
  <c r="BG272" i="34"/>
  <c r="BG362" i="34"/>
  <c r="BG376" i="34"/>
  <c r="BG444" i="34"/>
  <c r="BG224" i="34"/>
  <c r="BG361" i="34"/>
  <c r="BG162" i="34"/>
  <c r="BG98" i="34"/>
  <c r="BG223" i="34"/>
  <c r="BG163" i="34"/>
  <c r="BG16" i="34"/>
  <c r="BG255" i="34"/>
  <c r="BG91" i="34"/>
  <c r="BG347" i="34"/>
  <c r="BG219" i="34"/>
  <c r="BG128" i="34"/>
  <c r="BG88" i="34"/>
  <c r="BG183" i="34"/>
  <c r="BG108" i="34"/>
  <c r="BG478" i="34"/>
  <c r="BG263" i="34"/>
  <c r="BG7" i="34"/>
  <c r="BG221" i="34"/>
  <c r="BG388" i="34"/>
  <c r="BG301" i="34"/>
  <c r="BG54" i="34"/>
  <c r="BG290" i="34"/>
  <c r="BG57" i="34"/>
  <c r="BG107" i="34"/>
  <c r="BG24" i="34"/>
  <c r="BG417" i="34"/>
  <c r="BG314" i="34"/>
  <c r="BG480" i="34"/>
  <c r="BG161" i="34"/>
  <c r="BG449" i="34"/>
  <c r="BG77" i="34"/>
  <c r="BG270" i="34"/>
  <c r="BG336" i="34"/>
  <c r="Y23" i="33"/>
  <c r="AA22" i="33" s="1"/>
  <c r="S6" i="34"/>
  <c r="R11" i="34"/>
  <c r="U11" i="34" s="1"/>
  <c r="T15" i="34"/>
  <c r="S20" i="34"/>
  <c r="R25" i="34"/>
  <c r="U25" i="34" s="1"/>
  <c r="T29" i="34"/>
  <c r="S34" i="34"/>
  <c r="R39" i="34"/>
  <c r="U39" i="34" s="1"/>
  <c r="T43" i="34"/>
  <c r="S48" i="34"/>
  <c r="R53" i="34"/>
  <c r="U53" i="34" s="1"/>
  <c r="T57" i="34"/>
  <c r="S62" i="34"/>
  <c r="R67" i="34"/>
  <c r="U67" i="34" s="1"/>
  <c r="T71" i="34"/>
  <c r="S76" i="34"/>
  <c r="R81" i="34"/>
  <c r="U81" i="34" s="1"/>
  <c r="T85" i="34"/>
  <c r="S90" i="34"/>
  <c r="R95" i="34"/>
  <c r="U95" i="34" s="1"/>
  <c r="T99" i="34"/>
  <c r="R2" i="34"/>
  <c r="U2" i="34" s="1"/>
  <c r="T6" i="34"/>
  <c r="S11" i="34"/>
  <c r="R16" i="34"/>
  <c r="U16" i="34" s="1"/>
  <c r="T20" i="34"/>
  <c r="S25" i="34"/>
  <c r="R30" i="34"/>
  <c r="U30" i="34" s="1"/>
  <c r="T34" i="34"/>
  <c r="S39" i="34"/>
  <c r="R44" i="34"/>
  <c r="U44" i="34" s="1"/>
  <c r="T48" i="34"/>
  <c r="S53" i="34"/>
  <c r="R58" i="34"/>
  <c r="U58" i="34" s="1"/>
  <c r="T62" i="34"/>
  <c r="S67" i="34"/>
  <c r="R72" i="34"/>
  <c r="U72" i="34" s="1"/>
  <c r="T76" i="34"/>
  <c r="S81" i="34"/>
  <c r="R86" i="34"/>
  <c r="U86" i="34" s="1"/>
  <c r="T90" i="34"/>
  <c r="S95" i="34"/>
  <c r="R100" i="34"/>
  <c r="U100" i="34" s="1"/>
  <c r="T12" i="34"/>
  <c r="S8" i="34"/>
  <c r="R9" i="34"/>
  <c r="U9" i="34" s="1"/>
  <c r="R14" i="34"/>
  <c r="U14" i="34" s="1"/>
  <c r="S37" i="34"/>
  <c r="S51" i="34"/>
  <c r="T60" i="34"/>
  <c r="R70" i="34"/>
  <c r="U70" i="34" s="1"/>
  <c r="S79" i="34"/>
  <c r="T88" i="34"/>
  <c r="R98" i="34"/>
  <c r="U98" i="34" s="1"/>
  <c r="R19" i="34"/>
  <c r="U19" i="34" s="1"/>
  <c r="T13" i="34"/>
  <c r="S2" i="34"/>
  <c r="R7" i="34"/>
  <c r="U7" i="34" s="1"/>
  <c r="T11" i="34"/>
  <c r="S16" i="34"/>
  <c r="R21" i="34"/>
  <c r="U21" i="34" s="1"/>
  <c r="T25" i="34"/>
  <c r="S30" i="34"/>
  <c r="R35" i="34"/>
  <c r="U35" i="34" s="1"/>
  <c r="T39" i="34"/>
  <c r="S44" i="34"/>
  <c r="R49" i="34"/>
  <c r="U49" i="34" s="1"/>
  <c r="T53" i="34"/>
  <c r="S58" i="34"/>
  <c r="R63" i="34"/>
  <c r="U63" i="34" s="1"/>
  <c r="T67" i="34"/>
  <c r="S72" i="34"/>
  <c r="R77" i="34"/>
  <c r="U77" i="34" s="1"/>
  <c r="T81" i="34"/>
  <c r="S86" i="34"/>
  <c r="R91" i="34"/>
  <c r="U91" i="34" s="1"/>
  <c r="T95" i="34"/>
  <c r="S100" i="34"/>
  <c r="T7" i="34"/>
  <c r="R13" i="34"/>
  <c r="U13" i="34" s="1"/>
  <c r="T4" i="34"/>
  <c r="T2" i="34"/>
  <c r="S7" i="34"/>
  <c r="R12" i="34"/>
  <c r="U12" i="34" s="1"/>
  <c r="T16" i="34"/>
  <c r="S21" i="34"/>
  <c r="R26" i="34"/>
  <c r="U26" i="34" s="1"/>
  <c r="T30" i="34"/>
  <c r="S35" i="34"/>
  <c r="R40" i="34"/>
  <c r="U40" i="34" s="1"/>
  <c r="T44" i="34"/>
  <c r="S49" i="34"/>
  <c r="R54" i="34"/>
  <c r="U54" i="34" s="1"/>
  <c r="T58" i="34"/>
  <c r="S63" i="34"/>
  <c r="R68" i="34"/>
  <c r="U68" i="34" s="1"/>
  <c r="T72" i="34"/>
  <c r="S77" i="34"/>
  <c r="R82" i="34"/>
  <c r="U82" i="34" s="1"/>
  <c r="T86" i="34"/>
  <c r="S91" i="34"/>
  <c r="R96" i="34"/>
  <c r="U96" i="34" s="1"/>
  <c r="T100" i="34"/>
  <c r="R3" i="34"/>
  <c r="U3" i="34" s="1"/>
  <c r="S12" i="34"/>
  <c r="R17" i="34"/>
  <c r="U17" i="34" s="1"/>
  <c r="T21" i="34"/>
  <c r="S26" i="34"/>
  <c r="R31" i="34"/>
  <c r="U31" i="34" s="1"/>
  <c r="T35" i="34"/>
  <c r="S40" i="34"/>
  <c r="R45" i="34"/>
  <c r="U45" i="34" s="1"/>
  <c r="T49" i="34"/>
  <c r="S54" i="34"/>
  <c r="R59" i="34"/>
  <c r="U59" i="34" s="1"/>
  <c r="T63" i="34"/>
  <c r="S68" i="34"/>
  <c r="R73" i="34"/>
  <c r="U73" i="34" s="1"/>
  <c r="T77" i="34"/>
  <c r="S82" i="34"/>
  <c r="R87" i="34"/>
  <c r="U87" i="34" s="1"/>
  <c r="T91" i="34"/>
  <c r="S96" i="34"/>
  <c r="R101" i="34"/>
  <c r="U101" i="34" s="1"/>
  <c r="S3" i="34"/>
  <c r="S17" i="34"/>
  <c r="R22" i="34"/>
  <c r="U22" i="34" s="1"/>
  <c r="T26" i="34"/>
  <c r="S31" i="34"/>
  <c r="R36" i="34"/>
  <c r="U36" i="34" s="1"/>
  <c r="T40" i="34"/>
  <c r="S45" i="34"/>
  <c r="R50" i="34"/>
  <c r="U50" i="34" s="1"/>
  <c r="T54" i="34"/>
  <c r="S59" i="34"/>
  <c r="R64" i="34"/>
  <c r="U64" i="34" s="1"/>
  <c r="T68" i="34"/>
  <c r="S73" i="34"/>
  <c r="R78" i="34"/>
  <c r="U78" i="34" s="1"/>
  <c r="T82" i="34"/>
  <c r="S87" i="34"/>
  <c r="R92" i="34"/>
  <c r="U92" i="34" s="1"/>
  <c r="T96" i="34"/>
  <c r="S101" i="34"/>
  <c r="T3" i="34"/>
  <c r="T17" i="34"/>
  <c r="S22" i="34"/>
  <c r="R27" i="34"/>
  <c r="U27" i="34" s="1"/>
  <c r="T31" i="34"/>
  <c r="S36" i="34"/>
  <c r="R41" i="34"/>
  <c r="U41" i="34" s="1"/>
  <c r="T45" i="34"/>
  <c r="S50" i="34"/>
  <c r="R55" i="34"/>
  <c r="U55" i="34" s="1"/>
  <c r="T59" i="34"/>
  <c r="S64" i="34"/>
  <c r="R69" i="34"/>
  <c r="U69" i="34" s="1"/>
  <c r="T73" i="34"/>
  <c r="S78" i="34"/>
  <c r="R83" i="34"/>
  <c r="U83" i="34" s="1"/>
  <c r="T87" i="34"/>
  <c r="S92" i="34"/>
  <c r="R97" i="34"/>
  <c r="U97" i="34" s="1"/>
  <c r="T101" i="34"/>
  <c r="T18" i="34"/>
  <c r="T9" i="34"/>
  <c r="R28" i="34"/>
  <c r="U28" i="34" s="1"/>
  <c r="S18" i="34"/>
  <c r="S23" i="34"/>
  <c r="S14" i="34"/>
  <c r="R4" i="34"/>
  <c r="U4" i="34" s="1"/>
  <c r="T8" i="34"/>
  <c r="S13" i="34"/>
  <c r="R18" i="34"/>
  <c r="U18" i="34" s="1"/>
  <c r="T22" i="34"/>
  <c r="S27" i="34"/>
  <c r="R32" i="34"/>
  <c r="U32" i="34" s="1"/>
  <c r="T36" i="34"/>
  <c r="S41" i="34"/>
  <c r="R46" i="34"/>
  <c r="U46" i="34" s="1"/>
  <c r="T50" i="34"/>
  <c r="S55" i="34"/>
  <c r="R60" i="34"/>
  <c r="U60" i="34" s="1"/>
  <c r="T64" i="34"/>
  <c r="S69" i="34"/>
  <c r="R74" i="34"/>
  <c r="U74" i="34" s="1"/>
  <c r="T78" i="34"/>
  <c r="S83" i="34"/>
  <c r="R88" i="34"/>
  <c r="U88" i="34" s="1"/>
  <c r="T92" i="34"/>
  <c r="S97" i="34"/>
  <c r="S4" i="34"/>
  <c r="R23" i="34"/>
  <c r="U23" i="34" s="1"/>
  <c r="T27" i="34"/>
  <c r="S32" i="34"/>
  <c r="R37" i="34"/>
  <c r="U37" i="34" s="1"/>
  <c r="T41" i="34"/>
  <c r="S46" i="34"/>
  <c r="R51" i="34"/>
  <c r="U51" i="34" s="1"/>
  <c r="T55" i="34"/>
  <c r="S60" i="34"/>
  <c r="R65" i="34"/>
  <c r="U65" i="34" s="1"/>
  <c r="T69" i="34"/>
  <c r="S74" i="34"/>
  <c r="R79" i="34"/>
  <c r="U79" i="34" s="1"/>
  <c r="T83" i="34"/>
  <c r="S88" i="34"/>
  <c r="R93" i="34"/>
  <c r="U93" i="34" s="1"/>
  <c r="T97" i="34"/>
  <c r="S9" i="34"/>
  <c r="T32" i="34"/>
  <c r="R42" i="34"/>
  <c r="U42" i="34" s="1"/>
  <c r="T46" i="34"/>
  <c r="R56" i="34"/>
  <c r="U56" i="34" s="1"/>
  <c r="S65" i="34"/>
  <c r="T74" i="34"/>
  <c r="R84" i="34"/>
  <c r="U84" i="34" s="1"/>
  <c r="S93" i="34"/>
  <c r="R5" i="34"/>
  <c r="U5" i="34" s="1"/>
  <c r="T5" i="34"/>
  <c r="S10" i="34"/>
  <c r="R15" i="34"/>
  <c r="U15" i="34" s="1"/>
  <c r="T19" i="34"/>
  <c r="S24" i="34"/>
  <c r="R29" i="34"/>
  <c r="U29" i="34" s="1"/>
  <c r="T33" i="34"/>
  <c r="S38" i="34"/>
  <c r="R43" i="34"/>
  <c r="U43" i="34" s="1"/>
  <c r="T47" i="34"/>
  <c r="S52" i="34"/>
  <c r="R57" i="34"/>
  <c r="U57" i="34" s="1"/>
  <c r="T61" i="34"/>
  <c r="S66" i="34"/>
  <c r="R71" i="34"/>
  <c r="U71" i="34" s="1"/>
  <c r="T75" i="34"/>
  <c r="S80" i="34"/>
  <c r="R85" i="34"/>
  <c r="U85" i="34" s="1"/>
  <c r="T89" i="34"/>
  <c r="S94" i="34"/>
  <c r="R99" i="34"/>
  <c r="U99" i="34" s="1"/>
  <c r="R6" i="34"/>
  <c r="U6" i="34" s="1"/>
  <c r="T10" i="34"/>
  <c r="S15" i="34"/>
  <c r="R20" i="34"/>
  <c r="U20" i="34" s="1"/>
  <c r="T24" i="34"/>
  <c r="S29" i="34"/>
  <c r="R34" i="34"/>
  <c r="U34" i="34" s="1"/>
  <c r="T38" i="34"/>
  <c r="S43" i="34"/>
  <c r="R48" i="34"/>
  <c r="U48" i="34" s="1"/>
  <c r="T52" i="34"/>
  <c r="S57" i="34"/>
  <c r="R62" i="34"/>
  <c r="U62" i="34" s="1"/>
  <c r="T66" i="34"/>
  <c r="S71" i="34"/>
  <c r="R76" i="34"/>
  <c r="U76" i="34" s="1"/>
  <c r="T80" i="34"/>
  <c r="S85" i="34"/>
  <c r="R90" i="34"/>
  <c r="U90" i="34" s="1"/>
  <c r="T94" i="34"/>
  <c r="S99" i="34"/>
  <c r="R8" i="34"/>
  <c r="U8" i="34" s="1"/>
  <c r="S5" i="34"/>
  <c r="R47" i="34"/>
  <c r="U47" i="34" s="1"/>
  <c r="T79" i="34"/>
  <c r="T14" i="34"/>
  <c r="S84" i="34"/>
  <c r="S56" i="34"/>
  <c r="R24" i="34"/>
  <c r="U24" i="34" s="1"/>
  <c r="S70" i="34"/>
  <c r="S75" i="34"/>
  <c r="R10" i="34"/>
  <c r="U10" i="34" s="1"/>
  <c r="S47" i="34"/>
  <c r="R80" i="34"/>
  <c r="U80" i="34" s="1"/>
  <c r="T51" i="34"/>
  <c r="S19" i="34"/>
  <c r="R52" i="34"/>
  <c r="U52" i="34" s="1"/>
  <c r="T84" i="34"/>
  <c r="T23" i="34"/>
  <c r="R89" i="34"/>
  <c r="U89" i="34" s="1"/>
  <c r="T56" i="34"/>
  <c r="S89" i="34"/>
  <c r="S28" i="34"/>
  <c r="R61" i="34"/>
  <c r="U61" i="34" s="1"/>
  <c r="T93" i="34"/>
  <c r="T28" i="34"/>
  <c r="S61" i="34"/>
  <c r="R94" i="34"/>
  <c r="U94" i="34" s="1"/>
  <c r="R33" i="34"/>
  <c r="U33" i="34" s="1"/>
  <c r="T65" i="34"/>
  <c r="S98" i="34"/>
  <c r="S33" i="34"/>
  <c r="R66" i="34"/>
  <c r="U66" i="34" s="1"/>
  <c r="T98" i="34"/>
  <c r="T37" i="34"/>
  <c r="R75" i="34"/>
  <c r="U75" i="34" s="1"/>
  <c r="T42" i="34"/>
  <c r="R38" i="34"/>
  <c r="U38" i="34" s="1"/>
  <c r="T70" i="34"/>
  <c r="S42" i="34"/>
  <c r="R10" i="72"/>
  <c r="R11" i="72"/>
  <c r="S11" i="72"/>
  <c r="T11" i="72"/>
  <c r="T9" i="72"/>
  <c r="T10" i="72"/>
  <c r="R9" i="72"/>
  <c r="S10" i="72"/>
  <c r="S9" i="72"/>
  <c r="J9" i="72"/>
  <c r="K9" i="72"/>
  <c r="I10" i="72"/>
  <c r="I9" i="72"/>
  <c r="J10" i="72"/>
  <c r="K10" i="72"/>
  <c r="N10" i="72"/>
  <c r="M9" i="72"/>
  <c r="N9" i="72"/>
  <c r="M10" i="72"/>
  <c r="O10" i="72"/>
  <c r="O9" i="72"/>
  <c r="Z3" i="34" a="1"/>
  <c r="AA23" i="33" l="1"/>
  <c r="AA21" i="33"/>
  <c r="AA24" i="33"/>
  <c r="AB21" i="33"/>
  <c r="AB22" i="33"/>
  <c r="R13" i="72"/>
  <c r="I13" i="72"/>
  <c r="Q25" i="34"/>
  <c r="Q79" i="34"/>
  <c r="Q89" i="34"/>
  <c r="Q23" i="34"/>
  <c r="Q20" i="34"/>
  <c r="Q54" i="34"/>
  <c r="Q36" i="34"/>
  <c r="Q22" i="34"/>
  <c r="Q81" i="34"/>
  <c r="Q59" i="34"/>
  <c r="Q66" i="34"/>
  <c r="Q71" i="34"/>
  <c r="Q74" i="34"/>
  <c r="Q55" i="34"/>
  <c r="Q3" i="34"/>
  <c r="Q96" i="34"/>
  <c r="Q65" i="34"/>
  <c r="Q34" i="34"/>
  <c r="Q16" i="34"/>
  <c r="Q73" i="34"/>
  <c r="Q28" i="34"/>
  <c r="Q58" i="34"/>
  <c r="Q72" i="34"/>
  <c r="Q49" i="34"/>
  <c r="Q90" i="34"/>
  <c r="Q98" i="34"/>
  <c r="Q83" i="34"/>
  <c r="Q69" i="34"/>
  <c r="Q7" i="34"/>
  <c r="Q88" i="34"/>
  <c r="Q19" i="34"/>
  <c r="Q78" i="34"/>
  <c r="Q87" i="34"/>
  <c r="Q27" i="34"/>
  <c r="Q6" i="34"/>
  <c r="Q75" i="34"/>
  <c r="Q101" i="34"/>
  <c r="Q70" i="34"/>
  <c r="Q5" i="34"/>
  <c r="Q18" i="34"/>
  <c r="Q15" i="34"/>
  <c r="Q4" i="34"/>
  <c r="Q14" i="34"/>
  <c r="Q50" i="34"/>
  <c r="Q42" i="34"/>
  <c r="Q35" i="34"/>
  <c r="Q38" i="34"/>
  <c r="Q29" i="34"/>
  <c r="Q24" i="34"/>
  <c r="Q33" i="34"/>
  <c r="Q63" i="34"/>
  <c r="Q40" i="34"/>
  <c r="AA5" i="34"/>
  <c r="AA3" i="34"/>
  <c r="AA4" i="34"/>
  <c r="Z4" i="34"/>
  <c r="Z3" i="34"/>
  <c r="Z5" i="34"/>
  <c r="Q11" i="34"/>
  <c r="Q62" i="34"/>
  <c r="U102" i="34"/>
  <c r="Q26" i="34"/>
  <c r="Q100" i="34"/>
  <c r="Q99" i="34"/>
  <c r="Q92" i="34"/>
  <c r="Q57" i="34"/>
  <c r="Q82" i="34"/>
  <c r="Q86" i="34"/>
  <c r="Q37" i="34"/>
  <c r="M13" i="72"/>
  <c r="Q9" i="34"/>
  <c r="Q77" i="34"/>
  <c r="Q68" i="34"/>
  <c r="Q47" i="34"/>
  <c r="Q10" i="34"/>
  <c r="Q93" i="34"/>
  <c r="Q41" i="34"/>
  <c r="Q53" i="34"/>
  <c r="Q64" i="34"/>
  <c r="Q67" i="34"/>
  <c r="Q32" i="34"/>
  <c r="Q2" i="34"/>
  <c r="V3" i="34" a="1"/>
  <c r="S104" i="34"/>
  <c r="Q95" i="34"/>
  <c r="Q52" i="34"/>
  <c r="Q12" i="34"/>
  <c r="Q31" i="34"/>
  <c r="Q84" i="34"/>
  <c r="Q21" i="34"/>
  <c r="Q8" i="34"/>
  <c r="Q45" i="34"/>
  <c r="Q48" i="34"/>
  <c r="Q91" i="34"/>
  <c r="Q51" i="34"/>
  <c r="Q39" i="34"/>
  <c r="Q61" i="34"/>
  <c r="Q46" i="34"/>
  <c r="Q43" i="34"/>
  <c r="Q56" i="34"/>
  <c r="Q97" i="34"/>
  <c r="Q94" i="34"/>
  <c r="Q76" i="34"/>
  <c r="Q13" i="34"/>
  <c r="Q80" i="34"/>
  <c r="Q17" i="34"/>
  <c r="Q30" i="34"/>
  <c r="Q44" i="34"/>
  <c r="Q60" i="34"/>
  <c r="Q85" i="34"/>
  <c r="BI53" i="34" l="1"/>
  <c r="BI463" i="34"/>
  <c r="BI449" i="34"/>
  <c r="BI425" i="34"/>
  <c r="BI75" i="34"/>
  <c r="BI362" i="34"/>
  <c r="BI404" i="34"/>
  <c r="BI190" i="34"/>
  <c r="BI342" i="34"/>
  <c r="BI21" i="34"/>
  <c r="BI174" i="34"/>
  <c r="BI315" i="34"/>
  <c r="BI152" i="34"/>
  <c r="BI244" i="34"/>
  <c r="BI305" i="34"/>
  <c r="BI107" i="34"/>
  <c r="BI161" i="34"/>
  <c r="BI58" i="34"/>
  <c r="BI255" i="34"/>
  <c r="BI229" i="34"/>
  <c r="BI256" i="34"/>
  <c r="BI490" i="34"/>
  <c r="BI15" i="34"/>
  <c r="BI423" i="34"/>
  <c r="BI192" i="34"/>
  <c r="BI381" i="34"/>
  <c r="BI415" i="34"/>
  <c r="BI169" i="34"/>
  <c r="BI172" i="34"/>
  <c r="BI171" i="34"/>
  <c r="BI220" i="34"/>
  <c r="BI72" i="34"/>
  <c r="BI257" i="34"/>
  <c r="BI57" i="34"/>
  <c r="BI433" i="34"/>
  <c r="BI443" i="34"/>
  <c r="BI319" i="34"/>
  <c r="BI143" i="34"/>
  <c r="BI118" i="34"/>
  <c r="BI385" i="34"/>
  <c r="BI252" i="34"/>
  <c r="BI24" i="34"/>
  <c r="BI135" i="34"/>
  <c r="BI419" i="34"/>
  <c r="BI321" i="34"/>
  <c r="BI214" i="34"/>
  <c r="BI296" i="34"/>
  <c r="BI418" i="34"/>
  <c r="BI181" i="34"/>
  <c r="BI131" i="34"/>
  <c r="BI248" i="34"/>
  <c r="BI200" i="34"/>
  <c r="BI153" i="34"/>
  <c r="BI380" i="34"/>
  <c r="BI407" i="34"/>
  <c r="BI109" i="34"/>
  <c r="BI485" i="34"/>
  <c r="BI283" i="34"/>
  <c r="BI103" i="34"/>
  <c r="BI166" i="34"/>
  <c r="BI484" i="34"/>
  <c r="BI91" i="34"/>
  <c r="BI217" i="34"/>
  <c r="BI59" i="34"/>
  <c r="BI312" i="34"/>
  <c r="BI18" i="34"/>
  <c r="BI230" i="34"/>
  <c r="BI405" i="34"/>
  <c r="BI439" i="34"/>
  <c r="BI69" i="34"/>
  <c r="BI442" i="34"/>
  <c r="BI104" i="34"/>
  <c r="BI329" i="34"/>
  <c r="BI12" i="34"/>
  <c r="BI7" i="34"/>
  <c r="BI494" i="34"/>
  <c r="BI173" i="34"/>
  <c r="BI282" i="34"/>
  <c r="BI373" i="34"/>
  <c r="BI38" i="34"/>
  <c r="BI438" i="34"/>
  <c r="BI216" i="34"/>
  <c r="BI86" i="34"/>
  <c r="BI99" i="34"/>
  <c r="BI265" i="34"/>
  <c r="BI6" i="34"/>
  <c r="BI5" i="34"/>
  <c r="BI379" i="34"/>
  <c r="BI427" i="34"/>
  <c r="BI30" i="34"/>
  <c r="BI411" i="34"/>
  <c r="BI90" i="34"/>
  <c r="BI262" i="34"/>
  <c r="BI459" i="34"/>
  <c r="BI4" i="34"/>
  <c r="BI203" i="34"/>
  <c r="BI199" i="34"/>
  <c r="BI476" i="34"/>
  <c r="BI225" i="34"/>
  <c r="BI489" i="34"/>
  <c r="BI149" i="34"/>
  <c r="BI303" i="34"/>
  <c r="BI36" i="34"/>
  <c r="BI258" i="34"/>
  <c r="BI308" i="34"/>
  <c r="BI49" i="34"/>
  <c r="BI320" i="34"/>
  <c r="BI45" i="34"/>
  <c r="BI133" i="34"/>
  <c r="BI95" i="34"/>
  <c r="BI322" i="34"/>
  <c r="BI124" i="34"/>
  <c r="BI393" i="34"/>
  <c r="BI287" i="34"/>
  <c r="BI451" i="34"/>
  <c r="BI195" i="34"/>
  <c r="BI155" i="34"/>
  <c r="BI136" i="34"/>
  <c r="BI130" i="34"/>
  <c r="BI325" i="34"/>
  <c r="BI92" i="34"/>
  <c r="BI288" i="34"/>
  <c r="BI46" i="34"/>
  <c r="BI154" i="34"/>
  <c r="BI266" i="34"/>
  <c r="BI392" i="34"/>
  <c r="BI10" i="34"/>
  <c r="BI285" i="34"/>
  <c r="BI365" i="34"/>
  <c r="BI474" i="34"/>
  <c r="BI332" i="34"/>
  <c r="BI391" i="34"/>
  <c r="BI279" i="34"/>
  <c r="BI421" i="34"/>
  <c r="BI270" i="34"/>
  <c r="BI403" i="34"/>
  <c r="BI83" i="34"/>
  <c r="BI202" i="34"/>
  <c r="BI39" i="34"/>
  <c r="BI456" i="34"/>
  <c r="BI105" i="34"/>
  <c r="BI357" i="34"/>
  <c r="BI271" i="34"/>
  <c r="BI47" i="34"/>
  <c r="BI458" i="34"/>
  <c r="BI360" i="34"/>
  <c r="BI236" i="34"/>
  <c r="BI396" i="34"/>
  <c r="BI122" i="34"/>
  <c r="BI413" i="34"/>
  <c r="BI502" i="34"/>
  <c r="BI341" i="34"/>
  <c r="BI480" i="34"/>
  <c r="BI175" i="34"/>
  <c r="BI455" i="34"/>
  <c r="BI14" i="34"/>
  <c r="BI85" i="34"/>
  <c r="BI129" i="34"/>
  <c r="BI158" i="34"/>
  <c r="BI267" i="34"/>
  <c r="BI112" i="34"/>
  <c r="BI218" i="34"/>
  <c r="BI309" i="34"/>
  <c r="BI188" i="34"/>
  <c r="BI227" i="34"/>
  <c r="BI211" i="34"/>
  <c r="BI116" i="34"/>
  <c r="BI198" i="34"/>
  <c r="BI286" i="34"/>
  <c r="BI354" i="34"/>
  <c r="BI501" i="34"/>
  <c r="BI470" i="34"/>
  <c r="BI240" i="34"/>
  <c r="BI44" i="34"/>
  <c r="BI142" i="34"/>
  <c r="BI499" i="34"/>
  <c r="BI40" i="34"/>
  <c r="BI471" i="34"/>
  <c r="BI243" i="34"/>
  <c r="BI251" i="34"/>
  <c r="BI429" i="34"/>
  <c r="BI417" i="34"/>
  <c r="BI338" i="34"/>
  <c r="BI468" i="34"/>
  <c r="BI300" i="34"/>
  <c r="BI31" i="34"/>
  <c r="BI299" i="34"/>
  <c r="BI68" i="34"/>
  <c r="BI261" i="34"/>
  <c r="BI452" i="34"/>
  <c r="BI450" i="34"/>
  <c r="BI493" i="34"/>
  <c r="BI145" i="34"/>
  <c r="BI114" i="34"/>
  <c r="BI479" i="34"/>
  <c r="BI367" i="34"/>
  <c r="BI232" i="34"/>
  <c r="BI29" i="34"/>
  <c r="BI339" i="34"/>
  <c r="BI22" i="34"/>
  <c r="BI150" i="34"/>
  <c r="BI178" i="34"/>
  <c r="BI250" i="34"/>
  <c r="BI278" i="34"/>
  <c r="BI430" i="34"/>
  <c r="BI71" i="34"/>
  <c r="BI108" i="34"/>
  <c r="BI26" i="34"/>
  <c r="BI477" i="34"/>
  <c r="BI460" i="34"/>
  <c r="BI349" i="34"/>
  <c r="BI334" i="34"/>
  <c r="BI226" i="34"/>
  <c r="BI284" i="34"/>
  <c r="BI189" i="34"/>
  <c r="BI432" i="34"/>
  <c r="BI65" i="34"/>
  <c r="BI141" i="34"/>
  <c r="BI398" i="34"/>
  <c r="BI212" i="34"/>
  <c r="BI206" i="34"/>
  <c r="BI205" i="34"/>
  <c r="BI25" i="34"/>
  <c r="BI160" i="34"/>
  <c r="BI340" i="34"/>
  <c r="BI482" i="34"/>
  <c r="BI88" i="34"/>
  <c r="BI70" i="34"/>
  <c r="BI273" i="34"/>
  <c r="BI291" i="34"/>
  <c r="BI126" i="34"/>
  <c r="BI100" i="34"/>
  <c r="BI193" i="34"/>
  <c r="BI184" i="34"/>
  <c r="BI372" i="34"/>
  <c r="BI119" i="34"/>
  <c r="BI8" i="34"/>
  <c r="BI259" i="34"/>
  <c r="BI336" i="34"/>
  <c r="BI401" i="34"/>
  <c r="BI352" i="34"/>
  <c r="BI276" i="34"/>
  <c r="BI497" i="34"/>
  <c r="BI346" i="34"/>
  <c r="BI101" i="34"/>
  <c r="BI444" i="34"/>
  <c r="BI13" i="34"/>
  <c r="BI301" i="34"/>
  <c r="BI125" i="34"/>
  <c r="BI43" i="34"/>
  <c r="BI2" i="34"/>
  <c r="BI84" i="34"/>
  <c r="BI359" i="34"/>
  <c r="BI234" i="34"/>
  <c r="BI394" i="34"/>
  <c r="BI294" i="34"/>
  <c r="BI233" i="34"/>
  <c r="BI121" i="34"/>
  <c r="BI33" i="34"/>
  <c r="BI337" i="34"/>
  <c r="BI445" i="34"/>
  <c r="BI387" i="34"/>
  <c r="BI364" i="34"/>
  <c r="BI435" i="34"/>
  <c r="BI461" i="34"/>
  <c r="BI465" i="34"/>
  <c r="BI253" i="34"/>
  <c r="BI239" i="34"/>
  <c r="BI306" i="34"/>
  <c r="BI313" i="34"/>
  <c r="BI414" i="34"/>
  <c r="BI434" i="34"/>
  <c r="BI17" i="34"/>
  <c r="BI164" i="34"/>
  <c r="BI353" i="34"/>
  <c r="BI498" i="34"/>
  <c r="BI42" i="34"/>
  <c r="BI186" i="34"/>
  <c r="BI194" i="34"/>
  <c r="BI323" i="34"/>
  <c r="BI420" i="34"/>
  <c r="BI51" i="34"/>
  <c r="BI156" i="34"/>
  <c r="BI400" i="34"/>
  <c r="BI368" i="34"/>
  <c r="BI148" i="34"/>
  <c r="BI335" i="34"/>
  <c r="BI390" i="34"/>
  <c r="BI436" i="34"/>
  <c r="BI358" i="34"/>
  <c r="BI228" i="34"/>
  <c r="BI139" i="34"/>
  <c r="BI377" i="34"/>
  <c r="BI397" i="34"/>
  <c r="BI495" i="34"/>
  <c r="BI23" i="34"/>
  <c r="BI3" i="34"/>
  <c r="BI209" i="34"/>
  <c r="BI67" i="34"/>
  <c r="BI268" i="34"/>
  <c r="BI374" i="34"/>
  <c r="BI117" i="34"/>
  <c r="BI437" i="34"/>
  <c r="BI111" i="34"/>
  <c r="BI28" i="34"/>
  <c r="BI162" i="34"/>
  <c r="BI168" i="34"/>
  <c r="BI79" i="34"/>
  <c r="BI132" i="34"/>
  <c r="BI383" i="34"/>
  <c r="BI500" i="34"/>
  <c r="BI274" i="34"/>
  <c r="BI314" i="34"/>
  <c r="BI76" i="34"/>
  <c r="BI318" i="34"/>
  <c r="BI128" i="34"/>
  <c r="BI254" i="34"/>
  <c r="BI159" i="34"/>
  <c r="BI241" i="34"/>
  <c r="BI238" i="34"/>
  <c r="BI187" i="34"/>
  <c r="BI424" i="34"/>
  <c r="BI350" i="34"/>
  <c r="BI277" i="34"/>
  <c r="BI446" i="34"/>
  <c r="BI376" i="34"/>
  <c r="BI388" i="34"/>
  <c r="BI52" i="34"/>
  <c r="BI247" i="34"/>
  <c r="BI127" i="34"/>
  <c r="BI242" i="34"/>
  <c r="BI19" i="34"/>
  <c r="BI96" i="34"/>
  <c r="BI56" i="34"/>
  <c r="BI272" i="34"/>
  <c r="BI412" i="34"/>
  <c r="BI81" i="34"/>
  <c r="BI87" i="34"/>
  <c r="BI98" i="34"/>
  <c r="BI378" i="34"/>
  <c r="BI454" i="34"/>
  <c r="BI55" i="34"/>
  <c r="BI324" i="34"/>
  <c r="BI35" i="34"/>
  <c r="BI20" i="34"/>
  <c r="BI138" i="34"/>
  <c r="BI177" i="34"/>
  <c r="BI327" i="34"/>
  <c r="BI264" i="34"/>
  <c r="BI483" i="34"/>
  <c r="BI348" i="34"/>
  <c r="BI219" i="34"/>
  <c r="BI62" i="34"/>
  <c r="BI37" i="34"/>
  <c r="BI82" i="34"/>
  <c r="BI246" i="34"/>
  <c r="BI223" i="34"/>
  <c r="BI249" i="34"/>
  <c r="BI447" i="34"/>
  <c r="BI210" i="34"/>
  <c r="BI224" i="34"/>
  <c r="BI110" i="34"/>
  <c r="BI204" i="34"/>
  <c r="BI157" i="34"/>
  <c r="BI389" i="34"/>
  <c r="BI473" i="34"/>
  <c r="BI486" i="34"/>
  <c r="BI416" i="34"/>
  <c r="BI123" i="34"/>
  <c r="BI165" i="34"/>
  <c r="BI180" i="34"/>
  <c r="BI93" i="34"/>
  <c r="BI384" i="34"/>
  <c r="BI66" i="34"/>
  <c r="BI316" i="34"/>
  <c r="BI487" i="34"/>
  <c r="BI9" i="34"/>
  <c r="BI48" i="34"/>
  <c r="BI137" i="34"/>
  <c r="BI369" i="34"/>
  <c r="BI146" i="34"/>
  <c r="BI333" i="34"/>
  <c r="BI302" i="34"/>
  <c r="BI496" i="34"/>
  <c r="BI163" i="34"/>
  <c r="BI73" i="34"/>
  <c r="BI235" i="34"/>
  <c r="BI422" i="34"/>
  <c r="BI191" i="34"/>
  <c r="BI467" i="34"/>
  <c r="BI120" i="34"/>
  <c r="BI311" i="34"/>
  <c r="BI74" i="34"/>
  <c r="BI170" i="34"/>
  <c r="BI298" i="34"/>
  <c r="BI345" i="34"/>
  <c r="BI481" i="34"/>
  <c r="BI275" i="34"/>
  <c r="BI292" i="34"/>
  <c r="BI115" i="34"/>
  <c r="BI440" i="34"/>
  <c r="BI310" i="34"/>
  <c r="BI343" i="34"/>
  <c r="BI386" i="34"/>
  <c r="BI231" i="34"/>
  <c r="BI280" i="34"/>
  <c r="BI221" i="34"/>
  <c r="BI183" i="34"/>
  <c r="BI448" i="34"/>
  <c r="BI363" i="34"/>
  <c r="BI356" i="34"/>
  <c r="BI102" i="34"/>
  <c r="BI16" i="34"/>
  <c r="BI64" i="34"/>
  <c r="BI260" i="34"/>
  <c r="BI269" i="34"/>
  <c r="BI215" i="34"/>
  <c r="BI491" i="34"/>
  <c r="BI32" i="34"/>
  <c r="BI147" i="34"/>
  <c r="BI281" i="34"/>
  <c r="BI263" i="34"/>
  <c r="BI472" i="34"/>
  <c r="BI50" i="34"/>
  <c r="BI80" i="34"/>
  <c r="BI326" i="34"/>
  <c r="BI78" i="34"/>
  <c r="BI317" i="34"/>
  <c r="BI290" i="34"/>
  <c r="BI182" i="34"/>
  <c r="BI361" i="34"/>
  <c r="BI453" i="34"/>
  <c r="BI27" i="34"/>
  <c r="BI347" i="34"/>
  <c r="BI11" i="34"/>
  <c r="BI488" i="34"/>
  <c r="BI61" i="34"/>
  <c r="BI201" i="34"/>
  <c r="BI344" i="34"/>
  <c r="BI179" i="34"/>
  <c r="BI54" i="34"/>
  <c r="BI295" i="34"/>
  <c r="BI466" i="34"/>
  <c r="BI213" i="34"/>
  <c r="BI176" i="34"/>
  <c r="BI297" i="34"/>
  <c r="BI431" i="34"/>
  <c r="BI196" i="34"/>
  <c r="BI457" i="34"/>
  <c r="BI395" i="34"/>
  <c r="BI63" i="34"/>
  <c r="BI408" i="34"/>
  <c r="BI197" i="34"/>
  <c r="BI144" i="34"/>
  <c r="BI410" i="34"/>
  <c r="BI382" i="34"/>
  <c r="BI94" i="34"/>
  <c r="BI113" i="34"/>
  <c r="BI106" i="34"/>
  <c r="BI60" i="34"/>
  <c r="BI409" i="34"/>
  <c r="BI462" i="34"/>
  <c r="BI222" i="34"/>
  <c r="BI140" i="34"/>
  <c r="BI375" i="34"/>
  <c r="BI478" i="34"/>
  <c r="BI134" i="34"/>
  <c r="BI330" i="34"/>
  <c r="BI207" i="34"/>
  <c r="BI331" i="34"/>
  <c r="BI428" i="34"/>
  <c r="BI307" i="34"/>
  <c r="BI167" i="34"/>
  <c r="BI426" i="34"/>
  <c r="BI34" i="34"/>
  <c r="BI289" i="34"/>
  <c r="BI441" i="34"/>
  <c r="BI399" i="34"/>
  <c r="BI77" i="34"/>
  <c r="BI370" i="34"/>
  <c r="BI89" i="34"/>
  <c r="BI406" i="34"/>
  <c r="BI402" i="34"/>
  <c r="BI41" i="34"/>
  <c r="BI304" i="34"/>
  <c r="BI245" i="34"/>
  <c r="BI97" i="34"/>
  <c r="BI208" i="34"/>
  <c r="BI475" i="34"/>
  <c r="BI237" i="34"/>
  <c r="BI351" i="34"/>
  <c r="BI464" i="34"/>
  <c r="BI355" i="34"/>
  <c r="BI492" i="34"/>
  <c r="BI328" i="34"/>
  <c r="BI371" i="34"/>
  <c r="BI185" i="34"/>
  <c r="BI366" i="34"/>
  <c r="BI293" i="34"/>
  <c r="BI469" i="34"/>
  <c r="BI151" i="34"/>
  <c r="V5" i="34"/>
  <c r="W7" i="34"/>
  <c r="V4" i="34"/>
  <c r="V6" i="34"/>
  <c r="V3" i="34"/>
  <c r="W4" i="34"/>
  <c r="W3" i="34"/>
  <c r="W5" i="34"/>
  <c r="V7" i="34"/>
  <c r="W6" i="34"/>
  <c r="Q103" i="34"/>
  <c r="AB10" i="34"/>
  <c r="AB11" i="34"/>
  <c r="BH370" i="34" l="1"/>
  <c r="BH27" i="34"/>
  <c r="BH419" i="34"/>
  <c r="BH3" i="34"/>
  <c r="BH199" i="34"/>
  <c r="BH253" i="34"/>
  <c r="BH323" i="34"/>
  <c r="BH79" i="34"/>
  <c r="BH462" i="34"/>
  <c r="BH289" i="34"/>
  <c r="BH420" i="34"/>
  <c r="BH94" i="34"/>
  <c r="BH468" i="34"/>
  <c r="BH240" i="34"/>
  <c r="BH280" i="34"/>
  <c r="BH496" i="34"/>
  <c r="BH342" i="34"/>
  <c r="BH428" i="34"/>
  <c r="BH314" i="34"/>
  <c r="BH385" i="34"/>
  <c r="BH113" i="34"/>
  <c r="BH62" i="34"/>
  <c r="BH220" i="34"/>
  <c r="BH190" i="34"/>
  <c r="BH225" i="34"/>
  <c r="BH321" i="34"/>
  <c r="BH19" i="34"/>
  <c r="BH441" i="34"/>
  <c r="BH61" i="34"/>
  <c r="BH154" i="34"/>
  <c r="BH186" i="34"/>
  <c r="BH177" i="34"/>
  <c r="BH261" i="34"/>
  <c r="BH422" i="34"/>
  <c r="BH328" i="34"/>
  <c r="BH444" i="34"/>
  <c r="BH34" i="34"/>
  <c r="BH300" i="34"/>
  <c r="BH488" i="34"/>
  <c r="BH123" i="34"/>
  <c r="BH401" i="34"/>
  <c r="BH387" i="34"/>
  <c r="BH297" i="34"/>
  <c r="BH453" i="34"/>
  <c r="BH384" i="34"/>
  <c r="BH398" i="34"/>
  <c r="BH70" i="34"/>
  <c r="BH136" i="34"/>
  <c r="BH361" i="34"/>
  <c r="BH74" i="34"/>
  <c r="BH198" i="34"/>
  <c r="BH104" i="34"/>
  <c r="BH276" i="34"/>
  <c r="BH66" i="34"/>
  <c r="BH311" i="34"/>
  <c r="BH16" i="34"/>
  <c r="BH95" i="34"/>
  <c r="BH248" i="34"/>
  <c r="BH442" i="34"/>
  <c r="BH446" i="34"/>
  <c r="BH279" i="34"/>
  <c r="BH47" i="34"/>
  <c r="BH46" i="34"/>
  <c r="BH117" i="34"/>
  <c r="BH320" i="34"/>
  <c r="BH39" i="34"/>
  <c r="BH371" i="34"/>
  <c r="BH49" i="34"/>
  <c r="BH433" i="34"/>
  <c r="BH283" i="34"/>
  <c r="BH105" i="34"/>
  <c r="BH52" i="34"/>
  <c r="BH23" i="34"/>
  <c r="BH109" i="34"/>
  <c r="BH75" i="34"/>
  <c r="BH427" i="34"/>
  <c r="BH54" i="34"/>
  <c r="BH381" i="34"/>
  <c r="BH247" i="34"/>
  <c r="BH418" i="34"/>
  <c r="BH363" i="34"/>
  <c r="BH129" i="34"/>
  <c r="BH274" i="34"/>
  <c r="BH394" i="34"/>
  <c r="BH473" i="34"/>
  <c r="BH335" i="34"/>
  <c r="BH107" i="34"/>
  <c r="BH382" i="34"/>
  <c r="BH288" i="34"/>
  <c r="BH302" i="34"/>
  <c r="BH156" i="34"/>
  <c r="BH131" i="34"/>
  <c r="BH92" i="34"/>
  <c r="BH390" i="34"/>
  <c r="BH221" i="34"/>
  <c r="BH195" i="34"/>
  <c r="BH8" i="34"/>
  <c r="BH26" i="34"/>
  <c r="BH450" i="34"/>
  <c r="BH423" i="34"/>
  <c r="BH196" i="34"/>
  <c r="BH139" i="34"/>
  <c r="BH374" i="34"/>
  <c r="BH50" i="34"/>
  <c r="BH485" i="34"/>
  <c r="BH102" i="34"/>
  <c r="BH443" i="34"/>
  <c r="BH161" i="34"/>
  <c r="BH48" i="34"/>
  <c r="BH341" i="34"/>
  <c r="BH187" i="34"/>
  <c r="BH251" i="34"/>
  <c r="BH241" i="34"/>
  <c r="BH299" i="34"/>
  <c r="BH458" i="34"/>
  <c r="BH11" i="34"/>
  <c r="BH231" i="34"/>
  <c r="BH360" i="34"/>
  <c r="BH106" i="34"/>
  <c r="BH213" i="34"/>
  <c r="BH448" i="34"/>
  <c r="BH14" i="34"/>
  <c r="BH144" i="34"/>
  <c r="BH281" i="34"/>
  <c r="BH126" i="34"/>
  <c r="BH262" i="34"/>
  <c r="BH451" i="34"/>
  <c r="BH313" i="34"/>
  <c r="BH72" i="34"/>
  <c r="BH150" i="34"/>
  <c r="BH170" i="34"/>
  <c r="BH478" i="34"/>
  <c r="BH110" i="34"/>
  <c r="BH377" i="34"/>
  <c r="BH303" i="34"/>
  <c r="BH17" i="34"/>
  <c r="BH268" i="34"/>
  <c r="BH467" i="34"/>
  <c r="BH238" i="34"/>
  <c r="BH250" i="34"/>
  <c r="BH399" i="34"/>
  <c r="BH125" i="34"/>
  <c r="BH178" i="34"/>
  <c r="BH80" i="34"/>
  <c r="BH151" i="34"/>
  <c r="BH142" i="34"/>
  <c r="BH383" i="34"/>
  <c r="BH60" i="34"/>
  <c r="BH260" i="34"/>
  <c r="BH91" i="34"/>
  <c r="BH29" i="34"/>
  <c r="BH365" i="34"/>
  <c r="BH435" i="34"/>
  <c r="BH392" i="34"/>
  <c r="BH466" i="34"/>
  <c r="BH4" i="34"/>
  <c r="BH319" i="34"/>
  <c r="BH359" i="34"/>
  <c r="BH287" i="34"/>
  <c r="BH189" i="34"/>
  <c r="BH484" i="34"/>
  <c r="BH249" i="34"/>
  <c r="BH388" i="34"/>
  <c r="BH98" i="34"/>
  <c r="BH252" i="34"/>
  <c r="BH134" i="34"/>
  <c r="BH147" i="34"/>
  <c r="BH413" i="34"/>
  <c r="BH218" i="34"/>
  <c r="BH56" i="34"/>
  <c r="BH375" i="34"/>
  <c r="BH258" i="34"/>
  <c r="BH208" i="34"/>
  <c r="BH432" i="34"/>
  <c r="BH330" i="34"/>
  <c r="BH259" i="34"/>
  <c r="BH44" i="34"/>
  <c r="BH434" i="34"/>
  <c r="BH226" i="34"/>
  <c r="BH464" i="34"/>
  <c r="BH487" i="34"/>
  <c r="BH495" i="34"/>
  <c r="BH197" i="34"/>
  <c r="BH456" i="34"/>
  <c r="BH483" i="34"/>
  <c r="BH457" i="34"/>
  <c r="BH474" i="34"/>
  <c r="BH239" i="34"/>
  <c r="BH212" i="34"/>
  <c r="BH40" i="34"/>
  <c r="BH36" i="34"/>
  <c r="BH486" i="34"/>
  <c r="BH368" i="34"/>
  <c r="BH138" i="34"/>
  <c r="BH200" i="34"/>
  <c r="BH480" i="34"/>
  <c r="BH41" i="34"/>
  <c r="BH148" i="34"/>
  <c r="BH42" i="34"/>
  <c r="BH96" i="34"/>
  <c r="BH192" i="34"/>
  <c r="BH294" i="34"/>
  <c r="BH429" i="34"/>
  <c r="BH307" i="34"/>
  <c r="BH114" i="34"/>
  <c r="BH493" i="34"/>
  <c r="BH421" i="34"/>
  <c r="BH157" i="34"/>
  <c r="BH37" i="34"/>
  <c r="BH461" i="34"/>
  <c r="BH334" i="34"/>
  <c r="BH88" i="34"/>
  <c r="BH415" i="34"/>
  <c r="BH243" i="34"/>
  <c r="BH201" i="34"/>
  <c r="BH267" i="34"/>
  <c r="BH162" i="34"/>
  <c r="BH400" i="34"/>
  <c r="BH358" i="34"/>
  <c r="BH416" i="34"/>
  <c r="BH69" i="34"/>
  <c r="BH477" i="34"/>
  <c r="BH167" i="34"/>
  <c r="BH223" i="34"/>
  <c r="BH273" i="34"/>
  <c r="BH393" i="34"/>
  <c r="BH152" i="34"/>
  <c r="BH318" i="34"/>
  <c r="BH412" i="34"/>
  <c r="BH202" i="34"/>
  <c r="BH30" i="34"/>
  <c r="BH160" i="34"/>
  <c r="BH81" i="34"/>
  <c r="BH403" i="34"/>
  <c r="BH308" i="34"/>
  <c r="BH21" i="34"/>
  <c r="BH10" i="34"/>
  <c r="BH309" i="34"/>
  <c r="BH163" i="34"/>
  <c r="BH206" i="34"/>
  <c r="BH404" i="34"/>
  <c r="BH63" i="34"/>
  <c r="BH214" i="34"/>
  <c r="BH501" i="34"/>
  <c r="BH65" i="34"/>
  <c r="BH409" i="34"/>
  <c r="BH353" i="34"/>
  <c r="BH205" i="34"/>
  <c r="BH402" i="34"/>
  <c r="BH112" i="34"/>
  <c r="BH68" i="34"/>
  <c r="BH351" i="34"/>
  <c r="BH472" i="34"/>
  <c r="BH327" i="34"/>
  <c r="BH97" i="34"/>
  <c r="BH13" i="34"/>
  <c r="BH395" i="34"/>
  <c r="BH99" i="34"/>
  <c r="BH188" i="34"/>
  <c r="BH204" i="34"/>
  <c r="BH331" i="34"/>
  <c r="BH500" i="34"/>
  <c r="BH64" i="34"/>
  <c r="BH272" i="34"/>
  <c r="BH333" i="34"/>
  <c r="BH459" i="34"/>
  <c r="BH376" i="34"/>
  <c r="BH181" i="34"/>
  <c r="BH179" i="34"/>
  <c r="BH111" i="34"/>
  <c r="BH352" i="34"/>
  <c r="BH304" i="34"/>
  <c r="BH194" i="34"/>
  <c r="BH275" i="34"/>
  <c r="BH414" i="34"/>
  <c r="BH87" i="34"/>
  <c r="BH103" i="34"/>
  <c r="BH498" i="34"/>
  <c r="BH257" i="34"/>
  <c r="BH254" i="34"/>
  <c r="BH224" i="34"/>
  <c r="BH233" i="34"/>
  <c r="BH15" i="34"/>
  <c r="BH203" i="34"/>
  <c r="BH270" i="34"/>
  <c r="BH236" i="34"/>
  <c r="BH164" i="34"/>
  <c r="BH438" i="34"/>
  <c r="BH372" i="34"/>
  <c r="BH417" i="34"/>
  <c r="BH348" i="34"/>
  <c r="BH122" i="34"/>
  <c r="BH357" i="34"/>
  <c r="BH242" i="34"/>
  <c r="BH491" i="34"/>
  <c r="BH265" i="34"/>
  <c r="BH436" i="34"/>
  <c r="BH340" i="34"/>
  <c r="BH89" i="34"/>
  <c r="BH306" i="34"/>
  <c r="BH482" i="34"/>
  <c r="BH386" i="34"/>
  <c r="BH101" i="34"/>
  <c r="BH407" i="34"/>
  <c r="BH140" i="34"/>
  <c r="BH6" i="34"/>
  <c r="BH256" i="34"/>
  <c r="BH364" i="34"/>
  <c r="BH146" i="34"/>
  <c r="BH290" i="34"/>
  <c r="BH115" i="34"/>
  <c r="BH373" i="34"/>
  <c r="BH397" i="34"/>
  <c r="BH158" i="34"/>
  <c r="BH227" i="34"/>
  <c r="BH229" i="34"/>
  <c r="BH339" i="34"/>
  <c r="BH445" i="34"/>
  <c r="BH171" i="34"/>
  <c r="BH455" i="34"/>
  <c r="BH494" i="34"/>
  <c r="BH193" i="34"/>
  <c r="BH55" i="34"/>
  <c r="BH237" i="34"/>
  <c r="BH2" i="34"/>
  <c r="BH424" i="34"/>
  <c r="BH172" i="34"/>
  <c r="BH31" i="34"/>
  <c r="BH410" i="34"/>
  <c r="BH166" i="34"/>
  <c r="BH430" i="34"/>
  <c r="BH255" i="34"/>
  <c r="BH481" i="34"/>
  <c r="BH211" i="34"/>
  <c r="BH235" i="34"/>
  <c r="BH100" i="34"/>
  <c r="BH149" i="34"/>
  <c r="BH12" i="34"/>
  <c r="BH310" i="34"/>
  <c r="BH271" i="34"/>
  <c r="BH145" i="34"/>
  <c r="BH295" i="34"/>
  <c r="BH58" i="34"/>
  <c r="BH180" i="34"/>
  <c r="BH209" i="34"/>
  <c r="BH215" i="34"/>
  <c r="BH219" i="34"/>
  <c r="BH175" i="34"/>
  <c r="BH479" i="34"/>
  <c r="BH329" i="34"/>
  <c r="BH332" i="34"/>
  <c r="BH378" i="34"/>
  <c r="BH452" i="34"/>
  <c r="BH367" i="34"/>
  <c r="BH347" i="34"/>
  <c r="BH222" i="34"/>
  <c r="BH73" i="34"/>
  <c r="BH337" i="34"/>
  <c r="BH121" i="34"/>
  <c r="BH133" i="34"/>
  <c r="BH9" i="34"/>
  <c r="BH269" i="34"/>
  <c r="BH465" i="34"/>
  <c r="BH425" i="34"/>
  <c r="BH38" i="34"/>
  <c r="BH120" i="34"/>
  <c r="BH343" i="34"/>
  <c r="BH7" i="34"/>
  <c r="BH431" i="34"/>
  <c r="BH366" i="34"/>
  <c r="BH344" i="34"/>
  <c r="BH232" i="34"/>
  <c r="BH475" i="34"/>
  <c r="BH85" i="34"/>
  <c r="BH292" i="34"/>
  <c r="BH22" i="34"/>
  <c r="BH191" i="34"/>
  <c r="BH492" i="34"/>
  <c r="BH128" i="34"/>
  <c r="BH317" i="34"/>
  <c r="BH28" i="34"/>
  <c r="BH471" i="34"/>
  <c r="BH244" i="34"/>
  <c r="BH184" i="34"/>
  <c r="BH143" i="34"/>
  <c r="BH78" i="34"/>
  <c r="BH32" i="34"/>
  <c r="BH71" i="34"/>
  <c r="BH67" i="34"/>
  <c r="BH182" i="34"/>
  <c r="BH325" i="34"/>
  <c r="BH264" i="34"/>
  <c r="BH296" i="34"/>
  <c r="BH266" i="34"/>
  <c r="BH246" i="34"/>
  <c r="BH350" i="34"/>
  <c r="BH116" i="34"/>
  <c r="BH322" i="34"/>
  <c r="BH82" i="34"/>
  <c r="BH316" i="34"/>
  <c r="BH25" i="34"/>
  <c r="BH210" i="34"/>
  <c r="BH440" i="34"/>
  <c r="BH174" i="34"/>
  <c r="BH45" i="34"/>
  <c r="BH460" i="34"/>
  <c r="BH130" i="34"/>
  <c r="BH118" i="34"/>
  <c r="BH24" i="34"/>
  <c r="BH207" i="34"/>
  <c r="BH447" i="34"/>
  <c r="BH108" i="34"/>
  <c r="BH168" i="34"/>
  <c r="BH165" i="34"/>
  <c r="BH230" i="34"/>
  <c r="BH391" i="34"/>
  <c r="BH176" i="34"/>
  <c r="BH245" i="34"/>
  <c r="BH380" i="34"/>
  <c r="BH497" i="34"/>
  <c r="BH159" i="34"/>
  <c r="BH396" i="34"/>
  <c r="BH127" i="34"/>
  <c r="BH5" i="34"/>
  <c r="BH137" i="34"/>
  <c r="BH286" i="34"/>
  <c r="BH389" i="34"/>
  <c r="BH411" i="34"/>
  <c r="BH153" i="34"/>
  <c r="BH20" i="34"/>
  <c r="BH454" i="34"/>
  <c r="BH83" i="34"/>
  <c r="BH405" i="34"/>
  <c r="BH141" i="34"/>
  <c r="BH77" i="34"/>
  <c r="BH183" i="34"/>
  <c r="BH278" i="34"/>
  <c r="BH216" i="34"/>
  <c r="BH217" i="34"/>
  <c r="BH173" i="34"/>
  <c r="BH282" i="34"/>
  <c r="BH305" i="34"/>
  <c r="BH336" i="34"/>
  <c r="BH43" i="34"/>
  <c r="BH93" i="34"/>
  <c r="BH57" i="34"/>
  <c r="BH470" i="34"/>
  <c r="BH346" i="34"/>
  <c r="BH155" i="34"/>
  <c r="BH463" i="34"/>
  <c r="BH228" i="34"/>
  <c r="BH345" i="34"/>
  <c r="BH301" i="34"/>
  <c r="BH349" i="34"/>
  <c r="BH369" i="34"/>
  <c r="BH90" i="34"/>
  <c r="BH293" i="34"/>
  <c r="BH263" i="34"/>
  <c r="BH35" i="34"/>
  <c r="BH277" i="34"/>
  <c r="BH298" i="34"/>
  <c r="BH33" i="34"/>
  <c r="BH490" i="34"/>
  <c r="BH124" i="34"/>
  <c r="BH132" i="34"/>
  <c r="BH437" i="34"/>
  <c r="BH499" i="34"/>
  <c r="BH312" i="34"/>
  <c r="BH439" i="34"/>
  <c r="BH53" i="34"/>
  <c r="BH84" i="34"/>
  <c r="BH234" i="34"/>
  <c r="BH408" i="34"/>
  <c r="BH476" i="34"/>
  <c r="BH169" i="34"/>
  <c r="BH86" i="34"/>
  <c r="BH406" i="34"/>
  <c r="BH135" i="34"/>
  <c r="BH18" i="34"/>
  <c r="BH59" i="34"/>
  <c r="BH379" i="34"/>
  <c r="BH426" i="34"/>
  <c r="BH119" i="34"/>
  <c r="BH76" i="34"/>
  <c r="BH315" i="34"/>
  <c r="BH355" i="34"/>
  <c r="BH469" i="34"/>
  <c r="BH326" i="34"/>
  <c r="BH356" i="34"/>
  <c r="BH51" i="34"/>
  <c r="BH324" i="34"/>
  <c r="BH449" i="34"/>
  <c r="BH489" i="34"/>
  <c r="BH354" i="34"/>
  <c r="BH285" i="34"/>
  <c r="BH291" i="34"/>
  <c r="BH185" i="34"/>
  <c r="BH502" i="34"/>
  <c r="BH338" i="34"/>
  <c r="BH362" i="34"/>
  <c r="BH284" i="34"/>
  <c r="AA10" i="34"/>
  <c r="AA11"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Humberto Barreto</author>
  </authors>
  <commentList>
    <comment ref="C1" authorId="0" shapeId="0" xr:uid="{00000000-0006-0000-0300-000001000000}">
      <text>
        <r>
          <rPr>
            <b/>
            <sz val="8"/>
            <color indexed="81"/>
            <rFont val="Tahoma"/>
            <family val="2"/>
          </rPr>
          <t>Humberto Barreto:</t>
        </r>
        <r>
          <rPr>
            <sz val="8"/>
            <color indexed="81"/>
            <rFont val="Tahoma"/>
            <family val="2"/>
          </rPr>
          <t xml:space="preserve">
=ROUND(RAND()*5+11.5,0)</t>
        </r>
      </text>
    </comment>
    <comment ref="D1" authorId="0" shapeId="0" xr:uid="{00000000-0006-0000-0300-000002000000}">
      <text>
        <r>
          <rPr>
            <b/>
            <sz val="8"/>
            <color indexed="81"/>
            <rFont val="Tahoma"/>
            <family val="2"/>
          </rPr>
          <t>Humberto Barreto:</t>
        </r>
        <r>
          <rPr>
            <sz val="8"/>
            <color indexed="81"/>
            <rFont val="Tahoma"/>
            <family val="2"/>
          </rPr>
          <t xml:space="preserve">
=ROUND(slope*C2+NORMINV(RAND(),0,SD),2)</t>
        </r>
      </text>
    </comment>
    <comment ref="M6" authorId="0" shapeId="0" xr:uid="{00000000-0006-0000-0300-000003000000}">
      <text>
        <r>
          <rPr>
            <b/>
            <sz val="8"/>
            <color indexed="81"/>
            <rFont val="Tahoma"/>
            <family val="2"/>
          </rPr>
          <t>Humberto Barreto:</t>
        </r>
        <r>
          <rPr>
            <sz val="8"/>
            <color indexed="81"/>
            <rFont val="Tahoma"/>
            <family val="2"/>
          </rPr>
          <t xml:space="preserve">
Used Solver to choose a prob that summed probs to 100%.</t>
        </r>
      </text>
    </comment>
    <comment ref="M16" authorId="0" shapeId="0" xr:uid="{00000000-0006-0000-0300-000004000000}">
      <text>
        <r>
          <rPr>
            <b/>
            <sz val="8"/>
            <color indexed="81"/>
            <rFont val="Tahoma"/>
            <family val="2"/>
          </rPr>
          <t>Humberto Barreto:</t>
        </r>
        <r>
          <rPr>
            <sz val="8"/>
            <color indexed="81"/>
            <rFont val="Tahoma"/>
            <family val="2"/>
          </rPr>
          <t xml:space="preserve">
Used Solver to choose a prob that summed probs to 100%.</t>
        </r>
      </text>
    </comment>
  </commentList>
</comments>
</file>

<file path=xl/sharedStrings.xml><?xml version="1.0" encoding="utf-8"?>
<sst xmlns="http://schemas.openxmlformats.org/spreadsheetml/2006/main" count="293" uniqueCount="231">
  <si>
    <t>Average</t>
  </si>
  <si>
    <t>SD</t>
  </si>
  <si>
    <t>Max</t>
  </si>
  <si>
    <t>Min</t>
  </si>
  <si>
    <t>Wage ($/hr)</t>
  </si>
  <si>
    <t>Schooling (Years)</t>
  </si>
  <si>
    <t>slope</t>
  </si>
  <si>
    <t>Equal</t>
  </si>
  <si>
    <t>Grand Total</t>
  </si>
  <si>
    <t>Count of Wage ($/hr)</t>
  </si>
  <si>
    <t>Data</t>
  </si>
  <si>
    <t>Average of Wage ($/hr)</t>
  </si>
  <si>
    <t>DGP Parameters</t>
  </si>
  <si>
    <t>Describing the Population</t>
  </si>
  <si>
    <t>StdDevp of Wage ($/hr)</t>
  </si>
  <si>
    <t>Schooling</t>
  </si>
  <si>
    <t>Prob</t>
  </si>
  <si>
    <t>Unequal (Schooling)</t>
  </si>
  <si>
    <t>Unequal (Wage)</t>
  </si>
  <si>
    <t>Wage Prob</t>
  </si>
  <si>
    <t>&lt;20</t>
  </si>
  <si>
    <t>20 to 23.99</t>
  </si>
  <si>
    <t>28 to 31.99</t>
  </si>
  <si>
    <t>32+</t>
  </si>
  <si>
    <t>24 to 27.99</t>
  </si>
  <si>
    <t>Wage</t>
  </si>
  <si>
    <t>Count</t>
  </si>
  <si>
    <t>Pop</t>
  </si>
  <si>
    <t>W LS</t>
  </si>
  <si>
    <t>Example</t>
  </si>
  <si>
    <t>Estimated slope via OLS</t>
  </si>
  <si>
    <t>Total</t>
  </si>
  <si>
    <t>Count of Schooling (Years)</t>
  </si>
  <si>
    <t>press F9</t>
  </si>
  <si>
    <t>You must enable macros for these functions to work.</t>
  </si>
  <si>
    <t>This workbook contains Visual Basic code for two key functions:</t>
  </si>
  <si>
    <t>http://www.wabash.edu/econometrics/EconometricsBook/Basic%20Tools/ExcelAddIns/MCSim.htm</t>
  </si>
  <si>
    <t>Population</t>
  </si>
  <si>
    <t>X</t>
  </si>
  <si>
    <t>Y</t>
  </si>
  <si>
    <t>Sample -- draw 2 from pop w rep</t>
  </si>
  <si>
    <t>Sample -- draw 2 from pop w/o rep</t>
  </si>
  <si>
    <t>Was the first obs chosen?</t>
  </si>
  <si>
    <t>OLS</t>
  </si>
  <si>
    <t>ols</t>
  </si>
  <si>
    <t>wls</t>
  </si>
  <si>
    <t xml:space="preserve">true </t>
  </si>
  <si>
    <t>schooling</t>
  </si>
  <si>
    <t>bubble size</t>
  </si>
  <si>
    <t>IF SAMPLING WITHOUT REPLACEMENT, ADJUST THE INTERVAL</t>
  </si>
  <si>
    <t>This workbook illustrates the effect of probability of selection on sample regression estimates</t>
  </si>
  <si>
    <t>Excel's RAND() function is U[0,1]</t>
  </si>
  <si>
    <t xml:space="preserve">Be sure to click on cells to see the formulas being used; press F9 to recalculate </t>
  </si>
  <si>
    <t>The values above bounce around in the [0,1]</t>
  </si>
  <si>
    <t>as you press F9.</t>
  </si>
  <si>
    <t>Sampling with replacement loops over the code above for as many times as needed to produce the requested sample size.</t>
  </si>
  <si>
    <t>SampleFn!$I$13</t>
  </si>
  <si>
    <t>SampleFn!$M$13</t>
  </si>
  <si>
    <t>Summary Statistics</t>
  </si>
  <si>
    <t>Here are our results for 10,000 samples (repetitions):</t>
  </si>
  <si>
    <t>Sample -- draw 3 from pop w/o rep</t>
  </si>
  <si>
    <t>The exact probability of including the first obs when sampling WITHOUT replacement is</t>
  </si>
  <si>
    <t>= 1 - prob 1st obs not taken in 1st draw*prob 1st obs not taken in 2nd draw</t>
  </si>
  <si>
    <t>prob 1st obs taken in 1st draw</t>
  </si>
  <si>
    <t>prob 2nd obs taken in 1st draw and 1st obs taken in 2nd draw</t>
  </si>
  <si>
    <t>prob 3rd obs taken in 1st draw and 1st obs taken in 2nd draw</t>
  </si>
  <si>
    <t>prob 4th obs taken in 1st draw and 1st obs taken in 2nd draw</t>
  </si>
  <si>
    <t>This agrees with the simulation result in cell L19 above.</t>
  </si>
  <si>
    <t>This agrees with the simulation result in cell J19 above.</t>
  </si>
  <si>
    <t>When sampling 3 observations without replacement (traacking cell R13) yielded</t>
  </si>
  <si>
    <t>Tedious calculation shows that the exact expected value is</t>
  </si>
  <si>
    <t>Once again, the sample function without replacement works as advertised.</t>
  </si>
  <si>
    <t>observation above</t>
  </si>
  <si>
    <t>The data in columns</t>
  </si>
  <si>
    <t>C and D were created</t>
  </si>
  <si>
    <t>by using the formulas in</t>
  </si>
  <si>
    <t>cells A6 and B6, then</t>
  </si>
  <si>
    <t>copying and pasting as</t>
  </si>
  <si>
    <t>values.</t>
  </si>
  <si>
    <t>2) Select a n x pop col (including prob) range of cells</t>
  </si>
  <si>
    <t>Click ON cells I9, M9, and K9 to see how the sample function works</t>
  </si>
  <si>
    <r>
      <t xml:space="preserve">Click IN a sample function cell to edit it, Ctrl-Shift-Enter to input; </t>
    </r>
    <r>
      <rPr>
        <b/>
        <sz val="11"/>
        <color indexed="10"/>
        <rFont val="Calibri"/>
        <family val="2"/>
      </rPr>
      <t>Esc</t>
    </r>
    <r>
      <rPr>
        <sz val="11"/>
        <color indexed="10"/>
        <rFont val="Calibri"/>
        <family val="2"/>
      </rPr>
      <t xml:space="preserve"> to exit</t>
    </r>
  </si>
  <si>
    <t>3) Type the formula in the formula bar, =sample(cell range with pop data, cell range of a single column with probs, sample size value which should be the same as the number of rows selected in step 2, a 1 if sampling with replacement or a 0 if sampling without replacement)</t>
  </si>
  <si>
    <t>+/- 0.003 (=0.2663/sqrt(10,000))</t>
  </si>
  <si>
    <t>+/- 0.004 (=0.4483/sqrt(10,000))</t>
  </si>
  <si>
    <t>4) Simultaneously hold down Ctrl-Shift and then press the Enter key --&gt; function outputs the obs chosen in the sample, with the probability of selection on the 1st draw</t>
  </si>
  <si>
    <t>Sampling WITHOUT replacement requires further code, which is presented and explained below.</t>
  </si>
  <si>
    <r>
      <rPr>
        <sz val="11"/>
        <color indexed="10"/>
        <rFont val="Symbol"/>
        <family val="1"/>
        <charset val="2"/>
      </rPr>
      <t>b</t>
    </r>
    <r>
      <rPr>
        <vertAlign val="subscript"/>
        <sz val="11"/>
        <color indexed="10"/>
        <rFont val="Calibri"/>
        <family val="2"/>
      </rPr>
      <t>0</t>
    </r>
  </si>
  <si>
    <r>
      <rPr>
        <sz val="11"/>
        <color indexed="10"/>
        <rFont val="Symbol"/>
        <family val="1"/>
        <charset val="2"/>
      </rPr>
      <t>b</t>
    </r>
    <r>
      <rPr>
        <vertAlign val="subscript"/>
        <sz val="11"/>
        <color indexed="10"/>
        <rFont val="Calibri"/>
        <family val="2"/>
      </rPr>
      <t>1</t>
    </r>
  </si>
  <si>
    <t>% of Pop</t>
  </si>
  <si>
    <t>1) SAMPLE(PopRange, ProbRange, n, Optional WithRep)  enables sampling from a population</t>
  </si>
  <si>
    <t xml:space="preserve">2) LINESTW(YRange, XRange, WeightRange) computes probability weighted least squares estimates   </t>
  </si>
  <si>
    <t>Assigning Probability</t>
  </si>
  <si>
    <t>pop sum prob</t>
  </si>
  <si>
    <t>Probs should sum to 1.</t>
  </si>
  <si>
    <t>lowest wage</t>
  </si>
  <si>
    <t>highest wage for 15 years schooling</t>
  </si>
  <si>
    <t>1st Draw</t>
  </si>
  <si>
    <t>1) Enter population data, X(s) and Y, and probability of selection on the 1st draw (prob column need not be contiguous with pop data)</t>
  </si>
  <si>
    <t>Weight (WR)</t>
  </si>
  <si>
    <t>Monte Carlo simulation code in this workbook is based on Barreto and Howland's MCSim.xla Excel add-in.</t>
  </si>
  <si>
    <t>Results of Monte Carlo Simulation</t>
  </si>
  <si>
    <t>Sample Number</t>
  </si>
  <si>
    <t>Simulation Stats</t>
  </si>
  <si>
    <t>repetitions</t>
  </si>
  <si>
    <t>seconds</t>
  </si>
  <si>
    <t>Notes</t>
  </si>
  <si>
    <t>Only the first 100 repetitions are displayed on this worksheet.</t>
  </si>
  <si>
    <t>Var1</t>
  </si>
  <si>
    <t>Var2</t>
  </si>
  <si>
    <t>secs</t>
  </si>
  <si>
    <t>Click the MSSim button to track cells I13 and M13</t>
  </si>
  <si>
    <t>Click Refresh (in chart) to update the table below (F9 will not recalculate this PivotTable).</t>
  </si>
  <si>
    <t>to draw another sample</t>
  </si>
  <si>
    <t>Use F9 or Refresh (in chart)</t>
  </si>
  <si>
    <t>Prob 1st Draw</t>
  </si>
  <si>
    <r>
      <t>=1 - prob 1st obs not taken in 1st draw</t>
    </r>
    <r>
      <rPr>
        <vertAlign val="superscript"/>
        <sz val="11"/>
        <color indexed="8"/>
        <rFont val="Calibri"/>
        <family val="2"/>
      </rPr>
      <t>3</t>
    </r>
  </si>
  <si>
    <t>The exact probability of including the first obs when sampling WITH replacement is</t>
  </si>
  <si>
    <t>It makes sense that the probability of inclusion is greater WITHOUT than WITH replacement</t>
  </si>
  <si>
    <t>because once another observation is selected, it is removed and increases the chances of selecting</t>
  </si>
  <si>
    <t>the first obs.</t>
  </si>
  <si>
    <t xml:space="preserve">Computing the exact probability of inclusion WITHOUT replacement quickly becomes unwieldy as n rises. </t>
  </si>
  <si>
    <t>In practice, WITH replacement is assumed in computing the probability of inclusion.</t>
  </si>
  <si>
    <t>Testing the SAMPLE function with and without replacament</t>
  </si>
  <si>
    <t>This sheet explains how the SAMPLE(PopRange, ProbRange, n, Optional WithRep) function works</t>
  </si>
  <si>
    <t>To use the SAMPLE function:</t>
  </si>
  <si>
    <t>to check the SAMPLE function. See right for a picture --&gt;</t>
  </si>
  <si>
    <t>www.depauw.edu/learn/stata</t>
  </si>
  <si>
    <t>For more detail on this issue, please see ExploringWRvWOR.xls available at</t>
  </si>
  <si>
    <t xml:space="preserve">Prob </t>
  </si>
  <si>
    <t>Inclusion (WR)</t>
  </si>
  <si>
    <t>Sample SD</t>
  </si>
  <si>
    <t>Estimated slope via probW LS</t>
  </si>
  <si>
    <t>SAMPLE function pseudo-code (full code available in the Visual Basic module in this workbook, press Alt-F11)</t>
  </si>
  <si>
    <t xml:space="preserve">Approximately 2.02565 </t>
  </si>
  <si>
    <t>This produces a fixed</t>
  </si>
  <si>
    <t>finite population from</t>
  </si>
  <si>
    <t>which samples will be</t>
  </si>
  <si>
    <t>taken.</t>
  </si>
  <si>
    <t>Screenshot of the dialog box produced by clicking the MC Sim button.</t>
  </si>
  <si>
    <t>https://www.degruyterbrill.com/document/doi/10.1515/jem-2012-0017/html</t>
  </si>
  <si>
    <r>
      <t xml:space="preserve">Barreto and Raghav (2013) "Understanding and Teaching Unequal Probability of Selection", </t>
    </r>
    <r>
      <rPr>
        <i/>
        <sz val="11"/>
        <color indexed="8"/>
        <rFont val="Calibri"/>
        <family val="2"/>
      </rPr>
      <t>Journal of Econometric Methods:</t>
    </r>
  </si>
  <si>
    <t>Press F9 to draw a new</t>
  </si>
  <si>
    <t>The specific trouble depends on the kind of unequal probability of selection.</t>
  </si>
  <si>
    <t>Click an option to quickly</t>
  </si>
  <si>
    <t>modify the SAMPLE array</t>
  </si>
  <si>
    <t>function in columns R, S, and T.</t>
  </si>
  <si>
    <r>
      <t xml:space="preserve">Both functions are Excel array functions. Instead of Enter, </t>
    </r>
    <r>
      <rPr>
        <b/>
        <i/>
        <sz val="11"/>
        <color rgb="FFFF0000"/>
        <rFont val="Calibri"/>
        <family val="2"/>
      </rPr>
      <t>Ctrl-Shift-Enter</t>
    </r>
    <r>
      <rPr>
        <sz val="11"/>
        <color theme="1"/>
        <rFont val="Calibri"/>
        <family val="2"/>
        <scheme val="minor"/>
      </rPr>
      <t xml:space="preserve"> is required. Click </t>
    </r>
    <r>
      <rPr>
        <b/>
        <i/>
        <sz val="11"/>
        <color rgb="FFFF0000"/>
        <rFont val="Calibri"/>
        <family val="2"/>
      </rPr>
      <t>Esc</t>
    </r>
    <r>
      <rPr>
        <sz val="11"/>
        <color theme="1"/>
        <rFont val="Calibri"/>
        <family val="2"/>
        <scheme val="minor"/>
      </rPr>
      <t xml:space="preserve"> to exit an array function without making any changes.</t>
    </r>
  </si>
  <si>
    <t>The Idea:</t>
  </si>
  <si>
    <t>Much more common in surveys, especially large, complex surveys like the CPS, is unequal probability of selection.</t>
  </si>
  <si>
    <t>Suppose you want to sample hospital patients. There is no list of hospital patients, but there is a list of hospitals.</t>
  </si>
  <si>
    <t>You decide to sample from the hospital list and then survey every patient in the hospitals in your sample.</t>
  </si>
  <si>
    <t>Is that SRS? Only if the hospitals have exactly the same number of patients.</t>
  </si>
  <si>
    <t>Hospital</t>
  </si>
  <si>
    <t>A</t>
  </si>
  <si>
    <t>B</t>
  </si>
  <si>
    <t>Patients</t>
  </si>
  <si>
    <t>Sample size of one.</t>
  </si>
  <si>
    <t>Toy Sampling Example:</t>
  </si>
  <si>
    <t>CPS is "sample one hospital, then sample one patient"</t>
  </si>
  <si>
    <t>CPS is a complex sampling scheme. There is no list of 340M people in the US.</t>
  </si>
  <si>
    <t>The CPS has a super complicated process of strata (like states) and clusters (city blocks).</t>
  </si>
  <si>
    <t>You are much more likely to be selected if you are in Wyoming or you are Hispanic.</t>
  </si>
  <si>
    <t>If you are in A, you have a 1/2 times 1/4 chance of being selected:</t>
  </si>
  <si>
    <t>Rolando</t>
  </si>
  <si>
    <t>Mariceli</t>
  </si>
  <si>
    <t>Jorge</t>
  </si>
  <si>
    <t>Delmi</t>
  </si>
  <si>
    <t>Jose</t>
  </si>
  <si>
    <t>Humberto</t>
  </si>
  <si>
    <t>Hospital B</t>
  </si>
  <si>
    <t>RAND</t>
  </si>
  <si>
    <t>selected patient</t>
  </si>
  <si>
    <t>selected hospital</t>
  </si>
  <si>
    <t>1 is a particular patient is selected</t>
  </si>
  <si>
    <t>What do you get?</t>
  </si>
  <si>
    <t>If you are in B, you have a 1/2 times 1/2 chance of being selected:</t>
  </si>
  <si>
    <r>
      <t xml:space="preserve">In upcoming work, we take the inverse (reciprocal) of the chances of being selected to compute a </t>
    </r>
    <r>
      <rPr>
        <b/>
        <i/>
        <sz val="11"/>
        <color theme="1"/>
        <rFont val="Calibri"/>
        <family val="2"/>
        <scheme val="minor"/>
      </rPr>
      <t>probability weight</t>
    </r>
    <r>
      <rPr>
        <sz val="11"/>
        <color theme="1"/>
        <rFont val="Calibri"/>
        <family val="2"/>
        <scheme val="minor"/>
      </rPr>
      <t>:</t>
    </r>
  </si>
  <si>
    <t>Track Rolando and Jose in a sim (using the button below).</t>
  </si>
  <si>
    <t>people represented by a sample A patient</t>
  </si>
  <si>
    <t>people represented by a sample B patient</t>
  </si>
  <si>
    <t>"But there aren’t 8*4 + 4*2 = 40 patients!"</t>
  </si>
  <si>
    <r>
      <t xml:space="preserve">It means the </t>
    </r>
    <r>
      <rPr>
        <b/>
        <sz val="11"/>
        <color theme="1"/>
        <rFont val="Calibri"/>
        <family val="2"/>
        <scheme val="minor"/>
      </rPr>
      <t>one sampled unit</t>
    </r>
    <r>
      <rPr>
        <sz val="11"/>
        <color theme="1"/>
        <rFont val="Calibri"/>
        <family val="2"/>
        <scheme val="minor"/>
      </rPr>
      <t xml:space="preserve"> is “inflated” to represent the population.</t>
    </r>
  </si>
  <si>
    <t>What two bad things can happen when you use OLS on a DGP that does not meet the requirements for OLS to be BLUE?</t>
  </si>
  <si>
    <t>Before we find out the answer, let's make sure we know how violations of a well-behaved DGP can affect OLS:</t>
  </si>
  <si>
    <r>
      <t xml:space="preserve">Two distinct “bad things” can happen, depending on </t>
    </r>
    <r>
      <rPr>
        <b/>
        <sz val="11"/>
        <color theme="1"/>
        <rFont val="Calibri"/>
        <family val="2"/>
        <scheme val="minor"/>
      </rPr>
      <t>which</t>
    </r>
    <r>
      <rPr>
        <sz val="11"/>
        <color theme="1"/>
        <rFont val="Calibri"/>
        <family val="2"/>
        <scheme val="minor"/>
      </rPr>
      <t xml:space="preserve"> OLS assumptions fail. They fall into two separate categories:</t>
    </r>
  </si>
  <si>
    <t>1. Loss of Unbiasedness (or Consistency) — OLS no longer targets the truth</t>
  </si>
  <si>
    <r>
      <t xml:space="preserve">This happens when the </t>
    </r>
    <r>
      <rPr>
        <b/>
        <sz val="11"/>
        <color theme="1"/>
        <rFont val="Calibri"/>
        <family val="2"/>
        <scheme val="minor"/>
      </rPr>
      <t>exogeneity assumption fails</t>
    </r>
    <r>
      <rPr>
        <sz val="11"/>
        <color theme="1"/>
        <rFont val="Calibri"/>
        <family val="2"/>
        <scheme val="minor"/>
      </rPr>
      <t>:</t>
    </r>
  </si>
  <si>
    <t>Examples: omitted variables, simultaneity, measurement error in regressors, sample selection, reverse causality.</t>
  </si>
  <si>
    <t>Bad consequence:</t>
  </si>
  <si>
    <t>OLS is biased and inconsistent.</t>
  </si>
  <si>
    <t>You may get the wrong sign, the wrong size, or completely misleading estimates.</t>
  </si>
  <si>
    <r>
      <t xml:space="preserve">This is the </t>
    </r>
    <r>
      <rPr>
        <i/>
        <sz val="11"/>
        <color theme="1"/>
        <rFont val="Calibri"/>
        <family val="2"/>
        <scheme val="minor"/>
      </rPr>
      <t>big</t>
    </r>
    <r>
      <rPr>
        <sz val="11"/>
        <color theme="1"/>
        <rFont val="Calibri"/>
        <family val="2"/>
        <scheme val="minor"/>
      </rPr>
      <t xml:space="preserve"> problem—OLS stops telling you the correct causal or structural effect.</t>
    </r>
  </si>
  <si>
    <t>2. Loss of Efficiency (and wrong standard errors) — inference becomes invalid</t>
  </si>
  <si>
    <r>
      <t xml:space="preserve">This happens when OLS is still unbiased but </t>
    </r>
    <r>
      <rPr>
        <b/>
        <sz val="11"/>
        <color theme="1"/>
        <rFont val="Calibri"/>
        <family val="2"/>
        <scheme val="minor"/>
      </rPr>
      <t>not BLUE</t>
    </r>
    <r>
      <rPr>
        <sz val="11"/>
        <color theme="1"/>
        <rFont val="Calibri"/>
        <family val="2"/>
        <scheme val="minor"/>
      </rPr>
      <t>:</t>
    </r>
  </si>
  <si>
    <t>Heteroskedasticity</t>
  </si>
  <si>
    <t>Serial correlation</t>
  </si>
  <si>
    <t>Clustered errors</t>
  </si>
  <si>
    <t>Non-spherical error covariance</t>
  </si>
  <si>
    <t>Bad consequences:</t>
  </si>
  <si>
    <t>(a) OLS is no longer efficient</t>
  </si>
  <si>
    <t>It is still unbiased (if exogeneity holds),</t>
  </si>
  <si>
    <r>
      <t>but it is not minimum variance</t>
    </r>
    <r>
      <rPr>
        <sz val="11"/>
        <color theme="1"/>
        <rFont val="Calibri"/>
        <family val="2"/>
        <scheme val="minor"/>
      </rPr>
      <t xml:space="preserve"> among linear unbiased estimators.</t>
    </r>
  </si>
  <si>
    <t>You could do better with GLS or robust methods.</t>
  </si>
  <si>
    <t>(b) OLS standard errors become wrong</t>
  </si>
  <si>
    <t>Because OLS formulas assume homoskedastic, uncorrelated errors, violation means:</t>
  </si>
  <si>
    <t>Standard errors are biased (usually too small).</t>
  </si>
  <si>
    <t>(t)-tests are invalid.</t>
  </si>
  <si>
    <t>Confidence intervals are wrong.</t>
  </si>
  <si>
    <t>Hypothesis tests give incorrect significance.</t>
  </si>
  <si>
    <r>
      <t xml:space="preserve">This is often the </t>
    </r>
    <r>
      <rPr>
        <i/>
        <sz val="11"/>
        <color theme="1"/>
        <rFont val="Calibri"/>
        <family val="2"/>
        <scheme val="minor"/>
      </rPr>
      <t>practical</t>
    </r>
    <r>
      <rPr>
        <sz val="11"/>
        <color theme="1"/>
        <rFont val="Calibri"/>
        <family val="2"/>
        <scheme val="minor"/>
      </rPr>
      <t xml:space="preserve"> bad outcome even when point estimates are fine.</t>
    </r>
  </si>
  <si>
    <t>In short: the two bad things</t>
  </si>
  <si>
    <t>1. The OLS coefficient estimates can be wrong (biased/inconsistent).</t>
  </si>
  <si>
    <t>2. The OLS inference can be wrong (inefficient estimator, wrong standard errors → invalid hypothesis tests).</t>
  </si>
  <si>
    <r>
      <t xml:space="preserve">Read and scroll right in the </t>
    </r>
    <r>
      <rPr>
        <b/>
        <i/>
        <sz val="11"/>
        <color theme="1"/>
        <rFont val="Calibri"/>
        <family val="2"/>
        <scheme val="minor"/>
      </rPr>
      <t>DGP</t>
    </r>
    <r>
      <rPr>
        <sz val="11"/>
        <color theme="1"/>
        <rFont val="Calibri"/>
        <family val="2"/>
        <scheme val="minor"/>
      </rPr>
      <t xml:space="preserve"> sheet and at the end (column AF) you will see a series of tasks that will show you the effect of unequal probability of selection on OLS.</t>
    </r>
  </si>
  <si>
    <t>There are a series of simulations you can run to demonstrate the effect of unequal probability of selection on OLS -- not surprisingly, it causes trouble.</t>
  </si>
  <si>
    <t>A simple random sample (SRS) means each item in the population is equally likely to be chosen -- simple means basic, not easy.</t>
  </si>
  <si>
    <t>Hospital A</t>
  </si>
  <si>
    <t>If the sampled patient happens to be from A, that person represents 8 people; if from B, that person represents 4 people.</t>
  </si>
  <si>
    <t>Citation: ChatGPT's reply on November 20, 2025:</t>
  </si>
  <si>
    <r>
      <t xml:space="preserve">So the big question here is: </t>
    </r>
    <r>
      <rPr>
        <b/>
        <i/>
        <sz val="11"/>
        <color rgb="FFFF0000"/>
        <rFont val="Calibri"/>
        <family val="2"/>
        <scheme val="minor"/>
      </rPr>
      <t xml:space="preserve">"What is the effect of unequal probability of selection on OLS?" </t>
    </r>
  </si>
  <si>
    <t>SRS is "put all patients in a box, draw 1" so each patient has a 1/6 chance of being selected.</t>
  </si>
  <si>
    <r>
      <t xml:space="preserve">But this does </t>
    </r>
    <r>
      <rPr>
        <b/>
        <sz val="11"/>
        <color theme="1"/>
        <rFont val="Calibri"/>
        <family val="2"/>
        <scheme val="minor"/>
      </rPr>
      <t>not</t>
    </r>
    <r>
      <rPr>
        <sz val="11"/>
        <color theme="1"/>
        <rFont val="Calibri"/>
        <family val="2"/>
        <scheme val="minor"/>
      </rPr>
      <t xml:space="preserve"> mean the population is 8 or 4 or 8 + 4 = 12.</t>
    </r>
  </si>
  <si>
    <t>Right, you NEVER sum weights of all patients. Remember, 1/2 chance of A and B so 0.5*8 + 0.5*4 = 6.</t>
  </si>
  <si>
    <t>A simple interpretation of the "exogeneity assumption": "the included Xs cannot be connected to the error term," exogenous means "outside the system" like an exogenous variable is fixed and does not change as endoegnous variables are changed</t>
  </si>
  <si>
    <t>PLEASE PROCEED TO THE DGP SHEET</t>
  </si>
  <si>
    <r>
      <t xml:space="preserve">Use the </t>
    </r>
    <r>
      <rPr>
        <b/>
        <sz val="11"/>
        <color theme="1"/>
        <rFont val="Calibri"/>
        <family val="2"/>
        <scheme val="minor"/>
      </rPr>
      <t>Refresh</t>
    </r>
    <r>
      <rPr>
        <sz val="11"/>
        <color theme="1"/>
        <rFont val="Calibri"/>
        <family val="2"/>
        <scheme val="minor"/>
      </rPr>
      <t xml:space="preserve"> button (instead of F9) to see changes in the chart in the </t>
    </r>
    <r>
      <rPr>
        <b/>
        <i/>
        <sz val="11"/>
        <color theme="1"/>
        <rFont val="Calibri"/>
        <family val="2"/>
        <scheme val="minor"/>
      </rPr>
      <t>DGP</t>
    </r>
    <r>
      <rPr>
        <sz val="11"/>
        <color theme="1"/>
        <rFont val="Calibri"/>
        <family val="2"/>
        <scheme val="minor"/>
      </rPr>
      <t xml:space="preserve"> sheet.</t>
    </r>
  </si>
  <si>
    <t>NEXT STEP</t>
  </si>
  <si>
    <r>
      <t xml:space="preserve">Go to the </t>
    </r>
    <r>
      <rPr>
        <b/>
        <i/>
        <sz val="11"/>
        <color indexed="8"/>
        <rFont val="Calibri"/>
        <family val="2"/>
      </rPr>
      <t>DGP</t>
    </r>
    <r>
      <rPr>
        <sz val="11"/>
        <color theme="1"/>
        <rFont val="Calibri"/>
        <family val="2"/>
        <scheme val="minor"/>
      </rPr>
      <t xml:space="preserve"> sheet and refer to the detailed documentation in the </t>
    </r>
    <r>
      <rPr>
        <b/>
        <i/>
        <sz val="11"/>
        <color indexed="8"/>
        <rFont val="Calibri"/>
        <family val="2"/>
      </rPr>
      <t>Doc</t>
    </r>
    <r>
      <rPr>
        <sz val="11"/>
        <color theme="1"/>
        <rFont val="Calibri"/>
        <family val="2"/>
        <scheme val="minor"/>
      </rPr>
      <t xml:space="preserve"> sheet or the published paper (link at top in </t>
    </r>
    <r>
      <rPr>
        <b/>
        <i/>
        <sz val="11"/>
        <color theme="1"/>
        <rFont val="Calibri"/>
        <family val="2"/>
        <scheme val="minor"/>
      </rPr>
      <t>Intro</t>
    </r>
    <r>
      <rPr>
        <sz val="11"/>
        <color theme="1"/>
        <rFont val="Calibri"/>
        <family val="2"/>
        <scheme val="minor"/>
      </rPr>
      <t xml:space="preserve"> sheet), if needed.</t>
    </r>
  </si>
  <si>
    <t>Source Paper:</t>
  </si>
  <si>
    <r>
      <t xml:space="preserve">If they do not, then patients in smaller hospitals are more likely to be chosen. Look at the toy example </t>
    </r>
    <r>
      <rPr>
        <b/>
        <sz val="11"/>
        <color rgb="FFFF0000"/>
        <rFont val="Calibri"/>
        <family val="2"/>
        <scheme val="minor"/>
      </rPr>
      <t>to the right. --&gt;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</si>
</sst>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00"/>
    <numFmt numFmtId="165" formatCode="0.0000"/>
    <numFmt numFmtId="166" formatCode="0.0%"/>
    <numFmt numFmtId="167" formatCode="0.000%"/>
    <numFmt numFmtId="168" formatCode="0.0000000000000000"/>
  </numFmts>
  <fonts count="62" x14ac:knownFonts="1">
    <font>
      <sz val="11"/>
      <color theme="1"/>
      <name val="Calibri"/>
      <family val="2"/>
      <scheme val="minor"/>
    </font>
    <font>
      <sz val="12"/>
      <name val="Times New Roman"/>
      <family val="1"/>
    </font>
    <font>
      <sz val="12"/>
      <color indexed="14"/>
      <name val="Times New Roman"/>
      <family val="1"/>
    </font>
    <font>
      <sz val="12"/>
      <color indexed="12"/>
      <name val="Times New Roman"/>
      <family val="1"/>
    </font>
    <font>
      <sz val="10"/>
      <name val="Arial"/>
      <family val="2"/>
    </font>
    <font>
      <b/>
      <sz val="12"/>
      <color indexed="14"/>
      <name val="Times New Roman"/>
      <family val="1"/>
    </font>
    <font>
      <b/>
      <sz val="12"/>
      <color indexed="12"/>
      <name val="Times New Roman"/>
      <family val="1"/>
    </font>
    <font>
      <sz val="8"/>
      <color indexed="81"/>
      <name val="Tahoma"/>
      <family val="2"/>
    </font>
    <font>
      <b/>
      <sz val="8"/>
      <color indexed="81"/>
      <name val="Tahoma"/>
      <family val="2"/>
    </font>
    <font>
      <sz val="11"/>
      <color indexed="10"/>
      <name val="Calibri"/>
      <family val="2"/>
    </font>
    <font>
      <b/>
      <sz val="11"/>
      <color indexed="10"/>
      <name val="Calibri"/>
      <family val="2"/>
    </font>
    <font>
      <b/>
      <sz val="12"/>
      <color indexed="56"/>
      <name val="Times New Roman"/>
      <family val="1"/>
    </font>
    <font>
      <sz val="11"/>
      <color indexed="10"/>
      <name val="Symbol"/>
      <family val="1"/>
      <charset val="2"/>
    </font>
    <font>
      <vertAlign val="subscript"/>
      <sz val="11"/>
      <color indexed="10"/>
      <name val="Calibri"/>
      <family val="2"/>
    </font>
    <font>
      <sz val="24"/>
      <name val="Times New Roman"/>
      <family val="1"/>
    </font>
    <font>
      <b/>
      <sz val="14"/>
      <name val="Times New Roman"/>
      <family val="1"/>
    </font>
    <font>
      <b/>
      <sz val="12"/>
      <color indexed="10"/>
      <name val="Times New Roman"/>
      <family val="1"/>
    </font>
    <font>
      <b/>
      <sz val="12"/>
      <name val="Times New Roman"/>
      <family val="1"/>
    </font>
    <font>
      <sz val="12"/>
      <color indexed="10"/>
      <name val="Times New Roman"/>
      <family val="1"/>
    </font>
    <font>
      <sz val="12"/>
      <color indexed="9"/>
      <name val="Times New Roman"/>
      <family val="1"/>
    </font>
    <font>
      <vertAlign val="superscript"/>
      <sz val="11"/>
      <color indexed="8"/>
      <name val="Calibri"/>
      <family val="2"/>
    </font>
    <font>
      <i/>
      <sz val="11"/>
      <color indexed="8"/>
      <name val="Calibri"/>
      <family val="2"/>
    </font>
    <font>
      <b/>
      <i/>
      <sz val="11"/>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color rgb="FF00B050"/>
      <name val="Calibri"/>
      <family val="2"/>
      <scheme val="minor"/>
    </font>
    <font>
      <sz val="11"/>
      <color indexed="8"/>
      <name val="Calibri"/>
      <family val="2"/>
      <scheme val="minor"/>
    </font>
    <font>
      <sz val="11"/>
      <name val="Calibri"/>
      <family val="2"/>
      <scheme val="minor"/>
    </font>
    <font>
      <b/>
      <sz val="11"/>
      <color rgb="FFFF0000"/>
      <name val="Calibri"/>
      <family val="2"/>
      <scheme val="minor"/>
    </font>
    <font>
      <sz val="11"/>
      <color indexed="14"/>
      <name val="Calibri"/>
      <family val="2"/>
      <scheme val="minor"/>
    </font>
    <font>
      <sz val="11"/>
      <color indexed="12"/>
      <name val="Calibri"/>
      <family val="2"/>
      <scheme val="minor"/>
    </font>
    <font>
      <sz val="11"/>
      <color rgb="FF0070C0"/>
      <name val="Calibri"/>
      <family val="2"/>
      <scheme val="minor"/>
    </font>
    <font>
      <sz val="18"/>
      <color theme="1"/>
      <name val="Calibri"/>
      <family val="2"/>
      <scheme val="minor"/>
    </font>
    <font>
      <b/>
      <sz val="11"/>
      <color indexed="14"/>
      <name val="Calibri"/>
      <family val="2"/>
      <scheme val="minor"/>
    </font>
    <font>
      <b/>
      <sz val="11"/>
      <color indexed="12"/>
      <name val="Calibri"/>
      <family val="2"/>
      <scheme val="minor"/>
    </font>
    <font>
      <b/>
      <sz val="11"/>
      <color indexed="56"/>
      <name val="Calibri"/>
      <family val="2"/>
      <scheme val="minor"/>
    </font>
    <font>
      <b/>
      <i/>
      <sz val="11"/>
      <color theme="1"/>
      <name val="Calibri"/>
      <family val="2"/>
      <scheme val="minor"/>
    </font>
    <font>
      <sz val="11"/>
      <color rgb="FF000000"/>
      <name val="Calibri"/>
      <family val="2"/>
    </font>
    <font>
      <sz val="8"/>
      <color rgb="FF000000"/>
      <name val="Tahoma"/>
      <family val="2"/>
    </font>
    <font>
      <b/>
      <i/>
      <sz val="11"/>
      <color rgb="FFFF0000"/>
      <name val="Calibri"/>
      <family val="2"/>
      <scheme val="minor"/>
    </font>
    <font>
      <b/>
      <i/>
      <sz val="11"/>
      <color rgb="FFFF0000"/>
      <name val="Calibri"/>
      <family val="2"/>
    </font>
    <font>
      <b/>
      <sz val="24"/>
      <color theme="1"/>
      <name val="Calibri"/>
      <family val="2"/>
      <scheme val="minor"/>
    </font>
    <font>
      <i/>
      <sz val="11"/>
      <color theme="1"/>
      <name val="Calibri"/>
      <family val="2"/>
      <scheme val="minor"/>
    </font>
    <font>
      <b/>
      <sz val="13.5"/>
      <color theme="1"/>
      <name val="Calibri"/>
      <family val="2"/>
      <scheme val="minor"/>
    </font>
    <font>
      <b/>
      <sz val="16"/>
      <color rgb="FFFF0000"/>
      <name val="Calibri"/>
      <family val="2"/>
      <scheme val="minor"/>
    </font>
    <font>
      <b/>
      <sz val="14"/>
      <color theme="1"/>
      <name val="Calibri"/>
      <family val="2"/>
      <scheme val="minor"/>
    </font>
  </fonts>
  <fills count="35">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9" tint="0.79998168889431442"/>
        <bgColor indexed="64"/>
      </patternFill>
    </fill>
    <fill>
      <patternFill patternType="solid">
        <fgColor rgb="FFFFFF00"/>
        <bgColor indexed="64"/>
      </patternFill>
    </fill>
  </fills>
  <borders count="52">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style="thin">
        <color indexed="8"/>
      </top>
      <bottom/>
      <diagonal/>
    </border>
    <border>
      <left/>
      <right/>
      <top style="thin">
        <color indexed="8"/>
      </top>
      <bottom/>
      <diagonal/>
    </border>
    <border>
      <left/>
      <right style="thin">
        <color indexed="8"/>
      </right>
      <top/>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49">
    <xf numFmtId="0" fontId="0" fillId="0" borderId="0"/>
    <xf numFmtId="0" fontId="23" fillId="2"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23" fillId="12" borderId="0" applyNumberFormat="0" applyBorder="0" applyAlignment="0" applyProtection="0"/>
    <xf numFmtId="0" fontId="23"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25" fillId="26" borderId="0" applyNumberFormat="0" applyBorder="0" applyAlignment="0" applyProtection="0"/>
    <xf numFmtId="0" fontId="26" fillId="27" borderId="37" applyNumberFormat="0" applyAlignment="0" applyProtection="0"/>
    <xf numFmtId="0" fontId="27" fillId="28" borderId="38" applyNumberFormat="0" applyAlignment="0" applyProtection="0"/>
    <xf numFmtId="44" fontId="23" fillId="0" borderId="0" applyFont="0" applyFill="0" applyBorder="0" applyAlignment="0" applyProtection="0"/>
    <xf numFmtId="0" fontId="28" fillId="0" borderId="0" applyNumberFormat="0" applyFill="0" applyBorder="0" applyAlignment="0" applyProtection="0"/>
    <xf numFmtId="0" fontId="29" fillId="29" borderId="0" applyNumberFormat="0" applyBorder="0" applyAlignment="0" applyProtection="0"/>
    <xf numFmtId="0" fontId="30" fillId="0" borderId="39" applyNumberFormat="0" applyFill="0" applyAlignment="0" applyProtection="0"/>
    <xf numFmtId="0" fontId="31" fillId="0" borderId="40" applyNumberFormat="0" applyFill="0" applyAlignment="0" applyProtection="0"/>
    <xf numFmtId="0" fontId="32" fillId="0" borderId="41" applyNumberFormat="0" applyFill="0" applyAlignment="0" applyProtection="0"/>
    <xf numFmtId="0" fontId="32" fillId="0" borderId="0" applyNumberFormat="0" applyFill="0" applyBorder="0" applyAlignment="0" applyProtection="0"/>
    <xf numFmtId="0" fontId="33" fillId="0" borderId="0" applyNumberFormat="0" applyFill="0" applyBorder="0" applyAlignment="0" applyProtection="0">
      <alignment vertical="top"/>
      <protection locked="0"/>
    </xf>
    <xf numFmtId="0" fontId="34" fillId="30" borderId="37" applyNumberFormat="0" applyAlignment="0" applyProtection="0"/>
    <xf numFmtId="0" fontId="35" fillId="0" borderId="42" applyNumberFormat="0" applyFill="0" applyAlignment="0" applyProtection="0"/>
    <xf numFmtId="0" fontId="36" fillId="31" borderId="0" applyNumberFormat="0" applyBorder="0" applyAlignment="0" applyProtection="0"/>
    <xf numFmtId="0" fontId="1" fillId="0" borderId="0"/>
    <xf numFmtId="0" fontId="4" fillId="0" borderId="0"/>
    <xf numFmtId="0" fontId="1" fillId="0" borderId="0"/>
    <xf numFmtId="0" fontId="23" fillId="32" borderId="43" applyNumberFormat="0" applyFont="0" applyAlignment="0" applyProtection="0"/>
    <xf numFmtId="0" fontId="37" fillId="27" borderId="44" applyNumberFormat="0" applyAlignment="0" applyProtection="0"/>
    <xf numFmtId="9" fontId="23" fillId="0" borderId="0" applyFont="0" applyFill="0" applyBorder="0" applyAlignment="0" applyProtection="0"/>
    <xf numFmtId="9" fontId="1" fillId="0" borderId="0" applyFont="0" applyFill="0" applyBorder="0" applyAlignment="0" applyProtection="0"/>
    <xf numFmtId="0" fontId="38" fillId="0" borderId="0" applyNumberFormat="0" applyFill="0" applyBorder="0" applyAlignment="0" applyProtection="0"/>
    <xf numFmtId="0" fontId="39" fillId="0" borderId="45" applyNumberFormat="0" applyFill="0" applyAlignment="0" applyProtection="0"/>
    <xf numFmtId="0" fontId="40" fillId="0" borderId="0" applyNumberFormat="0" applyFill="0" applyBorder="0" applyAlignment="0" applyProtection="0"/>
  </cellStyleXfs>
  <cellXfs count="211">
    <xf numFmtId="0" fontId="0" fillId="0" borderId="0" xfId="0"/>
    <xf numFmtId="0" fontId="2" fillId="0" borderId="1" xfId="41" applyFont="1" applyBorder="1"/>
    <xf numFmtId="164" fontId="2" fillId="0" borderId="2" xfId="45" applyNumberFormat="1" applyFont="1" applyBorder="1"/>
    <xf numFmtId="0" fontId="3" fillId="0" borderId="1" xfId="41" applyFont="1" applyBorder="1"/>
    <xf numFmtId="164" fontId="3" fillId="0" borderId="2" xfId="45" applyNumberFormat="1" applyFont="1" applyBorder="1"/>
    <xf numFmtId="165" fontId="2" fillId="0" borderId="2" xfId="45" applyNumberFormat="1" applyFont="1" applyBorder="1"/>
    <xf numFmtId="165" fontId="3" fillId="0" borderId="2" xfId="45" applyNumberFormat="1" applyFont="1" applyBorder="1"/>
    <xf numFmtId="0" fontId="1" fillId="0" borderId="3" xfId="41" applyFont="1" applyBorder="1"/>
    <xf numFmtId="0" fontId="2" fillId="0" borderId="4" xfId="41" applyFont="1" applyBorder="1"/>
    <xf numFmtId="164" fontId="2" fillId="0" borderId="5" xfId="45" applyNumberFormat="1" applyFont="1" applyBorder="1"/>
    <xf numFmtId="0" fontId="3" fillId="0" borderId="4" xfId="41" applyFont="1" applyBorder="1"/>
    <xf numFmtId="164" fontId="3" fillId="0" borderId="5" xfId="45" applyNumberFormat="1" applyFont="1" applyBorder="1"/>
    <xf numFmtId="0" fontId="40" fillId="0" borderId="0" xfId="0" applyFont="1"/>
    <xf numFmtId="44" fontId="23" fillId="0" borderId="0" xfId="28" applyFont="1"/>
    <xf numFmtId="167" fontId="23" fillId="0" borderId="0" xfId="44" applyNumberFormat="1" applyFont="1"/>
    <xf numFmtId="0" fontId="0" fillId="0" borderId="6" xfId="0" applyBorder="1"/>
    <xf numFmtId="0" fontId="0" fillId="0" borderId="7" xfId="0" applyBorder="1"/>
    <xf numFmtId="0" fontId="0" fillId="0" borderId="8" xfId="0" applyBorder="1"/>
    <xf numFmtId="0" fontId="0" fillId="0" borderId="6" xfId="0" pivotButton="1" applyBorder="1"/>
    <xf numFmtId="0" fontId="0" fillId="0" borderId="9" xfId="0" applyBorder="1"/>
    <xf numFmtId="0" fontId="0" fillId="0" borderId="10" xfId="0" applyBorder="1"/>
    <xf numFmtId="0" fontId="0" fillId="0" borderId="11" xfId="0" applyBorder="1"/>
    <xf numFmtId="0" fontId="0" fillId="0" borderId="6" xfId="0" applyNumberFormat="1" applyBorder="1"/>
    <xf numFmtId="0" fontId="0" fillId="0" borderId="9" xfId="0" applyNumberFormat="1" applyBorder="1"/>
    <xf numFmtId="0" fontId="0" fillId="0" borderId="10" xfId="0" applyNumberFormat="1" applyBorder="1"/>
    <xf numFmtId="0" fontId="0" fillId="0" borderId="12" xfId="0" applyBorder="1"/>
    <xf numFmtId="44" fontId="0" fillId="0" borderId="12" xfId="0" applyNumberFormat="1" applyBorder="1"/>
    <xf numFmtId="44" fontId="0" fillId="0" borderId="11" xfId="0" applyNumberFormat="1" applyBorder="1"/>
    <xf numFmtId="44" fontId="0" fillId="0" borderId="0" xfId="0" applyNumberFormat="1"/>
    <xf numFmtId="44" fontId="0" fillId="0" borderId="13" xfId="0" applyNumberFormat="1" applyBorder="1"/>
    <xf numFmtId="44" fontId="0" fillId="0" borderId="14" xfId="0" applyNumberFormat="1" applyBorder="1"/>
    <xf numFmtId="44" fontId="0" fillId="0" borderId="15" xfId="0" applyNumberFormat="1" applyBorder="1"/>
    <xf numFmtId="0" fontId="0" fillId="0" borderId="0" xfId="0" applyAlignment="1">
      <alignment vertical="center" wrapText="1"/>
    </xf>
    <xf numFmtId="0" fontId="40" fillId="0" borderId="0" xfId="0" applyFont="1" applyAlignment="1">
      <alignment horizontal="center"/>
    </xf>
    <xf numFmtId="167" fontId="23" fillId="0" borderId="16" xfId="44" applyNumberFormat="1" applyFont="1" applyBorder="1"/>
    <xf numFmtId="167" fontId="0" fillId="0" borderId="0" xfId="0" applyNumberFormat="1"/>
    <xf numFmtId="44" fontId="23" fillId="0" borderId="0" xfId="28" applyFont="1" applyFill="1"/>
    <xf numFmtId="0" fontId="0" fillId="0" borderId="16" xfId="0" applyBorder="1"/>
    <xf numFmtId="44" fontId="40" fillId="0" borderId="0" xfId="0" applyNumberFormat="1" applyFont="1"/>
    <xf numFmtId="44" fontId="41" fillId="0" borderId="0" xfId="28" applyFont="1"/>
    <xf numFmtId="0" fontId="24" fillId="0" borderId="0" xfId="0" applyFont="1"/>
    <xf numFmtId="2" fontId="0" fillId="0" borderId="0" xfId="0" applyNumberFormat="1" applyAlignment="1">
      <alignment horizontal="center"/>
    </xf>
    <xf numFmtId="44" fontId="23" fillId="0" borderId="0" xfId="28" applyFont="1"/>
    <xf numFmtId="0" fontId="33" fillId="0" borderId="0" xfId="35" applyAlignment="1" applyProtection="1"/>
    <xf numFmtId="167" fontId="23" fillId="0" borderId="0" xfId="44" applyNumberFormat="1" applyFont="1" applyBorder="1"/>
    <xf numFmtId="44" fontId="24" fillId="0" borderId="0" xfId="0" applyNumberFormat="1" applyFont="1"/>
    <xf numFmtId="44" fontId="24" fillId="0" borderId="0" xfId="28" applyFont="1"/>
    <xf numFmtId="0" fontId="42" fillId="0" borderId="0" xfId="0" applyFont="1"/>
    <xf numFmtId="0" fontId="42" fillId="0" borderId="0" xfId="0" applyFont="1" applyAlignment="1">
      <alignment vertical="center" wrapText="1"/>
    </xf>
    <xf numFmtId="2" fontId="43" fillId="0" borderId="0" xfId="0" applyNumberFormat="1" applyFont="1" applyAlignment="1">
      <alignment horizontal="center"/>
    </xf>
    <xf numFmtId="0" fontId="43" fillId="0" borderId="0" xfId="0" applyFont="1"/>
    <xf numFmtId="0" fontId="0" fillId="0" borderId="0" xfId="0" applyAlignment="1">
      <alignment horizontal="center"/>
    </xf>
    <xf numFmtId="0" fontId="44" fillId="0" borderId="0" xfId="0" applyFont="1"/>
    <xf numFmtId="0" fontId="39" fillId="0" borderId="0" xfId="0" applyFont="1"/>
    <xf numFmtId="0" fontId="1" fillId="0" borderId="17" xfId="41" applyBorder="1"/>
    <xf numFmtId="164" fontId="1" fillId="0" borderId="18" xfId="45" applyNumberFormat="1" applyBorder="1"/>
    <xf numFmtId="0" fontId="1" fillId="0" borderId="3" xfId="41" applyBorder="1"/>
    <xf numFmtId="0" fontId="1" fillId="0" borderId="1" xfId="41" applyFont="1" applyBorder="1"/>
    <xf numFmtId="165" fontId="1" fillId="0" borderId="19" xfId="45" applyNumberFormat="1" applyFont="1" applyBorder="1"/>
    <xf numFmtId="0" fontId="1" fillId="0" borderId="1" xfId="41" applyBorder="1"/>
    <xf numFmtId="164" fontId="1" fillId="0" borderId="19" xfId="45" applyNumberFormat="1" applyBorder="1"/>
    <xf numFmtId="0" fontId="1" fillId="0" borderId="4" xfId="41" applyBorder="1"/>
    <xf numFmtId="164" fontId="1" fillId="0" borderId="20" xfId="45" applyNumberFormat="1" applyBorder="1"/>
    <xf numFmtId="0" fontId="1" fillId="0" borderId="21" xfId="41" applyBorder="1"/>
    <xf numFmtId="0" fontId="40" fillId="0" borderId="22" xfId="0" applyFont="1" applyBorder="1" applyAlignment="1">
      <alignment horizontal="center"/>
    </xf>
    <xf numFmtId="0" fontId="40" fillId="0" borderId="23" xfId="0" applyFont="1" applyBorder="1" applyAlignment="1">
      <alignment horizontal="center"/>
    </xf>
    <xf numFmtId="0" fontId="40" fillId="0" borderId="24" xfId="0" applyFont="1" applyBorder="1" applyAlignment="1">
      <alignment horizontal="center"/>
    </xf>
    <xf numFmtId="2" fontId="40" fillId="0" borderId="0" xfId="0" applyNumberFormat="1" applyFont="1" applyAlignment="1">
      <alignment horizontal="center"/>
    </xf>
    <xf numFmtId="166" fontId="23" fillId="0" borderId="0" xfId="44" applyNumberFormat="1" applyFont="1"/>
    <xf numFmtId="166" fontId="23" fillId="0" borderId="19" xfId="44" applyNumberFormat="1" applyFont="1" applyBorder="1"/>
    <xf numFmtId="2" fontId="43" fillId="33" borderId="0" xfId="0" applyNumberFormat="1" applyFont="1" applyFill="1" applyAlignment="1">
      <alignment horizontal="center"/>
    </xf>
    <xf numFmtId="0" fontId="0" fillId="0" borderId="19" xfId="0" applyBorder="1" applyAlignment="1">
      <alignment horizontal="center"/>
    </xf>
    <xf numFmtId="0" fontId="0" fillId="0" borderId="0" xfId="0" applyAlignment="1">
      <alignment horizontal="center" vertical="center" wrapText="1"/>
    </xf>
    <xf numFmtId="0" fontId="0" fillId="0" borderId="0" xfId="0" applyFill="1" applyAlignment="1">
      <alignment horizontal="center" vertical="center" wrapText="1"/>
    </xf>
    <xf numFmtId="44" fontId="23" fillId="0" borderId="0" xfId="28" applyFont="1" applyAlignment="1">
      <alignment horizontal="center" vertical="center" wrapText="1"/>
    </xf>
    <xf numFmtId="0" fontId="43" fillId="0" borderId="0" xfId="0" applyFont="1" applyAlignment="1">
      <alignment horizontal="center" vertical="center" wrapText="1"/>
    </xf>
    <xf numFmtId="0" fontId="14" fillId="0" borderId="0" xfId="41" applyFont="1" applyAlignment="1">
      <alignment horizontal="left"/>
    </xf>
    <xf numFmtId="0" fontId="1" fillId="0" borderId="0" xfId="45" applyNumberFormat="1" applyAlignment="1">
      <alignment horizontal="center"/>
    </xf>
    <xf numFmtId="0" fontId="4" fillId="0" borderId="0" xfId="40"/>
    <xf numFmtId="0" fontId="1" fillId="0" borderId="0" xfId="41"/>
    <xf numFmtId="1" fontId="1" fillId="0" borderId="0" xfId="41" applyNumberFormat="1" applyFont="1"/>
    <xf numFmtId="0" fontId="1" fillId="0" borderId="0" xfId="39"/>
    <xf numFmtId="0" fontId="1" fillId="0" borderId="25" xfId="41" applyBorder="1" applyAlignment="1">
      <alignment horizontal="center" wrapText="1"/>
    </xf>
    <xf numFmtId="9" fontId="1" fillId="0" borderId="25" xfId="45" applyFont="1" applyBorder="1" applyAlignment="1">
      <alignment horizontal="center" wrapText="1"/>
    </xf>
    <xf numFmtId="0" fontId="1" fillId="0" borderId="0" xfId="41" applyBorder="1" applyAlignment="1">
      <alignment wrapText="1"/>
    </xf>
    <xf numFmtId="0" fontId="1" fillId="0" borderId="0" xfId="41" applyAlignment="1">
      <alignment wrapText="1"/>
    </xf>
    <xf numFmtId="0" fontId="4" fillId="0" borderId="0" xfId="40" applyAlignment="1">
      <alignment wrapText="1"/>
    </xf>
    <xf numFmtId="0" fontId="1" fillId="0" borderId="0" xfId="41" applyAlignment="1">
      <alignment horizontal="center"/>
    </xf>
    <xf numFmtId="164" fontId="1" fillId="0" borderId="0" xfId="45" applyNumberFormat="1" applyAlignment="1">
      <alignment horizontal="center"/>
    </xf>
    <xf numFmtId="0" fontId="1" fillId="0" borderId="0" xfId="41" applyFont="1" applyBorder="1"/>
    <xf numFmtId="1" fontId="1" fillId="0" borderId="1" xfId="41" applyNumberFormat="1" applyFont="1" applyBorder="1"/>
    <xf numFmtId="0" fontId="1" fillId="0" borderId="2" xfId="41" applyFont="1" applyBorder="1"/>
    <xf numFmtId="1" fontId="1" fillId="0" borderId="4" xfId="41" applyNumberFormat="1" applyFont="1" applyBorder="1"/>
    <xf numFmtId="0" fontId="1" fillId="0" borderId="5" xfId="41" applyFont="1" applyBorder="1"/>
    <xf numFmtId="0" fontId="17" fillId="0" borderId="0" xfId="41" applyFont="1" applyAlignment="1">
      <alignment horizontal="center"/>
    </xf>
    <xf numFmtId="0" fontId="1" fillId="0" borderId="0" xfId="41" applyBorder="1"/>
    <xf numFmtId="1" fontId="1" fillId="0" borderId="0" xfId="41" applyNumberFormat="1" applyFont="1" applyBorder="1"/>
    <xf numFmtId="0" fontId="16" fillId="0" borderId="26" xfId="41" applyFont="1" applyBorder="1"/>
    <xf numFmtId="0" fontId="16" fillId="0" borderId="27" xfId="41" applyFont="1" applyBorder="1"/>
    <xf numFmtId="0" fontId="1" fillId="0" borderId="28" xfId="41" applyFont="1" applyBorder="1"/>
    <xf numFmtId="0" fontId="1" fillId="0" borderId="29" xfId="40" applyFont="1" applyBorder="1"/>
    <xf numFmtId="0" fontId="1" fillId="0" borderId="0" xfId="40" applyFont="1" applyBorder="1"/>
    <xf numFmtId="1" fontId="1" fillId="0" borderId="0" xfId="45" applyNumberFormat="1" applyFont="1"/>
    <xf numFmtId="0" fontId="1" fillId="0" borderId="29" xfId="41" applyFont="1" applyBorder="1"/>
    <xf numFmtId="0" fontId="1" fillId="0" borderId="30" xfId="41" applyFont="1" applyBorder="1"/>
    <xf numFmtId="0" fontId="1" fillId="0" borderId="25" xfId="41" applyFont="1" applyBorder="1"/>
    <xf numFmtId="0" fontId="1" fillId="0" borderId="21" xfId="41" applyFont="1" applyBorder="1"/>
    <xf numFmtId="0" fontId="4" fillId="0" borderId="0" xfId="40" applyBorder="1"/>
    <xf numFmtId="0" fontId="17" fillId="0" borderId="0" xfId="41" applyFont="1"/>
    <xf numFmtId="0" fontId="18" fillId="0" borderId="0" xfId="41" applyFont="1" applyAlignment="1">
      <alignment horizontal="left"/>
    </xf>
    <xf numFmtId="0" fontId="2" fillId="0" borderId="0" xfId="45" applyNumberFormat="1" applyFont="1" applyAlignment="1">
      <alignment horizontal="center"/>
    </xf>
    <xf numFmtId="0" fontId="3" fillId="0" borderId="0" xfId="41" applyFont="1"/>
    <xf numFmtId="1" fontId="1" fillId="0" borderId="0" xfId="41" applyNumberFormat="1"/>
    <xf numFmtId="9" fontId="2" fillId="0" borderId="25" xfId="45" applyFont="1" applyBorder="1" applyAlignment="1">
      <alignment horizontal="center" wrapText="1"/>
    </xf>
    <xf numFmtId="9" fontId="3" fillId="0" borderId="25" xfId="45" applyFont="1" applyBorder="1" applyAlignment="1">
      <alignment horizontal="center" wrapText="1"/>
    </xf>
    <xf numFmtId="164" fontId="2" fillId="0" borderId="0" xfId="45" applyNumberFormat="1" applyFont="1" applyAlignment="1">
      <alignment horizontal="center"/>
    </xf>
    <xf numFmtId="164" fontId="3" fillId="0" borderId="0" xfId="41" applyNumberFormat="1" applyFont="1"/>
    <xf numFmtId="0" fontId="1" fillId="0" borderId="5" xfId="41" applyBorder="1"/>
    <xf numFmtId="0" fontId="16" fillId="0" borderId="28" xfId="41" applyFont="1" applyBorder="1"/>
    <xf numFmtId="0" fontId="16" fillId="0" borderId="0" xfId="41" applyFont="1" applyBorder="1"/>
    <xf numFmtId="0" fontId="16" fillId="0" borderId="3" xfId="41" applyFont="1" applyBorder="1"/>
    <xf numFmtId="1" fontId="1" fillId="0" borderId="0" xfId="45" applyNumberFormat="1"/>
    <xf numFmtId="1" fontId="19" fillId="0" borderId="0" xfId="41" applyNumberFormat="1" applyFont="1"/>
    <xf numFmtId="0" fontId="1" fillId="0" borderId="0" xfId="41" applyFont="1"/>
    <xf numFmtId="0" fontId="43" fillId="0" borderId="16" xfId="0" applyFont="1" applyBorder="1"/>
    <xf numFmtId="0" fontId="0" fillId="0" borderId="0" xfId="0" applyFont="1"/>
    <xf numFmtId="0" fontId="0" fillId="0" borderId="0" xfId="0" applyFont="1" applyAlignment="1">
      <alignment horizontal="center"/>
    </xf>
    <xf numFmtId="0" fontId="0" fillId="0" borderId="16" xfId="0" applyFont="1" applyBorder="1" applyAlignment="1">
      <alignment horizontal="center"/>
    </xf>
    <xf numFmtId="9" fontId="23" fillId="0" borderId="0" xfId="44" applyFont="1" applyAlignment="1">
      <alignment horizontal="center"/>
    </xf>
    <xf numFmtId="0" fontId="0" fillId="0" borderId="0" xfId="0" quotePrefix="1" applyFont="1"/>
    <xf numFmtId="0" fontId="0" fillId="0" borderId="16" xfId="0" applyFont="1" applyBorder="1"/>
    <xf numFmtId="168" fontId="0" fillId="0" borderId="0" xfId="0" applyNumberFormat="1" applyFont="1"/>
    <xf numFmtId="0" fontId="45" fillId="0" borderId="1" xfId="41" applyFont="1" applyBorder="1"/>
    <xf numFmtId="164" fontId="45" fillId="0" borderId="2" xfId="45" applyNumberFormat="1" applyFont="1" applyBorder="1"/>
    <xf numFmtId="0" fontId="46" fillId="0" borderId="1" xfId="41" applyFont="1" applyBorder="1"/>
    <xf numFmtId="164" fontId="46" fillId="0" borderId="2" xfId="45" applyNumberFormat="1" applyFont="1" applyBorder="1"/>
    <xf numFmtId="165" fontId="45" fillId="0" borderId="2" xfId="45" applyNumberFormat="1" applyFont="1" applyBorder="1"/>
    <xf numFmtId="165" fontId="46" fillId="0" borderId="2" xfId="45" applyNumberFormat="1" applyFont="1" applyBorder="1"/>
    <xf numFmtId="0" fontId="45" fillId="0" borderId="4" xfId="41" applyFont="1" applyBorder="1"/>
    <xf numFmtId="164" fontId="45" fillId="0" borderId="5" xfId="45" applyNumberFormat="1" applyFont="1" applyBorder="1"/>
    <xf numFmtId="0" fontId="46" fillId="0" borderId="4" xfId="41" applyFont="1" applyBorder="1"/>
    <xf numFmtId="164" fontId="46" fillId="0" borderId="5" xfId="45" applyNumberFormat="1" applyFont="1" applyBorder="1"/>
    <xf numFmtId="0" fontId="45" fillId="0" borderId="0" xfId="41" applyFont="1" applyFill="1" applyBorder="1"/>
    <xf numFmtId="0" fontId="47" fillId="0" borderId="0" xfId="41" applyFont="1" applyFill="1" applyBorder="1"/>
    <xf numFmtId="0" fontId="43" fillId="0" borderId="17" xfId="41" applyFont="1" applyBorder="1"/>
    <xf numFmtId="164" fontId="43" fillId="0" borderId="18" xfId="45" applyNumberFormat="1" applyFont="1" applyBorder="1"/>
    <xf numFmtId="0" fontId="43" fillId="0" borderId="3" xfId="41" applyFont="1" applyBorder="1"/>
    <xf numFmtId="0" fontId="43" fillId="0" borderId="1" xfId="41" applyFont="1" applyBorder="1"/>
    <xf numFmtId="165" fontId="43" fillId="0" borderId="19" xfId="45" applyNumberFormat="1" applyFont="1" applyBorder="1"/>
    <xf numFmtId="164" fontId="43" fillId="0" borderId="19" xfId="45" applyNumberFormat="1" applyFont="1" applyBorder="1"/>
    <xf numFmtId="0" fontId="43" fillId="0" borderId="4" xfId="41" applyFont="1" applyBorder="1"/>
    <xf numFmtId="164" fontId="43" fillId="0" borderId="20" xfId="45" applyNumberFormat="1" applyFont="1" applyBorder="1"/>
    <xf numFmtId="0" fontId="43" fillId="0" borderId="21" xfId="41" applyFont="1" applyBorder="1"/>
    <xf numFmtId="0" fontId="43" fillId="0" borderId="0" xfId="41" applyFont="1" applyFill="1" applyBorder="1"/>
    <xf numFmtId="10" fontId="23" fillId="0" borderId="0" xfId="44" applyNumberFormat="1" applyFont="1"/>
    <xf numFmtId="167" fontId="23" fillId="0" borderId="0" xfId="44" applyNumberFormat="1" applyFont="1"/>
    <xf numFmtId="167" fontId="23" fillId="0" borderId="0" xfId="44" applyNumberFormat="1" applyFont="1" applyAlignment="1">
      <alignment horizontal="center"/>
    </xf>
    <xf numFmtId="167" fontId="23" fillId="0" borderId="0" xfId="44" applyNumberFormat="1" applyFont="1" applyBorder="1" applyAlignment="1">
      <alignment horizontal="center"/>
    </xf>
    <xf numFmtId="167" fontId="0" fillId="0" borderId="0" xfId="0" applyNumberFormat="1" applyAlignment="1">
      <alignment horizontal="center"/>
    </xf>
    <xf numFmtId="10" fontId="0" fillId="0" borderId="0" xfId="0" applyNumberFormat="1" applyAlignment="1">
      <alignment horizontal="center"/>
    </xf>
    <xf numFmtId="0" fontId="0" fillId="0" borderId="31" xfId="0" applyBorder="1" applyAlignment="1">
      <alignment horizontal="center"/>
    </xf>
    <xf numFmtId="167" fontId="23" fillId="0" borderId="0" xfId="44" applyNumberFormat="1" applyFont="1" applyAlignment="1">
      <alignment horizontal="center" vertical="center" wrapText="1"/>
    </xf>
    <xf numFmtId="20" fontId="0" fillId="0" borderId="0" xfId="0" applyNumberFormat="1"/>
    <xf numFmtId="164" fontId="0" fillId="0" borderId="0" xfId="0" applyNumberFormat="1"/>
    <xf numFmtId="167" fontId="23" fillId="0" borderId="0" xfId="44" applyNumberFormat="1" applyFont="1" applyAlignment="1">
      <alignment horizontal="center"/>
    </xf>
    <xf numFmtId="164" fontId="0" fillId="0" borderId="0" xfId="0" applyNumberFormat="1" applyAlignment="1">
      <alignment horizontal="center"/>
    </xf>
    <xf numFmtId="0" fontId="0" fillId="0" borderId="0" xfId="0" applyFill="1"/>
    <xf numFmtId="0" fontId="24" fillId="0" borderId="0" xfId="0" applyFont="1" applyFill="1" applyAlignment="1">
      <alignment horizontal="center" vertical="center" wrapText="1"/>
    </xf>
    <xf numFmtId="0" fontId="24" fillId="0" borderId="0" xfId="0" applyFont="1" applyFill="1"/>
    <xf numFmtId="0" fontId="0" fillId="0" borderId="46" xfId="0" pivotButton="1" applyBorder="1"/>
    <xf numFmtId="0" fontId="0" fillId="0" borderId="47" xfId="0" applyBorder="1"/>
    <xf numFmtId="0" fontId="0" fillId="0" borderId="46" xfId="0" applyBorder="1"/>
    <xf numFmtId="0" fontId="0" fillId="0" borderId="47" xfId="0" applyNumberFormat="1" applyBorder="1"/>
    <xf numFmtId="0" fontId="0" fillId="0" borderId="48" xfId="0" applyBorder="1"/>
    <xf numFmtId="0" fontId="0" fillId="0" borderId="49" xfId="0" applyNumberFormat="1" applyBorder="1"/>
    <xf numFmtId="0" fontId="0" fillId="0" borderId="50" xfId="0" applyBorder="1"/>
    <xf numFmtId="0" fontId="0" fillId="0" borderId="51" xfId="0" applyNumberFormat="1" applyBorder="1"/>
    <xf numFmtId="0" fontId="55" fillId="0" borderId="0" xfId="0" applyFont="1"/>
    <xf numFmtId="0" fontId="0" fillId="0" borderId="25" xfId="0" applyBorder="1" applyAlignment="1">
      <alignment horizontal="center"/>
    </xf>
    <xf numFmtId="0" fontId="0" fillId="0" borderId="0" xfId="0" applyAlignment="1">
      <alignment horizontal="left"/>
    </xf>
    <xf numFmtId="10" fontId="0" fillId="0" borderId="0" xfId="44" applyNumberFormat="1" applyFont="1"/>
    <xf numFmtId="0" fontId="0" fillId="0" borderId="0" xfId="0" applyAlignment="1">
      <alignment horizontal="left" vertical="center" indent="1"/>
    </xf>
    <xf numFmtId="0" fontId="0" fillId="0" borderId="0" xfId="0" applyAlignment="1">
      <alignment vertical="center"/>
    </xf>
    <xf numFmtId="0" fontId="57" fillId="0" borderId="0" xfId="0" applyFont="1" applyAlignment="1">
      <alignment vertical="center"/>
    </xf>
    <xf numFmtId="0" fontId="39" fillId="0" borderId="0" xfId="0" applyFont="1" applyAlignment="1">
      <alignment horizontal="left" vertical="center" indent="1"/>
    </xf>
    <xf numFmtId="0" fontId="59" fillId="0" borderId="0" xfId="0" applyFont="1" applyAlignment="1">
      <alignment vertical="center"/>
    </xf>
    <xf numFmtId="0" fontId="40" fillId="0" borderId="0" xfId="0" applyFont="1" applyAlignment="1">
      <alignment vertical="center"/>
    </xf>
    <xf numFmtId="0" fontId="15" fillId="0" borderId="32" xfId="41" applyFont="1" applyBorder="1" applyAlignment="1">
      <alignment horizontal="center" wrapText="1"/>
    </xf>
    <xf numFmtId="0" fontId="1" fillId="0" borderId="33" xfId="39" applyBorder="1" applyAlignment="1">
      <alignment horizontal="center" wrapText="1"/>
    </xf>
    <xf numFmtId="0" fontId="11" fillId="0" borderId="34" xfId="41" applyFont="1" applyBorder="1" applyAlignment="1">
      <alignment horizontal="center"/>
    </xf>
    <xf numFmtId="0" fontId="11" fillId="0" borderId="35" xfId="41" applyFont="1" applyBorder="1" applyAlignment="1">
      <alignment horizontal="center"/>
    </xf>
    <xf numFmtId="0" fontId="11" fillId="0" borderId="36" xfId="41" applyFont="1" applyBorder="1" applyAlignment="1">
      <alignment horizontal="center"/>
    </xf>
    <xf numFmtId="0" fontId="16" fillId="0" borderId="35" xfId="41" applyFont="1" applyBorder="1" applyAlignment="1">
      <alignment horizontal="center"/>
    </xf>
    <xf numFmtId="0" fontId="16" fillId="0" borderId="36" xfId="41" applyFont="1" applyBorder="1" applyAlignment="1">
      <alignment horizontal="center"/>
    </xf>
    <xf numFmtId="0" fontId="15" fillId="0" borderId="33" xfId="41" applyFont="1" applyBorder="1" applyAlignment="1">
      <alignment horizontal="center" wrapText="1"/>
    </xf>
    <xf numFmtId="0" fontId="5" fillId="0" borderId="26" xfId="41" applyFont="1" applyBorder="1" applyAlignment="1">
      <alignment horizontal="center"/>
    </xf>
    <xf numFmtId="0" fontId="5" fillId="0" borderId="28" xfId="41" applyFont="1" applyBorder="1" applyAlignment="1">
      <alignment horizontal="center"/>
    </xf>
    <xf numFmtId="0" fontId="6" fillId="0" borderId="26" xfId="41" applyFont="1" applyBorder="1" applyAlignment="1">
      <alignment horizontal="center"/>
    </xf>
    <xf numFmtId="0" fontId="6" fillId="0" borderId="28" xfId="41" applyFont="1" applyBorder="1" applyAlignment="1">
      <alignment horizontal="center"/>
    </xf>
    <xf numFmtId="0" fontId="40" fillId="0" borderId="0" xfId="0" applyFont="1" applyAlignment="1">
      <alignment horizontal="center" vertical="center" wrapText="1"/>
    </xf>
    <xf numFmtId="0" fontId="48" fillId="34" borderId="0" xfId="0" applyFont="1" applyFill="1" applyAlignment="1">
      <alignment horizontal="center" vertical="center"/>
    </xf>
    <xf numFmtId="0" fontId="0" fillId="0" borderId="0" xfId="0" applyAlignment="1">
      <alignment horizontal="center" vertical="center"/>
    </xf>
    <xf numFmtId="0" fontId="49" fillId="0" borderId="26" xfId="41" applyFont="1" applyBorder="1" applyAlignment="1">
      <alignment horizontal="center"/>
    </xf>
    <xf numFmtId="0" fontId="49" fillId="0" borderId="28" xfId="41" applyFont="1" applyBorder="1" applyAlignment="1">
      <alignment horizontal="center"/>
    </xf>
    <xf numFmtId="0" fontId="50" fillId="0" borderId="26" xfId="41" applyFont="1" applyBorder="1" applyAlignment="1">
      <alignment horizontal="center"/>
    </xf>
    <xf numFmtId="0" fontId="50" fillId="0" borderId="28" xfId="41" applyFont="1" applyBorder="1" applyAlignment="1">
      <alignment horizontal="center"/>
    </xf>
    <xf numFmtId="0" fontId="51" fillId="0" borderId="34" xfId="41" applyFont="1" applyBorder="1" applyAlignment="1">
      <alignment horizontal="center"/>
    </xf>
    <xf numFmtId="0" fontId="51" fillId="0" borderId="35" xfId="41" applyFont="1" applyBorder="1" applyAlignment="1">
      <alignment horizontal="center"/>
    </xf>
    <xf numFmtId="0" fontId="51" fillId="0" borderId="36" xfId="41" applyFont="1" applyBorder="1" applyAlignment="1">
      <alignment horizontal="center"/>
    </xf>
    <xf numFmtId="0" fontId="60" fillId="0" borderId="0" xfId="0" applyFont="1"/>
    <xf numFmtId="0" fontId="61" fillId="0" borderId="0" xfId="0" applyFont="1"/>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39" xr:uid="{00000000-0005-0000-0000-000027000000}"/>
    <cellStyle name="Normal_AutoCorr" xfId="40" xr:uid="{00000000-0005-0000-0000-000028000000}"/>
    <cellStyle name="Normal_MonteCarlo" xfId="41" xr:uid="{00000000-0005-0000-0000-000029000000}"/>
    <cellStyle name="Note" xfId="42" builtinId="10" customBuiltin="1"/>
    <cellStyle name="Output" xfId="43" builtinId="21" customBuiltin="1"/>
    <cellStyle name="Percent" xfId="44" builtinId="5"/>
    <cellStyle name="Percent 2" xfId="45" xr:uid="{00000000-0005-0000-0000-00002D000000}"/>
    <cellStyle name="Title" xfId="46" builtinId="15" customBuiltin="1"/>
    <cellStyle name="Total" xfId="47" builtinId="25" customBuiltin="1"/>
    <cellStyle name="Warning Text" xfId="48" builtinId="11" customBuiltin="1"/>
  </cellStyles>
  <dxfs count="2">
    <dxf>
      <fill>
        <patternFill>
          <bgColor indexed="9"/>
        </patternFill>
      </fill>
    </dxf>
    <dxf>
      <numFmt numFmtId="34" formatCode="_(&quot;$&quot;* #,##0.00_);_(&quot;$&quot;* \(#,##0.00\);_(&quot;$&quot;* &quot;-&quot;??_);_(@_)"/>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Wage = f(Schooling)</a:t>
            </a:r>
          </a:p>
        </c:rich>
      </c:tx>
      <c:overlay val="0"/>
    </c:title>
    <c:autoTitleDeleted val="0"/>
    <c:plotArea>
      <c:layout/>
      <c:scatterChart>
        <c:scatterStyle val="lineMarker"/>
        <c:varyColors val="0"/>
        <c:ser>
          <c:idx val="0"/>
          <c:order val="0"/>
          <c:tx>
            <c:strRef>
              <c:f>DGP!$D$1</c:f>
              <c:strCache>
                <c:ptCount val="1"/>
                <c:pt idx="0">
                  <c:v>Wage ($/hr)</c:v>
                </c:pt>
              </c:strCache>
            </c:strRef>
          </c:tx>
          <c:spPr>
            <a:ln w="28575">
              <a:noFill/>
            </a:ln>
          </c:spPr>
          <c:trendline>
            <c:trendlineType val="linear"/>
            <c:dispRSqr val="0"/>
            <c:dispEq val="1"/>
            <c:trendlineLbl>
              <c:layout>
                <c:manualLayout>
                  <c:x val="-0.12568744531933509"/>
                  <c:y val="-0.20831510644502771"/>
                </c:manualLayout>
              </c:layout>
              <c:tx>
                <c:rich>
                  <a:bodyPr/>
                  <a:lstStyle/>
                  <a:p>
                    <a:pPr>
                      <a:defRPr sz="1000" b="0" i="0" u="none" strike="noStrike" baseline="0">
                        <a:solidFill>
                          <a:srgbClr val="000000"/>
                        </a:solidFill>
                        <a:latin typeface="Calibri"/>
                        <a:ea typeface="Calibri"/>
                        <a:cs typeface="Calibri"/>
                      </a:defRPr>
                    </a:pPr>
                    <a:r>
                      <a:rPr lang="en-US"/>
                      <a:t>Wage = 2.02565*Schooling - 0.6232</a:t>
                    </a:r>
                  </a:p>
                </c:rich>
              </c:tx>
              <c:numFmt formatCode="General" sourceLinked="0"/>
            </c:trendlineLbl>
          </c:trendline>
          <c:xVal>
            <c:numRef>
              <c:f>DGP!$C$2:$C$1002</c:f>
              <c:numCache>
                <c:formatCode>General</c:formatCode>
                <c:ptCount val="1001"/>
                <c:pt idx="0">
                  <c:v>14</c:v>
                </c:pt>
                <c:pt idx="1">
                  <c:v>14</c:v>
                </c:pt>
                <c:pt idx="2">
                  <c:v>13</c:v>
                </c:pt>
                <c:pt idx="3">
                  <c:v>15</c:v>
                </c:pt>
                <c:pt idx="4">
                  <c:v>13</c:v>
                </c:pt>
                <c:pt idx="5">
                  <c:v>15</c:v>
                </c:pt>
                <c:pt idx="6">
                  <c:v>15</c:v>
                </c:pt>
                <c:pt idx="7">
                  <c:v>14</c:v>
                </c:pt>
                <c:pt idx="8">
                  <c:v>12</c:v>
                </c:pt>
                <c:pt idx="9">
                  <c:v>13</c:v>
                </c:pt>
                <c:pt idx="10">
                  <c:v>15</c:v>
                </c:pt>
                <c:pt idx="11">
                  <c:v>13</c:v>
                </c:pt>
                <c:pt idx="12">
                  <c:v>14</c:v>
                </c:pt>
                <c:pt idx="13">
                  <c:v>15</c:v>
                </c:pt>
                <c:pt idx="14">
                  <c:v>12</c:v>
                </c:pt>
                <c:pt idx="15">
                  <c:v>12</c:v>
                </c:pt>
                <c:pt idx="16">
                  <c:v>15</c:v>
                </c:pt>
                <c:pt idx="17">
                  <c:v>15</c:v>
                </c:pt>
                <c:pt idx="18">
                  <c:v>14</c:v>
                </c:pt>
                <c:pt idx="19">
                  <c:v>12</c:v>
                </c:pt>
                <c:pt idx="20">
                  <c:v>13</c:v>
                </c:pt>
                <c:pt idx="21">
                  <c:v>14</c:v>
                </c:pt>
                <c:pt idx="22">
                  <c:v>13</c:v>
                </c:pt>
                <c:pt idx="23">
                  <c:v>16</c:v>
                </c:pt>
                <c:pt idx="24">
                  <c:v>15</c:v>
                </c:pt>
                <c:pt idx="25">
                  <c:v>13</c:v>
                </c:pt>
                <c:pt idx="26">
                  <c:v>12</c:v>
                </c:pt>
                <c:pt idx="27">
                  <c:v>13</c:v>
                </c:pt>
                <c:pt idx="28">
                  <c:v>13</c:v>
                </c:pt>
                <c:pt idx="29">
                  <c:v>12</c:v>
                </c:pt>
                <c:pt idx="30">
                  <c:v>12</c:v>
                </c:pt>
                <c:pt idx="31">
                  <c:v>14</c:v>
                </c:pt>
                <c:pt idx="32">
                  <c:v>13</c:v>
                </c:pt>
                <c:pt idx="33">
                  <c:v>13</c:v>
                </c:pt>
                <c:pt idx="34">
                  <c:v>15</c:v>
                </c:pt>
                <c:pt idx="35">
                  <c:v>12</c:v>
                </c:pt>
                <c:pt idx="36">
                  <c:v>16</c:v>
                </c:pt>
                <c:pt idx="37">
                  <c:v>14</c:v>
                </c:pt>
                <c:pt idx="38">
                  <c:v>14</c:v>
                </c:pt>
                <c:pt idx="39">
                  <c:v>16</c:v>
                </c:pt>
                <c:pt idx="40">
                  <c:v>12</c:v>
                </c:pt>
                <c:pt idx="41">
                  <c:v>16</c:v>
                </c:pt>
                <c:pt idx="42">
                  <c:v>13</c:v>
                </c:pt>
                <c:pt idx="43">
                  <c:v>15</c:v>
                </c:pt>
                <c:pt idx="44">
                  <c:v>14</c:v>
                </c:pt>
                <c:pt idx="45">
                  <c:v>15</c:v>
                </c:pt>
                <c:pt idx="46">
                  <c:v>14</c:v>
                </c:pt>
                <c:pt idx="47">
                  <c:v>13</c:v>
                </c:pt>
                <c:pt idx="48">
                  <c:v>15</c:v>
                </c:pt>
                <c:pt idx="49">
                  <c:v>16</c:v>
                </c:pt>
                <c:pt idx="50">
                  <c:v>13</c:v>
                </c:pt>
                <c:pt idx="51">
                  <c:v>16</c:v>
                </c:pt>
                <c:pt idx="52">
                  <c:v>14</c:v>
                </c:pt>
                <c:pt idx="53">
                  <c:v>15</c:v>
                </c:pt>
                <c:pt idx="54">
                  <c:v>15</c:v>
                </c:pt>
                <c:pt idx="55">
                  <c:v>12</c:v>
                </c:pt>
                <c:pt idx="56">
                  <c:v>13</c:v>
                </c:pt>
                <c:pt idx="57">
                  <c:v>13</c:v>
                </c:pt>
                <c:pt idx="58">
                  <c:v>14</c:v>
                </c:pt>
                <c:pt idx="59">
                  <c:v>12</c:v>
                </c:pt>
                <c:pt idx="60">
                  <c:v>16</c:v>
                </c:pt>
                <c:pt idx="61">
                  <c:v>12</c:v>
                </c:pt>
                <c:pt idx="62">
                  <c:v>12</c:v>
                </c:pt>
                <c:pt idx="63">
                  <c:v>12</c:v>
                </c:pt>
                <c:pt idx="64">
                  <c:v>12</c:v>
                </c:pt>
                <c:pt idx="65">
                  <c:v>13</c:v>
                </c:pt>
                <c:pt idx="66">
                  <c:v>16</c:v>
                </c:pt>
                <c:pt idx="67">
                  <c:v>12</c:v>
                </c:pt>
                <c:pt idx="68">
                  <c:v>12</c:v>
                </c:pt>
                <c:pt idx="69">
                  <c:v>13</c:v>
                </c:pt>
                <c:pt idx="70">
                  <c:v>14</c:v>
                </c:pt>
                <c:pt idx="71">
                  <c:v>16</c:v>
                </c:pt>
                <c:pt idx="72">
                  <c:v>15</c:v>
                </c:pt>
                <c:pt idx="73">
                  <c:v>14</c:v>
                </c:pt>
                <c:pt idx="74">
                  <c:v>15</c:v>
                </c:pt>
                <c:pt idx="75">
                  <c:v>13</c:v>
                </c:pt>
                <c:pt idx="76">
                  <c:v>13</c:v>
                </c:pt>
                <c:pt idx="77">
                  <c:v>12</c:v>
                </c:pt>
                <c:pt idx="78">
                  <c:v>12</c:v>
                </c:pt>
                <c:pt idx="79">
                  <c:v>16</c:v>
                </c:pt>
                <c:pt idx="80">
                  <c:v>14</c:v>
                </c:pt>
                <c:pt idx="81">
                  <c:v>16</c:v>
                </c:pt>
                <c:pt idx="82">
                  <c:v>16</c:v>
                </c:pt>
                <c:pt idx="83">
                  <c:v>16</c:v>
                </c:pt>
                <c:pt idx="84">
                  <c:v>13</c:v>
                </c:pt>
                <c:pt idx="85">
                  <c:v>13</c:v>
                </c:pt>
                <c:pt idx="86">
                  <c:v>13</c:v>
                </c:pt>
                <c:pt idx="87">
                  <c:v>13</c:v>
                </c:pt>
                <c:pt idx="88">
                  <c:v>12</c:v>
                </c:pt>
                <c:pt idx="89">
                  <c:v>13</c:v>
                </c:pt>
                <c:pt idx="90">
                  <c:v>16</c:v>
                </c:pt>
                <c:pt idx="91">
                  <c:v>16</c:v>
                </c:pt>
                <c:pt idx="92">
                  <c:v>14</c:v>
                </c:pt>
                <c:pt idx="93">
                  <c:v>15</c:v>
                </c:pt>
                <c:pt idx="94">
                  <c:v>12</c:v>
                </c:pt>
                <c:pt idx="95">
                  <c:v>13</c:v>
                </c:pt>
                <c:pt idx="96">
                  <c:v>14</c:v>
                </c:pt>
                <c:pt idx="97">
                  <c:v>16</c:v>
                </c:pt>
                <c:pt idx="98">
                  <c:v>14</c:v>
                </c:pt>
                <c:pt idx="99">
                  <c:v>14</c:v>
                </c:pt>
                <c:pt idx="100">
                  <c:v>12</c:v>
                </c:pt>
                <c:pt idx="101">
                  <c:v>14</c:v>
                </c:pt>
                <c:pt idx="102">
                  <c:v>14</c:v>
                </c:pt>
                <c:pt idx="103">
                  <c:v>14</c:v>
                </c:pt>
                <c:pt idx="104">
                  <c:v>15</c:v>
                </c:pt>
                <c:pt idx="105">
                  <c:v>15</c:v>
                </c:pt>
                <c:pt idx="106">
                  <c:v>16</c:v>
                </c:pt>
                <c:pt idx="107">
                  <c:v>15</c:v>
                </c:pt>
                <c:pt idx="108">
                  <c:v>16</c:v>
                </c:pt>
                <c:pt idx="109">
                  <c:v>12</c:v>
                </c:pt>
                <c:pt idx="110">
                  <c:v>12</c:v>
                </c:pt>
                <c:pt idx="111">
                  <c:v>15</c:v>
                </c:pt>
                <c:pt idx="112">
                  <c:v>12</c:v>
                </c:pt>
                <c:pt idx="113">
                  <c:v>16</c:v>
                </c:pt>
                <c:pt idx="114">
                  <c:v>14</c:v>
                </c:pt>
                <c:pt idx="115">
                  <c:v>15</c:v>
                </c:pt>
                <c:pt idx="116">
                  <c:v>15</c:v>
                </c:pt>
                <c:pt idx="117">
                  <c:v>15</c:v>
                </c:pt>
                <c:pt idx="118">
                  <c:v>14</c:v>
                </c:pt>
                <c:pt idx="119">
                  <c:v>13</c:v>
                </c:pt>
                <c:pt idx="120">
                  <c:v>15</c:v>
                </c:pt>
                <c:pt idx="121">
                  <c:v>16</c:v>
                </c:pt>
                <c:pt idx="122">
                  <c:v>13</c:v>
                </c:pt>
                <c:pt idx="123">
                  <c:v>15</c:v>
                </c:pt>
                <c:pt idx="124">
                  <c:v>14</c:v>
                </c:pt>
                <c:pt idx="125">
                  <c:v>16</c:v>
                </c:pt>
                <c:pt idx="126">
                  <c:v>14</c:v>
                </c:pt>
                <c:pt idx="127">
                  <c:v>14</c:v>
                </c:pt>
                <c:pt idx="128">
                  <c:v>16</c:v>
                </c:pt>
                <c:pt idx="129">
                  <c:v>12</c:v>
                </c:pt>
                <c:pt idx="130">
                  <c:v>16</c:v>
                </c:pt>
                <c:pt idx="131">
                  <c:v>16</c:v>
                </c:pt>
                <c:pt idx="132">
                  <c:v>15</c:v>
                </c:pt>
                <c:pt idx="133">
                  <c:v>13</c:v>
                </c:pt>
                <c:pt idx="134">
                  <c:v>15</c:v>
                </c:pt>
                <c:pt idx="135">
                  <c:v>13</c:v>
                </c:pt>
                <c:pt idx="136">
                  <c:v>16</c:v>
                </c:pt>
                <c:pt idx="137">
                  <c:v>14</c:v>
                </c:pt>
                <c:pt idx="138">
                  <c:v>15</c:v>
                </c:pt>
                <c:pt idx="139">
                  <c:v>14</c:v>
                </c:pt>
                <c:pt idx="140">
                  <c:v>14</c:v>
                </c:pt>
                <c:pt idx="141">
                  <c:v>14</c:v>
                </c:pt>
                <c:pt idx="142">
                  <c:v>13</c:v>
                </c:pt>
                <c:pt idx="143">
                  <c:v>12</c:v>
                </c:pt>
                <c:pt idx="144">
                  <c:v>16</c:v>
                </c:pt>
                <c:pt idx="145">
                  <c:v>14</c:v>
                </c:pt>
                <c:pt idx="146">
                  <c:v>13</c:v>
                </c:pt>
                <c:pt idx="147">
                  <c:v>12</c:v>
                </c:pt>
                <c:pt idx="148">
                  <c:v>13</c:v>
                </c:pt>
                <c:pt idx="149">
                  <c:v>16</c:v>
                </c:pt>
                <c:pt idx="150">
                  <c:v>13</c:v>
                </c:pt>
                <c:pt idx="151">
                  <c:v>15</c:v>
                </c:pt>
                <c:pt idx="152">
                  <c:v>15</c:v>
                </c:pt>
                <c:pt idx="153">
                  <c:v>15</c:v>
                </c:pt>
                <c:pt idx="154">
                  <c:v>14</c:v>
                </c:pt>
                <c:pt idx="155">
                  <c:v>12</c:v>
                </c:pt>
                <c:pt idx="156">
                  <c:v>15</c:v>
                </c:pt>
                <c:pt idx="157">
                  <c:v>15</c:v>
                </c:pt>
                <c:pt idx="158">
                  <c:v>12</c:v>
                </c:pt>
                <c:pt idx="159">
                  <c:v>15</c:v>
                </c:pt>
                <c:pt idx="160">
                  <c:v>14</c:v>
                </c:pt>
                <c:pt idx="161">
                  <c:v>16</c:v>
                </c:pt>
                <c:pt idx="162">
                  <c:v>12</c:v>
                </c:pt>
                <c:pt idx="163">
                  <c:v>12</c:v>
                </c:pt>
                <c:pt idx="164">
                  <c:v>14</c:v>
                </c:pt>
                <c:pt idx="165">
                  <c:v>15</c:v>
                </c:pt>
                <c:pt idx="166">
                  <c:v>13</c:v>
                </c:pt>
                <c:pt idx="167">
                  <c:v>14</c:v>
                </c:pt>
                <c:pt idx="168">
                  <c:v>12</c:v>
                </c:pt>
                <c:pt idx="169">
                  <c:v>12</c:v>
                </c:pt>
                <c:pt idx="170">
                  <c:v>12</c:v>
                </c:pt>
                <c:pt idx="171">
                  <c:v>16</c:v>
                </c:pt>
                <c:pt idx="172">
                  <c:v>13</c:v>
                </c:pt>
                <c:pt idx="173">
                  <c:v>15</c:v>
                </c:pt>
                <c:pt idx="174">
                  <c:v>12</c:v>
                </c:pt>
                <c:pt idx="175">
                  <c:v>12</c:v>
                </c:pt>
                <c:pt idx="176">
                  <c:v>14</c:v>
                </c:pt>
                <c:pt idx="177">
                  <c:v>15</c:v>
                </c:pt>
                <c:pt idx="178">
                  <c:v>12</c:v>
                </c:pt>
                <c:pt idx="179">
                  <c:v>15</c:v>
                </c:pt>
                <c:pt idx="180">
                  <c:v>13</c:v>
                </c:pt>
                <c:pt idx="181">
                  <c:v>16</c:v>
                </c:pt>
                <c:pt idx="182">
                  <c:v>14</c:v>
                </c:pt>
                <c:pt idx="183">
                  <c:v>13</c:v>
                </c:pt>
                <c:pt idx="184">
                  <c:v>14</c:v>
                </c:pt>
                <c:pt idx="185">
                  <c:v>14</c:v>
                </c:pt>
                <c:pt idx="186">
                  <c:v>16</c:v>
                </c:pt>
                <c:pt idx="187">
                  <c:v>13</c:v>
                </c:pt>
                <c:pt idx="188">
                  <c:v>16</c:v>
                </c:pt>
                <c:pt idx="189">
                  <c:v>12</c:v>
                </c:pt>
                <c:pt idx="190">
                  <c:v>13</c:v>
                </c:pt>
                <c:pt idx="191">
                  <c:v>14</c:v>
                </c:pt>
                <c:pt idx="192">
                  <c:v>16</c:v>
                </c:pt>
                <c:pt idx="193">
                  <c:v>14</c:v>
                </c:pt>
                <c:pt idx="194">
                  <c:v>14</c:v>
                </c:pt>
                <c:pt idx="195">
                  <c:v>12</c:v>
                </c:pt>
                <c:pt idx="196">
                  <c:v>16</c:v>
                </c:pt>
                <c:pt idx="197">
                  <c:v>16</c:v>
                </c:pt>
                <c:pt idx="198">
                  <c:v>13</c:v>
                </c:pt>
                <c:pt idx="199">
                  <c:v>16</c:v>
                </c:pt>
                <c:pt idx="200">
                  <c:v>13</c:v>
                </c:pt>
                <c:pt idx="201">
                  <c:v>13</c:v>
                </c:pt>
                <c:pt idx="202">
                  <c:v>12</c:v>
                </c:pt>
                <c:pt idx="203">
                  <c:v>16</c:v>
                </c:pt>
                <c:pt idx="204">
                  <c:v>13</c:v>
                </c:pt>
                <c:pt idx="205">
                  <c:v>15</c:v>
                </c:pt>
                <c:pt idx="206">
                  <c:v>16</c:v>
                </c:pt>
                <c:pt idx="207">
                  <c:v>13</c:v>
                </c:pt>
                <c:pt idx="208">
                  <c:v>13</c:v>
                </c:pt>
                <c:pt idx="209">
                  <c:v>13</c:v>
                </c:pt>
                <c:pt idx="210">
                  <c:v>15</c:v>
                </c:pt>
                <c:pt idx="211">
                  <c:v>13</c:v>
                </c:pt>
                <c:pt idx="212">
                  <c:v>12</c:v>
                </c:pt>
                <c:pt idx="213">
                  <c:v>14</c:v>
                </c:pt>
                <c:pt idx="214">
                  <c:v>12</c:v>
                </c:pt>
                <c:pt idx="215">
                  <c:v>14</c:v>
                </c:pt>
                <c:pt idx="216">
                  <c:v>12</c:v>
                </c:pt>
                <c:pt idx="217">
                  <c:v>13</c:v>
                </c:pt>
                <c:pt idx="218">
                  <c:v>15</c:v>
                </c:pt>
                <c:pt idx="219">
                  <c:v>16</c:v>
                </c:pt>
                <c:pt idx="220">
                  <c:v>16</c:v>
                </c:pt>
                <c:pt idx="221">
                  <c:v>14</c:v>
                </c:pt>
                <c:pt idx="222">
                  <c:v>16</c:v>
                </c:pt>
                <c:pt idx="223">
                  <c:v>12</c:v>
                </c:pt>
                <c:pt idx="224">
                  <c:v>12</c:v>
                </c:pt>
                <c:pt idx="225">
                  <c:v>16</c:v>
                </c:pt>
                <c:pt idx="226">
                  <c:v>14</c:v>
                </c:pt>
                <c:pt idx="227">
                  <c:v>13</c:v>
                </c:pt>
                <c:pt idx="228">
                  <c:v>15</c:v>
                </c:pt>
                <c:pt idx="229">
                  <c:v>16</c:v>
                </c:pt>
                <c:pt idx="230">
                  <c:v>12</c:v>
                </c:pt>
                <c:pt idx="231">
                  <c:v>12</c:v>
                </c:pt>
                <c:pt idx="232">
                  <c:v>14</c:v>
                </c:pt>
                <c:pt idx="233">
                  <c:v>16</c:v>
                </c:pt>
                <c:pt idx="234">
                  <c:v>16</c:v>
                </c:pt>
                <c:pt idx="235">
                  <c:v>15</c:v>
                </c:pt>
                <c:pt idx="236">
                  <c:v>15</c:v>
                </c:pt>
                <c:pt idx="237">
                  <c:v>15</c:v>
                </c:pt>
                <c:pt idx="238">
                  <c:v>13</c:v>
                </c:pt>
                <c:pt idx="239">
                  <c:v>16</c:v>
                </c:pt>
                <c:pt idx="240">
                  <c:v>14</c:v>
                </c:pt>
                <c:pt idx="241">
                  <c:v>12</c:v>
                </c:pt>
                <c:pt idx="242">
                  <c:v>12</c:v>
                </c:pt>
                <c:pt idx="243">
                  <c:v>16</c:v>
                </c:pt>
                <c:pt idx="244">
                  <c:v>13</c:v>
                </c:pt>
                <c:pt idx="245">
                  <c:v>14</c:v>
                </c:pt>
                <c:pt idx="246">
                  <c:v>15</c:v>
                </c:pt>
                <c:pt idx="247">
                  <c:v>16</c:v>
                </c:pt>
                <c:pt idx="248">
                  <c:v>12</c:v>
                </c:pt>
                <c:pt idx="249">
                  <c:v>15</c:v>
                </c:pt>
                <c:pt idx="250">
                  <c:v>16</c:v>
                </c:pt>
                <c:pt idx="251">
                  <c:v>12</c:v>
                </c:pt>
                <c:pt idx="252">
                  <c:v>15</c:v>
                </c:pt>
                <c:pt idx="253">
                  <c:v>16</c:v>
                </c:pt>
                <c:pt idx="254">
                  <c:v>13</c:v>
                </c:pt>
                <c:pt idx="255">
                  <c:v>13</c:v>
                </c:pt>
                <c:pt idx="256">
                  <c:v>16</c:v>
                </c:pt>
                <c:pt idx="257">
                  <c:v>12</c:v>
                </c:pt>
                <c:pt idx="258">
                  <c:v>12</c:v>
                </c:pt>
                <c:pt idx="259">
                  <c:v>12</c:v>
                </c:pt>
                <c:pt idx="260">
                  <c:v>12</c:v>
                </c:pt>
                <c:pt idx="261">
                  <c:v>14</c:v>
                </c:pt>
                <c:pt idx="262">
                  <c:v>14</c:v>
                </c:pt>
                <c:pt idx="263">
                  <c:v>16</c:v>
                </c:pt>
                <c:pt idx="264">
                  <c:v>13</c:v>
                </c:pt>
                <c:pt idx="265">
                  <c:v>14</c:v>
                </c:pt>
                <c:pt idx="266">
                  <c:v>12</c:v>
                </c:pt>
                <c:pt idx="267">
                  <c:v>12</c:v>
                </c:pt>
                <c:pt idx="268">
                  <c:v>14</c:v>
                </c:pt>
                <c:pt idx="269">
                  <c:v>13</c:v>
                </c:pt>
                <c:pt idx="270">
                  <c:v>16</c:v>
                </c:pt>
                <c:pt idx="271">
                  <c:v>14</c:v>
                </c:pt>
                <c:pt idx="272">
                  <c:v>13</c:v>
                </c:pt>
                <c:pt idx="273">
                  <c:v>13</c:v>
                </c:pt>
                <c:pt idx="274">
                  <c:v>15</c:v>
                </c:pt>
                <c:pt idx="275">
                  <c:v>15</c:v>
                </c:pt>
                <c:pt idx="276">
                  <c:v>16</c:v>
                </c:pt>
                <c:pt idx="277">
                  <c:v>14</c:v>
                </c:pt>
                <c:pt idx="278">
                  <c:v>12</c:v>
                </c:pt>
                <c:pt idx="279">
                  <c:v>14</c:v>
                </c:pt>
                <c:pt idx="280">
                  <c:v>16</c:v>
                </c:pt>
                <c:pt idx="281">
                  <c:v>13</c:v>
                </c:pt>
                <c:pt idx="282">
                  <c:v>13</c:v>
                </c:pt>
                <c:pt idx="283">
                  <c:v>13</c:v>
                </c:pt>
                <c:pt idx="284">
                  <c:v>13</c:v>
                </c:pt>
                <c:pt idx="285">
                  <c:v>16</c:v>
                </c:pt>
                <c:pt idx="286">
                  <c:v>12</c:v>
                </c:pt>
                <c:pt idx="287">
                  <c:v>13</c:v>
                </c:pt>
                <c:pt idx="288">
                  <c:v>13</c:v>
                </c:pt>
                <c:pt idx="289">
                  <c:v>13</c:v>
                </c:pt>
                <c:pt idx="290">
                  <c:v>14</c:v>
                </c:pt>
                <c:pt idx="291">
                  <c:v>16</c:v>
                </c:pt>
                <c:pt idx="292">
                  <c:v>15</c:v>
                </c:pt>
                <c:pt idx="293">
                  <c:v>14</c:v>
                </c:pt>
                <c:pt idx="294">
                  <c:v>16</c:v>
                </c:pt>
                <c:pt idx="295">
                  <c:v>14</c:v>
                </c:pt>
                <c:pt idx="296">
                  <c:v>15</c:v>
                </c:pt>
                <c:pt idx="297">
                  <c:v>13</c:v>
                </c:pt>
                <c:pt idx="298">
                  <c:v>16</c:v>
                </c:pt>
                <c:pt idx="299">
                  <c:v>15</c:v>
                </c:pt>
                <c:pt idx="300">
                  <c:v>16</c:v>
                </c:pt>
                <c:pt idx="301">
                  <c:v>16</c:v>
                </c:pt>
                <c:pt idx="302">
                  <c:v>13</c:v>
                </c:pt>
                <c:pt idx="303">
                  <c:v>14</c:v>
                </c:pt>
                <c:pt idx="304">
                  <c:v>14</c:v>
                </c:pt>
                <c:pt idx="305">
                  <c:v>12</c:v>
                </c:pt>
                <c:pt idx="306">
                  <c:v>14</c:v>
                </c:pt>
                <c:pt idx="307">
                  <c:v>15</c:v>
                </c:pt>
                <c:pt idx="308">
                  <c:v>13</c:v>
                </c:pt>
                <c:pt idx="309">
                  <c:v>12</c:v>
                </c:pt>
                <c:pt idx="310">
                  <c:v>12</c:v>
                </c:pt>
                <c:pt idx="311">
                  <c:v>12</c:v>
                </c:pt>
                <c:pt idx="312">
                  <c:v>14</c:v>
                </c:pt>
                <c:pt idx="313">
                  <c:v>16</c:v>
                </c:pt>
                <c:pt idx="314">
                  <c:v>14</c:v>
                </c:pt>
                <c:pt idx="315">
                  <c:v>15</c:v>
                </c:pt>
                <c:pt idx="316">
                  <c:v>15</c:v>
                </c:pt>
                <c:pt idx="317">
                  <c:v>12</c:v>
                </c:pt>
                <c:pt idx="318">
                  <c:v>16</c:v>
                </c:pt>
                <c:pt idx="319">
                  <c:v>12</c:v>
                </c:pt>
                <c:pt idx="320">
                  <c:v>12</c:v>
                </c:pt>
                <c:pt idx="321">
                  <c:v>15</c:v>
                </c:pt>
                <c:pt idx="322">
                  <c:v>15</c:v>
                </c:pt>
                <c:pt idx="323">
                  <c:v>14</c:v>
                </c:pt>
                <c:pt idx="324">
                  <c:v>12</c:v>
                </c:pt>
                <c:pt idx="325">
                  <c:v>14</c:v>
                </c:pt>
                <c:pt idx="326">
                  <c:v>12</c:v>
                </c:pt>
                <c:pt idx="327">
                  <c:v>13</c:v>
                </c:pt>
                <c:pt idx="328">
                  <c:v>15</c:v>
                </c:pt>
                <c:pt idx="329">
                  <c:v>13</c:v>
                </c:pt>
                <c:pt idx="330">
                  <c:v>13</c:v>
                </c:pt>
                <c:pt idx="331">
                  <c:v>15</c:v>
                </c:pt>
                <c:pt idx="332">
                  <c:v>12</c:v>
                </c:pt>
                <c:pt idx="333">
                  <c:v>14</c:v>
                </c:pt>
                <c:pt idx="334">
                  <c:v>12</c:v>
                </c:pt>
                <c:pt idx="335">
                  <c:v>15</c:v>
                </c:pt>
                <c:pt idx="336">
                  <c:v>13</c:v>
                </c:pt>
                <c:pt idx="337">
                  <c:v>12</c:v>
                </c:pt>
                <c:pt idx="338">
                  <c:v>15</c:v>
                </c:pt>
                <c:pt idx="339">
                  <c:v>16</c:v>
                </c:pt>
                <c:pt idx="340">
                  <c:v>16</c:v>
                </c:pt>
                <c:pt idx="341">
                  <c:v>13</c:v>
                </c:pt>
                <c:pt idx="342">
                  <c:v>13</c:v>
                </c:pt>
                <c:pt idx="343">
                  <c:v>13</c:v>
                </c:pt>
                <c:pt idx="344">
                  <c:v>12</c:v>
                </c:pt>
                <c:pt idx="345">
                  <c:v>14</c:v>
                </c:pt>
                <c:pt idx="346">
                  <c:v>15</c:v>
                </c:pt>
                <c:pt idx="347">
                  <c:v>12</c:v>
                </c:pt>
                <c:pt idx="348">
                  <c:v>12</c:v>
                </c:pt>
                <c:pt idx="349">
                  <c:v>14</c:v>
                </c:pt>
                <c:pt idx="350">
                  <c:v>12</c:v>
                </c:pt>
                <c:pt idx="351">
                  <c:v>14</c:v>
                </c:pt>
                <c:pt idx="352">
                  <c:v>14</c:v>
                </c:pt>
                <c:pt idx="353">
                  <c:v>15</c:v>
                </c:pt>
                <c:pt idx="354">
                  <c:v>12</c:v>
                </c:pt>
                <c:pt idx="355">
                  <c:v>14</c:v>
                </c:pt>
                <c:pt idx="356">
                  <c:v>15</c:v>
                </c:pt>
                <c:pt idx="357">
                  <c:v>12</c:v>
                </c:pt>
                <c:pt idx="358">
                  <c:v>14</c:v>
                </c:pt>
                <c:pt idx="359">
                  <c:v>16</c:v>
                </c:pt>
                <c:pt idx="360">
                  <c:v>15</c:v>
                </c:pt>
                <c:pt idx="361">
                  <c:v>13</c:v>
                </c:pt>
                <c:pt idx="362">
                  <c:v>14</c:v>
                </c:pt>
                <c:pt idx="363">
                  <c:v>12</c:v>
                </c:pt>
                <c:pt idx="364">
                  <c:v>16</c:v>
                </c:pt>
                <c:pt idx="365">
                  <c:v>14</c:v>
                </c:pt>
                <c:pt idx="366">
                  <c:v>15</c:v>
                </c:pt>
                <c:pt idx="367">
                  <c:v>13</c:v>
                </c:pt>
                <c:pt idx="368">
                  <c:v>14</c:v>
                </c:pt>
                <c:pt idx="369">
                  <c:v>12</c:v>
                </c:pt>
                <c:pt idx="370">
                  <c:v>15</c:v>
                </c:pt>
                <c:pt idx="371">
                  <c:v>13</c:v>
                </c:pt>
                <c:pt idx="372">
                  <c:v>13</c:v>
                </c:pt>
                <c:pt idx="373">
                  <c:v>12</c:v>
                </c:pt>
                <c:pt idx="374">
                  <c:v>15</c:v>
                </c:pt>
                <c:pt idx="375">
                  <c:v>12</c:v>
                </c:pt>
                <c:pt idx="376">
                  <c:v>13</c:v>
                </c:pt>
                <c:pt idx="377">
                  <c:v>14</c:v>
                </c:pt>
                <c:pt idx="378">
                  <c:v>15</c:v>
                </c:pt>
                <c:pt idx="379">
                  <c:v>14</c:v>
                </c:pt>
                <c:pt idx="380">
                  <c:v>15</c:v>
                </c:pt>
                <c:pt idx="381">
                  <c:v>14</c:v>
                </c:pt>
                <c:pt idx="382">
                  <c:v>15</c:v>
                </c:pt>
                <c:pt idx="383">
                  <c:v>14</c:v>
                </c:pt>
                <c:pt idx="384">
                  <c:v>14</c:v>
                </c:pt>
                <c:pt idx="385">
                  <c:v>13</c:v>
                </c:pt>
                <c:pt idx="386">
                  <c:v>14</c:v>
                </c:pt>
                <c:pt idx="387">
                  <c:v>13</c:v>
                </c:pt>
                <c:pt idx="388">
                  <c:v>13</c:v>
                </c:pt>
                <c:pt idx="389">
                  <c:v>16</c:v>
                </c:pt>
                <c:pt idx="390">
                  <c:v>13</c:v>
                </c:pt>
                <c:pt idx="391">
                  <c:v>16</c:v>
                </c:pt>
                <c:pt idx="392">
                  <c:v>14</c:v>
                </c:pt>
                <c:pt idx="393">
                  <c:v>14</c:v>
                </c:pt>
                <c:pt idx="394">
                  <c:v>16</c:v>
                </c:pt>
                <c:pt idx="395">
                  <c:v>12</c:v>
                </c:pt>
                <c:pt idx="396">
                  <c:v>12</c:v>
                </c:pt>
                <c:pt idx="397">
                  <c:v>14</c:v>
                </c:pt>
                <c:pt idx="398">
                  <c:v>14</c:v>
                </c:pt>
                <c:pt idx="399">
                  <c:v>14</c:v>
                </c:pt>
                <c:pt idx="400">
                  <c:v>15</c:v>
                </c:pt>
                <c:pt idx="401">
                  <c:v>12</c:v>
                </c:pt>
                <c:pt idx="402">
                  <c:v>13</c:v>
                </c:pt>
                <c:pt idx="403">
                  <c:v>16</c:v>
                </c:pt>
                <c:pt idx="404">
                  <c:v>13</c:v>
                </c:pt>
                <c:pt idx="405">
                  <c:v>16</c:v>
                </c:pt>
                <c:pt idx="406">
                  <c:v>12</c:v>
                </c:pt>
                <c:pt idx="407">
                  <c:v>13</c:v>
                </c:pt>
                <c:pt idx="408">
                  <c:v>15</c:v>
                </c:pt>
                <c:pt idx="409">
                  <c:v>16</c:v>
                </c:pt>
                <c:pt idx="410">
                  <c:v>16</c:v>
                </c:pt>
                <c:pt idx="411">
                  <c:v>14</c:v>
                </c:pt>
                <c:pt idx="412">
                  <c:v>15</c:v>
                </c:pt>
                <c:pt idx="413">
                  <c:v>12</c:v>
                </c:pt>
                <c:pt idx="414">
                  <c:v>16</c:v>
                </c:pt>
                <c:pt idx="415">
                  <c:v>12</c:v>
                </c:pt>
                <c:pt idx="416">
                  <c:v>14</c:v>
                </c:pt>
                <c:pt idx="417">
                  <c:v>13</c:v>
                </c:pt>
                <c:pt idx="418">
                  <c:v>12</c:v>
                </c:pt>
                <c:pt idx="419">
                  <c:v>13</c:v>
                </c:pt>
                <c:pt idx="420">
                  <c:v>16</c:v>
                </c:pt>
                <c:pt idx="421">
                  <c:v>13</c:v>
                </c:pt>
                <c:pt idx="422">
                  <c:v>14</c:v>
                </c:pt>
                <c:pt idx="423">
                  <c:v>16</c:v>
                </c:pt>
                <c:pt idx="424">
                  <c:v>12</c:v>
                </c:pt>
                <c:pt idx="425">
                  <c:v>12</c:v>
                </c:pt>
                <c:pt idx="426">
                  <c:v>14</c:v>
                </c:pt>
                <c:pt idx="427">
                  <c:v>14</c:v>
                </c:pt>
                <c:pt idx="428">
                  <c:v>14</c:v>
                </c:pt>
                <c:pt idx="429">
                  <c:v>16</c:v>
                </c:pt>
                <c:pt idx="430">
                  <c:v>13</c:v>
                </c:pt>
                <c:pt idx="431">
                  <c:v>14</c:v>
                </c:pt>
                <c:pt idx="432">
                  <c:v>13</c:v>
                </c:pt>
                <c:pt idx="433">
                  <c:v>14</c:v>
                </c:pt>
                <c:pt idx="434">
                  <c:v>12</c:v>
                </c:pt>
                <c:pt idx="435">
                  <c:v>16</c:v>
                </c:pt>
                <c:pt idx="436">
                  <c:v>12</c:v>
                </c:pt>
                <c:pt idx="437">
                  <c:v>12</c:v>
                </c:pt>
                <c:pt idx="438">
                  <c:v>14</c:v>
                </c:pt>
                <c:pt idx="439">
                  <c:v>14</c:v>
                </c:pt>
                <c:pt idx="440">
                  <c:v>15</c:v>
                </c:pt>
                <c:pt idx="441">
                  <c:v>12</c:v>
                </c:pt>
                <c:pt idx="442">
                  <c:v>14</c:v>
                </c:pt>
                <c:pt idx="443">
                  <c:v>13</c:v>
                </c:pt>
                <c:pt idx="444">
                  <c:v>15</c:v>
                </c:pt>
                <c:pt idx="445">
                  <c:v>12</c:v>
                </c:pt>
                <c:pt idx="446">
                  <c:v>16</c:v>
                </c:pt>
                <c:pt idx="447">
                  <c:v>15</c:v>
                </c:pt>
                <c:pt idx="448">
                  <c:v>14</c:v>
                </c:pt>
                <c:pt idx="449">
                  <c:v>16</c:v>
                </c:pt>
                <c:pt idx="450">
                  <c:v>16</c:v>
                </c:pt>
                <c:pt idx="451">
                  <c:v>13</c:v>
                </c:pt>
                <c:pt idx="452">
                  <c:v>12</c:v>
                </c:pt>
                <c:pt idx="453">
                  <c:v>12</c:v>
                </c:pt>
                <c:pt idx="454">
                  <c:v>13</c:v>
                </c:pt>
                <c:pt idx="455">
                  <c:v>12</c:v>
                </c:pt>
                <c:pt idx="456">
                  <c:v>13</c:v>
                </c:pt>
                <c:pt idx="457">
                  <c:v>15</c:v>
                </c:pt>
                <c:pt idx="458">
                  <c:v>16</c:v>
                </c:pt>
                <c:pt idx="459">
                  <c:v>13</c:v>
                </c:pt>
                <c:pt idx="460">
                  <c:v>15</c:v>
                </c:pt>
                <c:pt idx="461">
                  <c:v>16</c:v>
                </c:pt>
                <c:pt idx="462">
                  <c:v>12</c:v>
                </c:pt>
                <c:pt idx="463">
                  <c:v>12</c:v>
                </c:pt>
                <c:pt idx="464">
                  <c:v>16</c:v>
                </c:pt>
                <c:pt idx="465">
                  <c:v>13</c:v>
                </c:pt>
                <c:pt idx="466">
                  <c:v>13</c:v>
                </c:pt>
                <c:pt idx="467">
                  <c:v>13</c:v>
                </c:pt>
                <c:pt idx="468">
                  <c:v>14</c:v>
                </c:pt>
                <c:pt idx="469">
                  <c:v>12</c:v>
                </c:pt>
                <c:pt idx="470">
                  <c:v>12</c:v>
                </c:pt>
                <c:pt idx="471">
                  <c:v>12</c:v>
                </c:pt>
                <c:pt idx="472">
                  <c:v>16</c:v>
                </c:pt>
                <c:pt idx="473">
                  <c:v>15</c:v>
                </c:pt>
                <c:pt idx="474">
                  <c:v>14</c:v>
                </c:pt>
                <c:pt idx="475">
                  <c:v>12</c:v>
                </c:pt>
                <c:pt idx="476">
                  <c:v>14</c:v>
                </c:pt>
                <c:pt idx="477">
                  <c:v>16</c:v>
                </c:pt>
                <c:pt idx="478">
                  <c:v>16</c:v>
                </c:pt>
                <c:pt idx="479">
                  <c:v>15</c:v>
                </c:pt>
                <c:pt idx="480">
                  <c:v>14</c:v>
                </c:pt>
                <c:pt idx="481">
                  <c:v>15</c:v>
                </c:pt>
                <c:pt idx="482">
                  <c:v>16</c:v>
                </c:pt>
                <c:pt idx="483">
                  <c:v>16</c:v>
                </c:pt>
                <c:pt idx="484">
                  <c:v>12</c:v>
                </c:pt>
                <c:pt idx="485">
                  <c:v>13</c:v>
                </c:pt>
                <c:pt idx="486">
                  <c:v>12</c:v>
                </c:pt>
                <c:pt idx="487">
                  <c:v>13</c:v>
                </c:pt>
                <c:pt idx="488">
                  <c:v>15</c:v>
                </c:pt>
                <c:pt idx="489">
                  <c:v>16</c:v>
                </c:pt>
                <c:pt idx="490">
                  <c:v>16</c:v>
                </c:pt>
                <c:pt idx="491">
                  <c:v>14</c:v>
                </c:pt>
                <c:pt idx="492">
                  <c:v>15</c:v>
                </c:pt>
                <c:pt idx="493">
                  <c:v>12</c:v>
                </c:pt>
                <c:pt idx="494">
                  <c:v>12</c:v>
                </c:pt>
                <c:pt idx="495">
                  <c:v>12</c:v>
                </c:pt>
                <c:pt idx="496">
                  <c:v>12</c:v>
                </c:pt>
                <c:pt idx="497">
                  <c:v>15</c:v>
                </c:pt>
                <c:pt idx="498">
                  <c:v>15</c:v>
                </c:pt>
                <c:pt idx="499">
                  <c:v>15</c:v>
                </c:pt>
                <c:pt idx="500">
                  <c:v>12</c:v>
                </c:pt>
                <c:pt idx="501">
                  <c:v>13</c:v>
                </c:pt>
                <c:pt idx="502">
                  <c:v>14</c:v>
                </c:pt>
                <c:pt idx="503">
                  <c:v>16</c:v>
                </c:pt>
                <c:pt idx="504">
                  <c:v>14</c:v>
                </c:pt>
                <c:pt idx="505">
                  <c:v>12</c:v>
                </c:pt>
                <c:pt idx="506">
                  <c:v>13</c:v>
                </c:pt>
                <c:pt idx="507">
                  <c:v>16</c:v>
                </c:pt>
                <c:pt idx="508">
                  <c:v>13</c:v>
                </c:pt>
                <c:pt idx="509">
                  <c:v>14</c:v>
                </c:pt>
                <c:pt idx="510">
                  <c:v>15</c:v>
                </c:pt>
                <c:pt idx="511">
                  <c:v>15</c:v>
                </c:pt>
                <c:pt idx="512">
                  <c:v>16</c:v>
                </c:pt>
                <c:pt idx="513">
                  <c:v>13</c:v>
                </c:pt>
                <c:pt idx="514">
                  <c:v>15</c:v>
                </c:pt>
                <c:pt idx="515">
                  <c:v>12</c:v>
                </c:pt>
                <c:pt idx="516">
                  <c:v>16</c:v>
                </c:pt>
                <c:pt idx="517">
                  <c:v>13</c:v>
                </c:pt>
                <c:pt idx="518">
                  <c:v>13</c:v>
                </c:pt>
                <c:pt idx="519">
                  <c:v>13</c:v>
                </c:pt>
                <c:pt idx="520">
                  <c:v>15</c:v>
                </c:pt>
                <c:pt idx="521">
                  <c:v>15</c:v>
                </c:pt>
                <c:pt idx="522">
                  <c:v>16</c:v>
                </c:pt>
                <c:pt idx="523">
                  <c:v>12</c:v>
                </c:pt>
                <c:pt idx="524">
                  <c:v>12</c:v>
                </c:pt>
                <c:pt idx="525">
                  <c:v>16</c:v>
                </c:pt>
                <c:pt idx="526">
                  <c:v>16</c:v>
                </c:pt>
                <c:pt idx="527">
                  <c:v>13</c:v>
                </c:pt>
                <c:pt idx="528">
                  <c:v>14</c:v>
                </c:pt>
                <c:pt idx="529">
                  <c:v>15</c:v>
                </c:pt>
                <c:pt idx="530">
                  <c:v>13</c:v>
                </c:pt>
                <c:pt idx="531">
                  <c:v>16</c:v>
                </c:pt>
                <c:pt idx="532">
                  <c:v>15</c:v>
                </c:pt>
                <c:pt idx="533">
                  <c:v>16</c:v>
                </c:pt>
                <c:pt idx="534">
                  <c:v>12</c:v>
                </c:pt>
                <c:pt idx="535">
                  <c:v>15</c:v>
                </c:pt>
                <c:pt idx="536">
                  <c:v>14</c:v>
                </c:pt>
                <c:pt idx="537">
                  <c:v>13</c:v>
                </c:pt>
                <c:pt idx="538">
                  <c:v>16</c:v>
                </c:pt>
                <c:pt idx="539">
                  <c:v>12</c:v>
                </c:pt>
                <c:pt idx="540">
                  <c:v>16</c:v>
                </c:pt>
                <c:pt idx="541">
                  <c:v>16</c:v>
                </c:pt>
                <c:pt idx="542">
                  <c:v>13</c:v>
                </c:pt>
                <c:pt idx="543">
                  <c:v>14</c:v>
                </c:pt>
                <c:pt idx="544">
                  <c:v>15</c:v>
                </c:pt>
                <c:pt idx="545">
                  <c:v>15</c:v>
                </c:pt>
                <c:pt idx="546">
                  <c:v>15</c:v>
                </c:pt>
                <c:pt idx="547">
                  <c:v>16</c:v>
                </c:pt>
                <c:pt idx="548">
                  <c:v>16</c:v>
                </c:pt>
                <c:pt idx="549">
                  <c:v>16</c:v>
                </c:pt>
                <c:pt idx="550">
                  <c:v>12</c:v>
                </c:pt>
                <c:pt idx="551">
                  <c:v>12</c:v>
                </c:pt>
                <c:pt idx="552">
                  <c:v>13</c:v>
                </c:pt>
                <c:pt idx="553">
                  <c:v>15</c:v>
                </c:pt>
                <c:pt idx="554">
                  <c:v>14</c:v>
                </c:pt>
                <c:pt idx="555">
                  <c:v>14</c:v>
                </c:pt>
                <c:pt idx="556">
                  <c:v>12</c:v>
                </c:pt>
                <c:pt idx="557">
                  <c:v>16</c:v>
                </c:pt>
                <c:pt idx="558">
                  <c:v>16</c:v>
                </c:pt>
                <c:pt idx="559">
                  <c:v>12</c:v>
                </c:pt>
                <c:pt idx="560">
                  <c:v>14</c:v>
                </c:pt>
                <c:pt idx="561">
                  <c:v>16</c:v>
                </c:pt>
                <c:pt idx="562">
                  <c:v>13</c:v>
                </c:pt>
                <c:pt idx="563">
                  <c:v>14</c:v>
                </c:pt>
                <c:pt idx="564">
                  <c:v>12</c:v>
                </c:pt>
                <c:pt idx="565">
                  <c:v>12</c:v>
                </c:pt>
                <c:pt idx="566">
                  <c:v>14</c:v>
                </c:pt>
                <c:pt idx="567">
                  <c:v>14</c:v>
                </c:pt>
                <c:pt idx="568">
                  <c:v>16</c:v>
                </c:pt>
                <c:pt idx="569">
                  <c:v>12</c:v>
                </c:pt>
                <c:pt idx="570">
                  <c:v>15</c:v>
                </c:pt>
                <c:pt idx="571">
                  <c:v>13</c:v>
                </c:pt>
                <c:pt idx="572">
                  <c:v>14</c:v>
                </c:pt>
                <c:pt idx="573">
                  <c:v>16</c:v>
                </c:pt>
                <c:pt idx="574">
                  <c:v>15</c:v>
                </c:pt>
                <c:pt idx="575">
                  <c:v>12</c:v>
                </c:pt>
                <c:pt idx="576">
                  <c:v>12</c:v>
                </c:pt>
                <c:pt idx="577">
                  <c:v>14</c:v>
                </c:pt>
                <c:pt idx="578">
                  <c:v>16</c:v>
                </c:pt>
                <c:pt idx="579">
                  <c:v>15</c:v>
                </c:pt>
                <c:pt idx="580">
                  <c:v>14</c:v>
                </c:pt>
                <c:pt idx="581">
                  <c:v>16</c:v>
                </c:pt>
                <c:pt idx="582">
                  <c:v>14</c:v>
                </c:pt>
                <c:pt idx="583">
                  <c:v>12</c:v>
                </c:pt>
                <c:pt idx="584">
                  <c:v>15</c:v>
                </c:pt>
                <c:pt idx="585">
                  <c:v>12</c:v>
                </c:pt>
                <c:pt idx="586">
                  <c:v>15</c:v>
                </c:pt>
                <c:pt idx="587">
                  <c:v>14</c:v>
                </c:pt>
                <c:pt idx="588">
                  <c:v>15</c:v>
                </c:pt>
                <c:pt idx="589">
                  <c:v>15</c:v>
                </c:pt>
                <c:pt idx="590">
                  <c:v>14</c:v>
                </c:pt>
                <c:pt idx="591">
                  <c:v>15</c:v>
                </c:pt>
                <c:pt idx="592">
                  <c:v>14</c:v>
                </c:pt>
                <c:pt idx="593">
                  <c:v>16</c:v>
                </c:pt>
                <c:pt idx="594">
                  <c:v>13</c:v>
                </c:pt>
                <c:pt idx="595">
                  <c:v>15</c:v>
                </c:pt>
                <c:pt idx="596">
                  <c:v>14</c:v>
                </c:pt>
                <c:pt idx="597">
                  <c:v>14</c:v>
                </c:pt>
                <c:pt idx="598">
                  <c:v>15</c:v>
                </c:pt>
                <c:pt idx="599">
                  <c:v>12</c:v>
                </c:pt>
                <c:pt idx="600">
                  <c:v>13</c:v>
                </c:pt>
                <c:pt idx="601">
                  <c:v>14</c:v>
                </c:pt>
                <c:pt idx="602">
                  <c:v>16</c:v>
                </c:pt>
                <c:pt idx="603">
                  <c:v>15</c:v>
                </c:pt>
                <c:pt idx="604">
                  <c:v>14</c:v>
                </c:pt>
                <c:pt idx="605">
                  <c:v>13</c:v>
                </c:pt>
                <c:pt idx="606">
                  <c:v>12</c:v>
                </c:pt>
                <c:pt idx="607">
                  <c:v>15</c:v>
                </c:pt>
                <c:pt idx="608">
                  <c:v>14</c:v>
                </c:pt>
                <c:pt idx="609">
                  <c:v>15</c:v>
                </c:pt>
                <c:pt idx="610">
                  <c:v>15</c:v>
                </c:pt>
                <c:pt idx="611">
                  <c:v>15</c:v>
                </c:pt>
                <c:pt idx="612">
                  <c:v>14</c:v>
                </c:pt>
                <c:pt idx="613">
                  <c:v>16</c:v>
                </c:pt>
                <c:pt idx="614">
                  <c:v>16</c:v>
                </c:pt>
                <c:pt idx="615">
                  <c:v>14</c:v>
                </c:pt>
                <c:pt idx="616">
                  <c:v>13</c:v>
                </c:pt>
                <c:pt idx="617">
                  <c:v>15</c:v>
                </c:pt>
                <c:pt idx="618">
                  <c:v>15</c:v>
                </c:pt>
                <c:pt idx="619">
                  <c:v>14</c:v>
                </c:pt>
                <c:pt idx="620">
                  <c:v>16</c:v>
                </c:pt>
                <c:pt idx="621">
                  <c:v>16</c:v>
                </c:pt>
                <c:pt idx="622">
                  <c:v>14</c:v>
                </c:pt>
                <c:pt idx="623">
                  <c:v>13</c:v>
                </c:pt>
                <c:pt idx="624">
                  <c:v>16</c:v>
                </c:pt>
                <c:pt idx="625">
                  <c:v>16</c:v>
                </c:pt>
                <c:pt idx="626">
                  <c:v>12</c:v>
                </c:pt>
                <c:pt idx="627">
                  <c:v>15</c:v>
                </c:pt>
                <c:pt idx="628">
                  <c:v>16</c:v>
                </c:pt>
                <c:pt idx="629">
                  <c:v>14</c:v>
                </c:pt>
                <c:pt idx="630">
                  <c:v>12</c:v>
                </c:pt>
                <c:pt idx="631">
                  <c:v>16</c:v>
                </c:pt>
                <c:pt idx="632">
                  <c:v>15</c:v>
                </c:pt>
                <c:pt idx="633">
                  <c:v>14</c:v>
                </c:pt>
                <c:pt idx="634">
                  <c:v>14</c:v>
                </c:pt>
                <c:pt idx="635">
                  <c:v>12</c:v>
                </c:pt>
                <c:pt idx="636">
                  <c:v>16</c:v>
                </c:pt>
                <c:pt idx="637">
                  <c:v>16</c:v>
                </c:pt>
                <c:pt idx="638">
                  <c:v>13</c:v>
                </c:pt>
                <c:pt idx="639">
                  <c:v>16</c:v>
                </c:pt>
                <c:pt idx="640">
                  <c:v>16</c:v>
                </c:pt>
                <c:pt idx="641">
                  <c:v>16</c:v>
                </c:pt>
                <c:pt idx="642">
                  <c:v>14</c:v>
                </c:pt>
                <c:pt idx="643">
                  <c:v>14</c:v>
                </c:pt>
                <c:pt idx="644">
                  <c:v>12</c:v>
                </c:pt>
                <c:pt idx="645">
                  <c:v>13</c:v>
                </c:pt>
                <c:pt idx="646">
                  <c:v>13</c:v>
                </c:pt>
                <c:pt idx="647">
                  <c:v>13</c:v>
                </c:pt>
                <c:pt idx="648">
                  <c:v>15</c:v>
                </c:pt>
                <c:pt idx="649">
                  <c:v>12</c:v>
                </c:pt>
                <c:pt idx="650">
                  <c:v>12</c:v>
                </c:pt>
                <c:pt idx="651">
                  <c:v>13</c:v>
                </c:pt>
                <c:pt idx="652">
                  <c:v>15</c:v>
                </c:pt>
                <c:pt idx="653">
                  <c:v>12</c:v>
                </c:pt>
                <c:pt idx="654">
                  <c:v>12</c:v>
                </c:pt>
                <c:pt idx="655">
                  <c:v>16</c:v>
                </c:pt>
                <c:pt idx="656">
                  <c:v>16</c:v>
                </c:pt>
                <c:pt idx="657">
                  <c:v>13</c:v>
                </c:pt>
                <c:pt idx="658">
                  <c:v>12</c:v>
                </c:pt>
                <c:pt idx="659">
                  <c:v>14</c:v>
                </c:pt>
                <c:pt idx="660">
                  <c:v>12</c:v>
                </c:pt>
                <c:pt idx="661">
                  <c:v>13</c:v>
                </c:pt>
                <c:pt idx="662">
                  <c:v>13</c:v>
                </c:pt>
                <c:pt idx="663">
                  <c:v>15</c:v>
                </c:pt>
                <c:pt idx="664">
                  <c:v>14</c:v>
                </c:pt>
                <c:pt idx="665">
                  <c:v>15</c:v>
                </c:pt>
                <c:pt idx="666">
                  <c:v>13</c:v>
                </c:pt>
                <c:pt idx="667">
                  <c:v>14</c:v>
                </c:pt>
                <c:pt idx="668">
                  <c:v>12</c:v>
                </c:pt>
                <c:pt idx="669">
                  <c:v>15</c:v>
                </c:pt>
                <c:pt idx="670">
                  <c:v>16</c:v>
                </c:pt>
                <c:pt idx="671">
                  <c:v>13</c:v>
                </c:pt>
                <c:pt idx="672">
                  <c:v>16</c:v>
                </c:pt>
                <c:pt idx="673">
                  <c:v>16</c:v>
                </c:pt>
                <c:pt idx="674">
                  <c:v>12</c:v>
                </c:pt>
                <c:pt idx="675">
                  <c:v>15</c:v>
                </c:pt>
                <c:pt idx="676">
                  <c:v>14</c:v>
                </c:pt>
                <c:pt idx="677">
                  <c:v>14</c:v>
                </c:pt>
                <c:pt idx="678">
                  <c:v>13</c:v>
                </c:pt>
                <c:pt idx="679">
                  <c:v>15</c:v>
                </c:pt>
                <c:pt idx="680">
                  <c:v>15</c:v>
                </c:pt>
                <c:pt idx="681">
                  <c:v>12</c:v>
                </c:pt>
                <c:pt idx="682">
                  <c:v>13</c:v>
                </c:pt>
                <c:pt idx="683">
                  <c:v>16</c:v>
                </c:pt>
                <c:pt idx="684">
                  <c:v>15</c:v>
                </c:pt>
                <c:pt idx="685">
                  <c:v>14</c:v>
                </c:pt>
                <c:pt idx="686">
                  <c:v>14</c:v>
                </c:pt>
                <c:pt idx="687">
                  <c:v>15</c:v>
                </c:pt>
                <c:pt idx="688">
                  <c:v>16</c:v>
                </c:pt>
                <c:pt idx="689">
                  <c:v>16</c:v>
                </c:pt>
                <c:pt idx="690">
                  <c:v>13</c:v>
                </c:pt>
                <c:pt idx="691">
                  <c:v>15</c:v>
                </c:pt>
                <c:pt idx="692">
                  <c:v>13</c:v>
                </c:pt>
                <c:pt idx="693">
                  <c:v>13</c:v>
                </c:pt>
                <c:pt idx="694">
                  <c:v>12</c:v>
                </c:pt>
                <c:pt idx="695">
                  <c:v>12</c:v>
                </c:pt>
                <c:pt idx="696">
                  <c:v>13</c:v>
                </c:pt>
                <c:pt idx="697">
                  <c:v>15</c:v>
                </c:pt>
                <c:pt idx="698">
                  <c:v>15</c:v>
                </c:pt>
                <c:pt idx="699">
                  <c:v>13</c:v>
                </c:pt>
                <c:pt idx="700">
                  <c:v>13</c:v>
                </c:pt>
                <c:pt idx="701">
                  <c:v>13</c:v>
                </c:pt>
                <c:pt idx="702">
                  <c:v>14</c:v>
                </c:pt>
                <c:pt idx="703">
                  <c:v>13</c:v>
                </c:pt>
                <c:pt idx="704">
                  <c:v>13</c:v>
                </c:pt>
                <c:pt idx="705">
                  <c:v>16</c:v>
                </c:pt>
                <c:pt idx="706">
                  <c:v>12</c:v>
                </c:pt>
                <c:pt idx="707">
                  <c:v>16</c:v>
                </c:pt>
                <c:pt idx="708">
                  <c:v>13</c:v>
                </c:pt>
                <c:pt idx="709">
                  <c:v>13</c:v>
                </c:pt>
                <c:pt idx="710">
                  <c:v>15</c:v>
                </c:pt>
                <c:pt idx="711">
                  <c:v>12</c:v>
                </c:pt>
                <c:pt idx="712">
                  <c:v>15</c:v>
                </c:pt>
                <c:pt idx="713">
                  <c:v>13</c:v>
                </c:pt>
                <c:pt idx="714">
                  <c:v>14</c:v>
                </c:pt>
                <c:pt idx="715">
                  <c:v>13</c:v>
                </c:pt>
                <c:pt idx="716">
                  <c:v>16</c:v>
                </c:pt>
                <c:pt idx="717">
                  <c:v>15</c:v>
                </c:pt>
                <c:pt idx="718">
                  <c:v>14</c:v>
                </c:pt>
                <c:pt idx="719">
                  <c:v>15</c:v>
                </c:pt>
                <c:pt idx="720">
                  <c:v>16</c:v>
                </c:pt>
                <c:pt idx="721">
                  <c:v>14</c:v>
                </c:pt>
                <c:pt idx="722">
                  <c:v>16</c:v>
                </c:pt>
                <c:pt idx="723">
                  <c:v>13</c:v>
                </c:pt>
                <c:pt idx="724">
                  <c:v>15</c:v>
                </c:pt>
                <c:pt idx="725">
                  <c:v>14</c:v>
                </c:pt>
                <c:pt idx="726">
                  <c:v>14</c:v>
                </c:pt>
                <c:pt idx="727">
                  <c:v>16</c:v>
                </c:pt>
                <c:pt idx="728">
                  <c:v>16</c:v>
                </c:pt>
                <c:pt idx="729">
                  <c:v>15</c:v>
                </c:pt>
                <c:pt idx="730">
                  <c:v>13</c:v>
                </c:pt>
                <c:pt idx="731">
                  <c:v>14</c:v>
                </c:pt>
                <c:pt idx="732">
                  <c:v>15</c:v>
                </c:pt>
                <c:pt idx="733">
                  <c:v>13</c:v>
                </c:pt>
                <c:pt idx="734">
                  <c:v>15</c:v>
                </c:pt>
                <c:pt idx="735">
                  <c:v>15</c:v>
                </c:pt>
                <c:pt idx="736">
                  <c:v>15</c:v>
                </c:pt>
                <c:pt idx="737">
                  <c:v>15</c:v>
                </c:pt>
                <c:pt idx="738">
                  <c:v>15</c:v>
                </c:pt>
                <c:pt idx="739">
                  <c:v>16</c:v>
                </c:pt>
                <c:pt idx="740">
                  <c:v>15</c:v>
                </c:pt>
                <c:pt idx="741">
                  <c:v>13</c:v>
                </c:pt>
                <c:pt idx="742">
                  <c:v>12</c:v>
                </c:pt>
                <c:pt idx="743">
                  <c:v>15</c:v>
                </c:pt>
                <c:pt idx="744">
                  <c:v>12</c:v>
                </c:pt>
                <c:pt idx="745">
                  <c:v>12</c:v>
                </c:pt>
                <c:pt idx="746">
                  <c:v>16</c:v>
                </c:pt>
                <c:pt idx="747">
                  <c:v>14</c:v>
                </c:pt>
                <c:pt idx="748">
                  <c:v>12</c:v>
                </c:pt>
                <c:pt idx="749">
                  <c:v>16</c:v>
                </c:pt>
                <c:pt idx="750">
                  <c:v>14</c:v>
                </c:pt>
                <c:pt idx="751">
                  <c:v>16</c:v>
                </c:pt>
                <c:pt idx="752">
                  <c:v>15</c:v>
                </c:pt>
                <c:pt idx="753">
                  <c:v>14</c:v>
                </c:pt>
                <c:pt idx="754">
                  <c:v>12</c:v>
                </c:pt>
                <c:pt idx="755">
                  <c:v>14</c:v>
                </c:pt>
                <c:pt idx="756">
                  <c:v>12</c:v>
                </c:pt>
                <c:pt idx="757">
                  <c:v>15</c:v>
                </c:pt>
                <c:pt idx="758">
                  <c:v>14</c:v>
                </c:pt>
                <c:pt idx="759">
                  <c:v>13</c:v>
                </c:pt>
                <c:pt idx="760">
                  <c:v>12</c:v>
                </c:pt>
                <c:pt idx="761">
                  <c:v>15</c:v>
                </c:pt>
                <c:pt idx="762">
                  <c:v>12</c:v>
                </c:pt>
                <c:pt idx="763">
                  <c:v>14</c:v>
                </c:pt>
                <c:pt idx="764">
                  <c:v>12</c:v>
                </c:pt>
                <c:pt idx="765">
                  <c:v>15</c:v>
                </c:pt>
                <c:pt idx="766">
                  <c:v>13</c:v>
                </c:pt>
                <c:pt idx="767">
                  <c:v>14</c:v>
                </c:pt>
                <c:pt idx="768">
                  <c:v>12</c:v>
                </c:pt>
                <c:pt idx="769">
                  <c:v>14</c:v>
                </c:pt>
                <c:pt idx="770">
                  <c:v>12</c:v>
                </c:pt>
                <c:pt idx="771">
                  <c:v>16</c:v>
                </c:pt>
                <c:pt idx="772">
                  <c:v>13</c:v>
                </c:pt>
                <c:pt idx="773">
                  <c:v>13</c:v>
                </c:pt>
                <c:pt idx="774">
                  <c:v>16</c:v>
                </c:pt>
                <c:pt idx="775">
                  <c:v>15</c:v>
                </c:pt>
                <c:pt idx="776">
                  <c:v>13</c:v>
                </c:pt>
                <c:pt idx="777">
                  <c:v>14</c:v>
                </c:pt>
                <c:pt idx="778">
                  <c:v>12</c:v>
                </c:pt>
                <c:pt idx="779">
                  <c:v>14</c:v>
                </c:pt>
                <c:pt idx="780">
                  <c:v>16</c:v>
                </c:pt>
                <c:pt idx="781">
                  <c:v>13</c:v>
                </c:pt>
                <c:pt idx="782">
                  <c:v>14</c:v>
                </c:pt>
                <c:pt idx="783">
                  <c:v>14</c:v>
                </c:pt>
                <c:pt idx="784">
                  <c:v>12</c:v>
                </c:pt>
                <c:pt idx="785">
                  <c:v>15</c:v>
                </c:pt>
                <c:pt idx="786">
                  <c:v>15</c:v>
                </c:pt>
                <c:pt idx="787">
                  <c:v>13</c:v>
                </c:pt>
                <c:pt idx="788">
                  <c:v>16</c:v>
                </c:pt>
                <c:pt idx="789">
                  <c:v>15</c:v>
                </c:pt>
                <c:pt idx="790">
                  <c:v>13</c:v>
                </c:pt>
                <c:pt idx="791">
                  <c:v>15</c:v>
                </c:pt>
                <c:pt idx="792">
                  <c:v>12</c:v>
                </c:pt>
                <c:pt idx="793">
                  <c:v>14</c:v>
                </c:pt>
                <c:pt idx="794">
                  <c:v>14</c:v>
                </c:pt>
                <c:pt idx="795">
                  <c:v>16</c:v>
                </c:pt>
                <c:pt idx="796">
                  <c:v>14</c:v>
                </c:pt>
                <c:pt idx="797">
                  <c:v>12</c:v>
                </c:pt>
                <c:pt idx="798">
                  <c:v>12</c:v>
                </c:pt>
                <c:pt idx="799">
                  <c:v>16</c:v>
                </c:pt>
                <c:pt idx="800">
                  <c:v>13</c:v>
                </c:pt>
                <c:pt idx="801">
                  <c:v>15</c:v>
                </c:pt>
                <c:pt idx="802">
                  <c:v>12</c:v>
                </c:pt>
                <c:pt idx="803">
                  <c:v>15</c:v>
                </c:pt>
                <c:pt idx="804">
                  <c:v>15</c:v>
                </c:pt>
                <c:pt idx="805">
                  <c:v>16</c:v>
                </c:pt>
                <c:pt idx="806">
                  <c:v>12</c:v>
                </c:pt>
                <c:pt idx="807">
                  <c:v>15</c:v>
                </c:pt>
                <c:pt idx="808">
                  <c:v>14</c:v>
                </c:pt>
                <c:pt idx="809">
                  <c:v>16</c:v>
                </c:pt>
                <c:pt idx="810">
                  <c:v>14</c:v>
                </c:pt>
                <c:pt idx="811">
                  <c:v>12</c:v>
                </c:pt>
                <c:pt idx="812">
                  <c:v>14</c:v>
                </c:pt>
                <c:pt idx="813">
                  <c:v>16</c:v>
                </c:pt>
                <c:pt idx="814">
                  <c:v>13</c:v>
                </c:pt>
                <c:pt idx="815">
                  <c:v>16</c:v>
                </c:pt>
                <c:pt idx="816">
                  <c:v>15</c:v>
                </c:pt>
                <c:pt idx="817">
                  <c:v>16</c:v>
                </c:pt>
                <c:pt idx="818">
                  <c:v>13</c:v>
                </c:pt>
                <c:pt idx="819">
                  <c:v>15</c:v>
                </c:pt>
                <c:pt idx="820">
                  <c:v>13</c:v>
                </c:pt>
                <c:pt idx="821">
                  <c:v>15</c:v>
                </c:pt>
                <c:pt idx="822">
                  <c:v>12</c:v>
                </c:pt>
                <c:pt idx="823">
                  <c:v>16</c:v>
                </c:pt>
                <c:pt idx="824">
                  <c:v>16</c:v>
                </c:pt>
                <c:pt idx="825">
                  <c:v>15</c:v>
                </c:pt>
                <c:pt idx="826">
                  <c:v>13</c:v>
                </c:pt>
                <c:pt idx="827">
                  <c:v>14</c:v>
                </c:pt>
                <c:pt idx="828">
                  <c:v>15</c:v>
                </c:pt>
                <c:pt idx="829">
                  <c:v>15</c:v>
                </c:pt>
                <c:pt idx="830">
                  <c:v>15</c:v>
                </c:pt>
                <c:pt idx="831">
                  <c:v>16</c:v>
                </c:pt>
                <c:pt idx="832">
                  <c:v>15</c:v>
                </c:pt>
                <c:pt idx="833">
                  <c:v>14</c:v>
                </c:pt>
                <c:pt idx="834">
                  <c:v>16</c:v>
                </c:pt>
                <c:pt idx="835">
                  <c:v>15</c:v>
                </c:pt>
                <c:pt idx="836">
                  <c:v>14</c:v>
                </c:pt>
                <c:pt idx="837">
                  <c:v>13</c:v>
                </c:pt>
                <c:pt idx="838">
                  <c:v>14</c:v>
                </c:pt>
                <c:pt idx="839">
                  <c:v>12</c:v>
                </c:pt>
                <c:pt idx="840">
                  <c:v>12</c:v>
                </c:pt>
                <c:pt idx="841">
                  <c:v>13</c:v>
                </c:pt>
                <c:pt idx="842">
                  <c:v>16</c:v>
                </c:pt>
                <c:pt idx="843">
                  <c:v>12</c:v>
                </c:pt>
                <c:pt idx="844">
                  <c:v>15</c:v>
                </c:pt>
                <c:pt idx="845">
                  <c:v>13</c:v>
                </c:pt>
                <c:pt idx="846">
                  <c:v>16</c:v>
                </c:pt>
                <c:pt idx="847">
                  <c:v>14</c:v>
                </c:pt>
                <c:pt idx="848">
                  <c:v>13</c:v>
                </c:pt>
                <c:pt idx="849">
                  <c:v>13</c:v>
                </c:pt>
                <c:pt idx="850">
                  <c:v>14</c:v>
                </c:pt>
                <c:pt idx="851">
                  <c:v>12</c:v>
                </c:pt>
                <c:pt idx="852">
                  <c:v>13</c:v>
                </c:pt>
                <c:pt idx="853">
                  <c:v>16</c:v>
                </c:pt>
                <c:pt idx="854">
                  <c:v>14</c:v>
                </c:pt>
                <c:pt idx="855">
                  <c:v>15</c:v>
                </c:pt>
                <c:pt idx="856">
                  <c:v>15</c:v>
                </c:pt>
                <c:pt idx="857">
                  <c:v>16</c:v>
                </c:pt>
                <c:pt idx="858">
                  <c:v>16</c:v>
                </c:pt>
                <c:pt idx="859">
                  <c:v>16</c:v>
                </c:pt>
                <c:pt idx="860">
                  <c:v>13</c:v>
                </c:pt>
                <c:pt idx="861">
                  <c:v>15</c:v>
                </c:pt>
                <c:pt idx="862">
                  <c:v>15</c:v>
                </c:pt>
                <c:pt idx="863">
                  <c:v>13</c:v>
                </c:pt>
                <c:pt idx="864">
                  <c:v>14</c:v>
                </c:pt>
                <c:pt idx="865">
                  <c:v>13</c:v>
                </c:pt>
                <c:pt idx="866">
                  <c:v>14</c:v>
                </c:pt>
                <c:pt idx="867">
                  <c:v>14</c:v>
                </c:pt>
                <c:pt idx="868">
                  <c:v>15</c:v>
                </c:pt>
                <c:pt idx="869">
                  <c:v>12</c:v>
                </c:pt>
                <c:pt idx="870">
                  <c:v>15</c:v>
                </c:pt>
                <c:pt idx="871">
                  <c:v>12</c:v>
                </c:pt>
                <c:pt idx="872">
                  <c:v>14</c:v>
                </c:pt>
                <c:pt idx="873">
                  <c:v>16</c:v>
                </c:pt>
                <c:pt idx="874">
                  <c:v>16</c:v>
                </c:pt>
                <c:pt idx="875">
                  <c:v>16</c:v>
                </c:pt>
                <c:pt idx="876">
                  <c:v>14</c:v>
                </c:pt>
                <c:pt idx="877">
                  <c:v>14</c:v>
                </c:pt>
                <c:pt idx="878">
                  <c:v>13</c:v>
                </c:pt>
                <c:pt idx="879">
                  <c:v>16</c:v>
                </c:pt>
                <c:pt idx="880">
                  <c:v>14</c:v>
                </c:pt>
                <c:pt idx="881">
                  <c:v>14</c:v>
                </c:pt>
                <c:pt idx="882">
                  <c:v>14</c:v>
                </c:pt>
                <c:pt idx="883">
                  <c:v>14</c:v>
                </c:pt>
                <c:pt idx="884">
                  <c:v>14</c:v>
                </c:pt>
                <c:pt idx="885">
                  <c:v>15</c:v>
                </c:pt>
                <c:pt idx="886">
                  <c:v>14</c:v>
                </c:pt>
                <c:pt idx="887">
                  <c:v>15</c:v>
                </c:pt>
                <c:pt idx="888">
                  <c:v>15</c:v>
                </c:pt>
                <c:pt idx="889">
                  <c:v>16</c:v>
                </c:pt>
                <c:pt idx="890">
                  <c:v>15</c:v>
                </c:pt>
                <c:pt idx="891">
                  <c:v>15</c:v>
                </c:pt>
                <c:pt idx="892">
                  <c:v>14</c:v>
                </c:pt>
                <c:pt idx="893">
                  <c:v>12</c:v>
                </c:pt>
                <c:pt idx="894">
                  <c:v>15</c:v>
                </c:pt>
                <c:pt idx="895">
                  <c:v>14</c:v>
                </c:pt>
                <c:pt idx="896">
                  <c:v>13</c:v>
                </c:pt>
                <c:pt idx="897">
                  <c:v>15</c:v>
                </c:pt>
                <c:pt idx="898">
                  <c:v>15</c:v>
                </c:pt>
                <c:pt idx="899">
                  <c:v>13</c:v>
                </c:pt>
                <c:pt idx="900">
                  <c:v>16</c:v>
                </c:pt>
                <c:pt idx="901">
                  <c:v>13</c:v>
                </c:pt>
                <c:pt idx="902">
                  <c:v>13</c:v>
                </c:pt>
                <c:pt idx="903">
                  <c:v>15</c:v>
                </c:pt>
                <c:pt idx="904">
                  <c:v>13</c:v>
                </c:pt>
                <c:pt idx="905">
                  <c:v>14</c:v>
                </c:pt>
                <c:pt idx="906">
                  <c:v>12</c:v>
                </c:pt>
                <c:pt idx="907">
                  <c:v>16</c:v>
                </c:pt>
                <c:pt idx="908">
                  <c:v>16</c:v>
                </c:pt>
                <c:pt idx="909">
                  <c:v>16</c:v>
                </c:pt>
                <c:pt idx="910">
                  <c:v>16</c:v>
                </c:pt>
                <c:pt idx="911">
                  <c:v>13</c:v>
                </c:pt>
                <c:pt idx="912">
                  <c:v>15</c:v>
                </c:pt>
                <c:pt idx="913">
                  <c:v>16</c:v>
                </c:pt>
                <c:pt idx="914">
                  <c:v>16</c:v>
                </c:pt>
                <c:pt idx="915">
                  <c:v>15</c:v>
                </c:pt>
                <c:pt idx="916">
                  <c:v>15</c:v>
                </c:pt>
                <c:pt idx="917">
                  <c:v>13</c:v>
                </c:pt>
                <c:pt idx="918">
                  <c:v>13</c:v>
                </c:pt>
                <c:pt idx="919">
                  <c:v>16</c:v>
                </c:pt>
                <c:pt idx="920">
                  <c:v>16</c:v>
                </c:pt>
                <c:pt idx="921">
                  <c:v>16</c:v>
                </c:pt>
                <c:pt idx="922">
                  <c:v>12</c:v>
                </c:pt>
                <c:pt idx="923">
                  <c:v>15</c:v>
                </c:pt>
                <c:pt idx="924">
                  <c:v>14</c:v>
                </c:pt>
                <c:pt idx="925">
                  <c:v>16</c:v>
                </c:pt>
                <c:pt idx="926">
                  <c:v>15</c:v>
                </c:pt>
                <c:pt idx="927">
                  <c:v>12</c:v>
                </c:pt>
                <c:pt idx="928">
                  <c:v>12</c:v>
                </c:pt>
                <c:pt idx="929">
                  <c:v>16</c:v>
                </c:pt>
                <c:pt idx="930">
                  <c:v>13</c:v>
                </c:pt>
                <c:pt idx="931">
                  <c:v>14</c:v>
                </c:pt>
                <c:pt idx="932">
                  <c:v>16</c:v>
                </c:pt>
                <c:pt idx="933">
                  <c:v>13</c:v>
                </c:pt>
                <c:pt idx="934">
                  <c:v>12</c:v>
                </c:pt>
                <c:pt idx="935">
                  <c:v>16</c:v>
                </c:pt>
                <c:pt idx="936">
                  <c:v>12</c:v>
                </c:pt>
                <c:pt idx="937">
                  <c:v>12</c:v>
                </c:pt>
                <c:pt idx="938">
                  <c:v>13</c:v>
                </c:pt>
                <c:pt idx="939">
                  <c:v>14</c:v>
                </c:pt>
                <c:pt idx="940">
                  <c:v>16</c:v>
                </c:pt>
                <c:pt idx="941">
                  <c:v>13</c:v>
                </c:pt>
                <c:pt idx="942">
                  <c:v>14</c:v>
                </c:pt>
                <c:pt idx="943">
                  <c:v>16</c:v>
                </c:pt>
                <c:pt idx="944">
                  <c:v>13</c:v>
                </c:pt>
                <c:pt idx="945">
                  <c:v>15</c:v>
                </c:pt>
                <c:pt idx="946">
                  <c:v>13</c:v>
                </c:pt>
                <c:pt idx="947">
                  <c:v>12</c:v>
                </c:pt>
                <c:pt idx="948">
                  <c:v>14</c:v>
                </c:pt>
                <c:pt idx="949">
                  <c:v>16</c:v>
                </c:pt>
                <c:pt idx="950">
                  <c:v>16</c:v>
                </c:pt>
                <c:pt idx="951">
                  <c:v>16</c:v>
                </c:pt>
                <c:pt idx="952">
                  <c:v>12</c:v>
                </c:pt>
                <c:pt idx="953">
                  <c:v>12</c:v>
                </c:pt>
                <c:pt idx="954">
                  <c:v>12</c:v>
                </c:pt>
                <c:pt idx="955">
                  <c:v>16</c:v>
                </c:pt>
                <c:pt idx="956">
                  <c:v>13</c:v>
                </c:pt>
                <c:pt idx="957">
                  <c:v>13</c:v>
                </c:pt>
                <c:pt idx="958">
                  <c:v>15</c:v>
                </c:pt>
                <c:pt idx="959">
                  <c:v>14</c:v>
                </c:pt>
                <c:pt idx="960">
                  <c:v>12</c:v>
                </c:pt>
                <c:pt idx="961">
                  <c:v>15</c:v>
                </c:pt>
                <c:pt idx="962">
                  <c:v>16</c:v>
                </c:pt>
                <c:pt idx="963">
                  <c:v>12</c:v>
                </c:pt>
                <c:pt idx="964">
                  <c:v>14</c:v>
                </c:pt>
                <c:pt idx="965">
                  <c:v>16</c:v>
                </c:pt>
                <c:pt idx="966">
                  <c:v>12</c:v>
                </c:pt>
                <c:pt idx="967">
                  <c:v>16</c:v>
                </c:pt>
                <c:pt idx="968">
                  <c:v>12</c:v>
                </c:pt>
                <c:pt idx="969">
                  <c:v>12</c:v>
                </c:pt>
                <c:pt idx="970">
                  <c:v>16</c:v>
                </c:pt>
                <c:pt idx="971">
                  <c:v>14</c:v>
                </c:pt>
                <c:pt idx="972">
                  <c:v>14</c:v>
                </c:pt>
                <c:pt idx="973">
                  <c:v>15</c:v>
                </c:pt>
                <c:pt idx="974">
                  <c:v>12</c:v>
                </c:pt>
                <c:pt idx="975">
                  <c:v>15</c:v>
                </c:pt>
                <c:pt idx="976">
                  <c:v>15</c:v>
                </c:pt>
                <c:pt idx="977">
                  <c:v>13</c:v>
                </c:pt>
                <c:pt idx="978">
                  <c:v>16</c:v>
                </c:pt>
                <c:pt idx="979">
                  <c:v>16</c:v>
                </c:pt>
                <c:pt idx="980">
                  <c:v>12</c:v>
                </c:pt>
                <c:pt idx="981">
                  <c:v>15</c:v>
                </c:pt>
                <c:pt idx="982">
                  <c:v>12</c:v>
                </c:pt>
                <c:pt idx="983">
                  <c:v>13</c:v>
                </c:pt>
                <c:pt idx="984">
                  <c:v>12</c:v>
                </c:pt>
                <c:pt idx="985">
                  <c:v>16</c:v>
                </c:pt>
                <c:pt idx="986">
                  <c:v>15</c:v>
                </c:pt>
                <c:pt idx="987">
                  <c:v>16</c:v>
                </c:pt>
                <c:pt idx="988">
                  <c:v>14</c:v>
                </c:pt>
                <c:pt idx="989">
                  <c:v>13</c:v>
                </c:pt>
                <c:pt idx="990">
                  <c:v>12</c:v>
                </c:pt>
                <c:pt idx="991">
                  <c:v>14</c:v>
                </c:pt>
                <c:pt idx="992">
                  <c:v>13</c:v>
                </c:pt>
                <c:pt idx="993">
                  <c:v>15</c:v>
                </c:pt>
                <c:pt idx="994">
                  <c:v>16</c:v>
                </c:pt>
                <c:pt idx="995">
                  <c:v>16</c:v>
                </c:pt>
                <c:pt idx="996">
                  <c:v>16</c:v>
                </c:pt>
                <c:pt idx="997">
                  <c:v>16</c:v>
                </c:pt>
                <c:pt idx="998">
                  <c:v>13</c:v>
                </c:pt>
                <c:pt idx="999">
                  <c:v>13</c:v>
                </c:pt>
              </c:numCache>
            </c:numRef>
          </c:xVal>
          <c:yVal>
            <c:numRef>
              <c:f>DGP!$D$2:$D$1002</c:f>
              <c:numCache>
                <c:formatCode>_("$"* #,##0.00_);_("$"* \(#,##0.00\);_("$"* "-"??_);_(@_)</c:formatCode>
                <c:ptCount val="1001"/>
                <c:pt idx="0">
                  <c:v>24.49</c:v>
                </c:pt>
                <c:pt idx="1">
                  <c:v>26.46</c:v>
                </c:pt>
                <c:pt idx="2">
                  <c:v>24.09</c:v>
                </c:pt>
                <c:pt idx="3">
                  <c:v>26.08</c:v>
                </c:pt>
                <c:pt idx="4">
                  <c:v>31.29</c:v>
                </c:pt>
                <c:pt idx="5">
                  <c:v>35.49</c:v>
                </c:pt>
                <c:pt idx="6">
                  <c:v>27.42</c:v>
                </c:pt>
                <c:pt idx="7">
                  <c:v>25.53</c:v>
                </c:pt>
                <c:pt idx="8">
                  <c:v>20.11</c:v>
                </c:pt>
                <c:pt idx="9">
                  <c:v>25.09</c:v>
                </c:pt>
                <c:pt idx="10">
                  <c:v>26.74</c:v>
                </c:pt>
                <c:pt idx="11">
                  <c:v>29.36</c:v>
                </c:pt>
                <c:pt idx="12">
                  <c:v>29.42</c:v>
                </c:pt>
                <c:pt idx="13">
                  <c:v>21.13</c:v>
                </c:pt>
                <c:pt idx="14">
                  <c:v>28.93</c:v>
                </c:pt>
                <c:pt idx="15">
                  <c:v>14.97</c:v>
                </c:pt>
                <c:pt idx="16">
                  <c:v>23.72</c:v>
                </c:pt>
                <c:pt idx="17">
                  <c:v>33.94</c:v>
                </c:pt>
                <c:pt idx="18">
                  <c:v>38.06</c:v>
                </c:pt>
                <c:pt idx="19">
                  <c:v>25.14</c:v>
                </c:pt>
                <c:pt idx="20">
                  <c:v>17.059999999999999</c:v>
                </c:pt>
                <c:pt idx="21">
                  <c:v>27.47</c:v>
                </c:pt>
                <c:pt idx="22">
                  <c:v>27.46</c:v>
                </c:pt>
                <c:pt idx="23">
                  <c:v>37.409999999999997</c:v>
                </c:pt>
                <c:pt idx="24">
                  <c:v>31.47</c:v>
                </c:pt>
                <c:pt idx="25">
                  <c:v>27.01</c:v>
                </c:pt>
                <c:pt idx="26">
                  <c:v>14.19</c:v>
                </c:pt>
                <c:pt idx="27">
                  <c:v>35.840000000000003</c:v>
                </c:pt>
                <c:pt idx="28">
                  <c:v>32.770000000000003</c:v>
                </c:pt>
                <c:pt idx="29">
                  <c:v>20.53</c:v>
                </c:pt>
                <c:pt idx="30">
                  <c:v>16.329999999999998</c:v>
                </c:pt>
                <c:pt idx="31">
                  <c:v>34.76</c:v>
                </c:pt>
                <c:pt idx="32">
                  <c:v>25.09</c:v>
                </c:pt>
                <c:pt idx="33">
                  <c:v>29.97</c:v>
                </c:pt>
                <c:pt idx="34">
                  <c:v>29.89</c:v>
                </c:pt>
                <c:pt idx="35">
                  <c:v>21.62</c:v>
                </c:pt>
                <c:pt idx="36">
                  <c:v>29.89</c:v>
                </c:pt>
                <c:pt idx="37">
                  <c:v>19.2</c:v>
                </c:pt>
                <c:pt idx="38">
                  <c:v>26.99</c:v>
                </c:pt>
                <c:pt idx="39">
                  <c:v>33.200000000000003</c:v>
                </c:pt>
                <c:pt idx="40">
                  <c:v>14.36</c:v>
                </c:pt>
                <c:pt idx="41">
                  <c:v>23.09</c:v>
                </c:pt>
                <c:pt idx="42">
                  <c:v>29.49</c:v>
                </c:pt>
                <c:pt idx="43">
                  <c:v>28.23</c:v>
                </c:pt>
                <c:pt idx="44">
                  <c:v>30</c:v>
                </c:pt>
                <c:pt idx="45">
                  <c:v>26.92</c:v>
                </c:pt>
                <c:pt idx="46">
                  <c:v>25.29</c:v>
                </c:pt>
                <c:pt idx="47">
                  <c:v>23.32</c:v>
                </c:pt>
                <c:pt idx="48">
                  <c:v>32</c:v>
                </c:pt>
                <c:pt idx="49">
                  <c:v>43.61</c:v>
                </c:pt>
                <c:pt idx="50">
                  <c:v>25.79</c:v>
                </c:pt>
                <c:pt idx="51">
                  <c:v>36.07</c:v>
                </c:pt>
                <c:pt idx="52">
                  <c:v>31.49</c:v>
                </c:pt>
                <c:pt idx="53">
                  <c:v>32.619999999999997</c:v>
                </c:pt>
                <c:pt idx="54">
                  <c:v>31.81</c:v>
                </c:pt>
                <c:pt idx="55">
                  <c:v>33.29</c:v>
                </c:pt>
                <c:pt idx="56">
                  <c:v>27.98</c:v>
                </c:pt>
                <c:pt idx="57">
                  <c:v>26.95</c:v>
                </c:pt>
                <c:pt idx="58">
                  <c:v>21.31</c:v>
                </c:pt>
                <c:pt idx="59">
                  <c:v>24.93</c:v>
                </c:pt>
                <c:pt idx="60">
                  <c:v>30.73</c:v>
                </c:pt>
                <c:pt idx="61">
                  <c:v>22.92</c:v>
                </c:pt>
                <c:pt idx="62">
                  <c:v>24.07</c:v>
                </c:pt>
                <c:pt idx="63">
                  <c:v>23.21</c:v>
                </c:pt>
                <c:pt idx="64">
                  <c:v>17.09</c:v>
                </c:pt>
                <c:pt idx="65">
                  <c:v>29.94</c:v>
                </c:pt>
                <c:pt idx="66">
                  <c:v>36.700000000000003</c:v>
                </c:pt>
                <c:pt idx="67">
                  <c:v>23.49</c:v>
                </c:pt>
                <c:pt idx="68">
                  <c:v>34.71</c:v>
                </c:pt>
                <c:pt idx="69">
                  <c:v>28.5</c:v>
                </c:pt>
                <c:pt idx="70">
                  <c:v>30.46</c:v>
                </c:pt>
                <c:pt idx="71">
                  <c:v>27.47</c:v>
                </c:pt>
                <c:pt idx="72">
                  <c:v>26.74</c:v>
                </c:pt>
                <c:pt idx="73">
                  <c:v>18.27</c:v>
                </c:pt>
                <c:pt idx="74">
                  <c:v>27.9</c:v>
                </c:pt>
                <c:pt idx="75">
                  <c:v>27.62</c:v>
                </c:pt>
                <c:pt idx="76">
                  <c:v>27.31</c:v>
                </c:pt>
                <c:pt idx="77">
                  <c:v>22.3</c:v>
                </c:pt>
                <c:pt idx="78">
                  <c:v>20.91</c:v>
                </c:pt>
                <c:pt idx="79">
                  <c:v>27.54</c:v>
                </c:pt>
                <c:pt idx="80">
                  <c:v>33.409999999999997</c:v>
                </c:pt>
                <c:pt idx="81">
                  <c:v>21.35</c:v>
                </c:pt>
                <c:pt idx="82">
                  <c:v>35.93</c:v>
                </c:pt>
                <c:pt idx="83">
                  <c:v>30.92</c:v>
                </c:pt>
                <c:pt idx="84">
                  <c:v>24.61</c:v>
                </c:pt>
                <c:pt idx="85">
                  <c:v>23.35</c:v>
                </c:pt>
                <c:pt idx="86">
                  <c:v>20.29</c:v>
                </c:pt>
                <c:pt idx="87">
                  <c:v>28.07</c:v>
                </c:pt>
                <c:pt idx="88">
                  <c:v>22.16</c:v>
                </c:pt>
                <c:pt idx="89">
                  <c:v>30.34</c:v>
                </c:pt>
                <c:pt idx="90">
                  <c:v>34.53</c:v>
                </c:pt>
                <c:pt idx="91">
                  <c:v>34.25</c:v>
                </c:pt>
                <c:pt idx="92">
                  <c:v>29.29</c:v>
                </c:pt>
                <c:pt idx="93">
                  <c:v>37.92</c:v>
                </c:pt>
                <c:pt idx="94">
                  <c:v>22.59</c:v>
                </c:pt>
                <c:pt idx="95">
                  <c:v>21.78</c:v>
                </c:pt>
                <c:pt idx="96">
                  <c:v>20.149999999999999</c:v>
                </c:pt>
                <c:pt idx="97">
                  <c:v>35.630000000000003</c:v>
                </c:pt>
                <c:pt idx="98">
                  <c:v>31.64</c:v>
                </c:pt>
                <c:pt idx="99">
                  <c:v>21.83</c:v>
                </c:pt>
                <c:pt idx="100">
                  <c:v>28.99</c:v>
                </c:pt>
                <c:pt idx="101">
                  <c:v>24.38</c:v>
                </c:pt>
                <c:pt idx="102">
                  <c:v>33.119999999999997</c:v>
                </c:pt>
                <c:pt idx="103">
                  <c:v>27.8</c:v>
                </c:pt>
                <c:pt idx="104">
                  <c:v>28.96</c:v>
                </c:pt>
                <c:pt idx="105">
                  <c:v>20.53</c:v>
                </c:pt>
                <c:pt idx="106">
                  <c:v>27.87</c:v>
                </c:pt>
                <c:pt idx="107">
                  <c:v>35.03</c:v>
                </c:pt>
                <c:pt idx="108">
                  <c:v>40.65</c:v>
                </c:pt>
                <c:pt idx="109">
                  <c:v>23.02</c:v>
                </c:pt>
                <c:pt idx="110">
                  <c:v>28.37</c:v>
                </c:pt>
                <c:pt idx="111">
                  <c:v>30.54</c:v>
                </c:pt>
                <c:pt idx="112">
                  <c:v>27.36</c:v>
                </c:pt>
                <c:pt idx="113">
                  <c:v>24.69</c:v>
                </c:pt>
                <c:pt idx="114">
                  <c:v>26.87</c:v>
                </c:pt>
                <c:pt idx="115">
                  <c:v>32.770000000000003</c:v>
                </c:pt>
                <c:pt idx="116">
                  <c:v>30.55</c:v>
                </c:pt>
                <c:pt idx="117">
                  <c:v>26.63</c:v>
                </c:pt>
                <c:pt idx="118">
                  <c:v>26.88</c:v>
                </c:pt>
                <c:pt idx="119">
                  <c:v>30.47</c:v>
                </c:pt>
                <c:pt idx="120">
                  <c:v>29.7</c:v>
                </c:pt>
                <c:pt idx="121">
                  <c:v>37.840000000000003</c:v>
                </c:pt>
                <c:pt idx="122">
                  <c:v>29.26</c:v>
                </c:pt>
                <c:pt idx="123">
                  <c:v>22.93</c:v>
                </c:pt>
                <c:pt idx="124">
                  <c:v>34.270000000000003</c:v>
                </c:pt>
                <c:pt idx="125">
                  <c:v>34.78</c:v>
                </c:pt>
                <c:pt idx="126">
                  <c:v>29.77</c:v>
                </c:pt>
                <c:pt idx="127">
                  <c:v>29.65</c:v>
                </c:pt>
                <c:pt idx="128">
                  <c:v>29.97</c:v>
                </c:pt>
                <c:pt idx="129">
                  <c:v>10.97</c:v>
                </c:pt>
                <c:pt idx="130">
                  <c:v>37.86</c:v>
                </c:pt>
                <c:pt idx="131">
                  <c:v>35.28</c:v>
                </c:pt>
                <c:pt idx="132">
                  <c:v>26.23</c:v>
                </c:pt>
                <c:pt idx="133">
                  <c:v>22.04</c:v>
                </c:pt>
                <c:pt idx="134">
                  <c:v>26.3</c:v>
                </c:pt>
                <c:pt idx="135">
                  <c:v>14.1</c:v>
                </c:pt>
                <c:pt idx="136">
                  <c:v>38.700000000000003</c:v>
                </c:pt>
                <c:pt idx="137">
                  <c:v>25.84</c:v>
                </c:pt>
                <c:pt idx="138">
                  <c:v>32.840000000000003</c:v>
                </c:pt>
                <c:pt idx="139">
                  <c:v>27.02</c:v>
                </c:pt>
                <c:pt idx="140">
                  <c:v>33.729999999999997</c:v>
                </c:pt>
                <c:pt idx="141">
                  <c:v>30.52</c:v>
                </c:pt>
                <c:pt idx="142">
                  <c:v>31.63</c:v>
                </c:pt>
                <c:pt idx="143">
                  <c:v>20.239999999999998</c:v>
                </c:pt>
                <c:pt idx="144">
                  <c:v>35.22</c:v>
                </c:pt>
                <c:pt idx="145">
                  <c:v>28.6</c:v>
                </c:pt>
                <c:pt idx="146">
                  <c:v>24.38</c:v>
                </c:pt>
                <c:pt idx="147">
                  <c:v>7.97</c:v>
                </c:pt>
                <c:pt idx="148">
                  <c:v>28.58</c:v>
                </c:pt>
                <c:pt idx="149">
                  <c:v>29.08</c:v>
                </c:pt>
                <c:pt idx="150">
                  <c:v>20.239999999999998</c:v>
                </c:pt>
                <c:pt idx="151">
                  <c:v>27.13</c:v>
                </c:pt>
                <c:pt idx="152">
                  <c:v>33.159999999999997</c:v>
                </c:pt>
                <c:pt idx="153">
                  <c:v>25.28</c:v>
                </c:pt>
                <c:pt idx="154">
                  <c:v>34.840000000000003</c:v>
                </c:pt>
                <c:pt idx="155">
                  <c:v>20.89</c:v>
                </c:pt>
                <c:pt idx="156">
                  <c:v>38.67</c:v>
                </c:pt>
                <c:pt idx="157">
                  <c:v>23.45</c:v>
                </c:pt>
                <c:pt idx="158">
                  <c:v>24.57</c:v>
                </c:pt>
                <c:pt idx="159">
                  <c:v>31.4</c:v>
                </c:pt>
                <c:pt idx="160">
                  <c:v>34.200000000000003</c:v>
                </c:pt>
                <c:pt idx="161">
                  <c:v>22.12</c:v>
                </c:pt>
                <c:pt idx="162">
                  <c:v>33.56</c:v>
                </c:pt>
                <c:pt idx="163">
                  <c:v>28.41</c:v>
                </c:pt>
                <c:pt idx="164">
                  <c:v>26.9</c:v>
                </c:pt>
                <c:pt idx="165">
                  <c:v>27.6</c:v>
                </c:pt>
                <c:pt idx="166">
                  <c:v>19.47</c:v>
                </c:pt>
                <c:pt idx="167">
                  <c:v>35.68</c:v>
                </c:pt>
                <c:pt idx="168">
                  <c:v>32.65</c:v>
                </c:pt>
                <c:pt idx="169">
                  <c:v>28.61</c:v>
                </c:pt>
                <c:pt idx="170">
                  <c:v>30.54</c:v>
                </c:pt>
                <c:pt idx="171">
                  <c:v>21.63</c:v>
                </c:pt>
                <c:pt idx="172">
                  <c:v>25.48</c:v>
                </c:pt>
                <c:pt idx="173">
                  <c:v>29.71</c:v>
                </c:pt>
                <c:pt idx="174">
                  <c:v>27.49</c:v>
                </c:pt>
                <c:pt idx="175">
                  <c:v>30.61</c:v>
                </c:pt>
                <c:pt idx="176">
                  <c:v>28.52</c:v>
                </c:pt>
                <c:pt idx="177">
                  <c:v>30.29</c:v>
                </c:pt>
                <c:pt idx="178">
                  <c:v>27.61</c:v>
                </c:pt>
                <c:pt idx="179">
                  <c:v>19.75</c:v>
                </c:pt>
                <c:pt idx="180">
                  <c:v>24.62</c:v>
                </c:pt>
                <c:pt idx="181">
                  <c:v>33.28</c:v>
                </c:pt>
                <c:pt idx="182">
                  <c:v>22.47</c:v>
                </c:pt>
                <c:pt idx="183">
                  <c:v>32.1</c:v>
                </c:pt>
                <c:pt idx="184">
                  <c:v>33.33</c:v>
                </c:pt>
                <c:pt idx="185">
                  <c:v>36.15</c:v>
                </c:pt>
                <c:pt idx="186">
                  <c:v>29.83</c:v>
                </c:pt>
                <c:pt idx="187">
                  <c:v>28.27</c:v>
                </c:pt>
                <c:pt idx="188">
                  <c:v>34.590000000000003</c:v>
                </c:pt>
                <c:pt idx="189">
                  <c:v>19.309999999999999</c:v>
                </c:pt>
                <c:pt idx="190">
                  <c:v>18.72</c:v>
                </c:pt>
                <c:pt idx="191">
                  <c:v>22.02</c:v>
                </c:pt>
                <c:pt idx="192">
                  <c:v>30.51</c:v>
                </c:pt>
                <c:pt idx="193">
                  <c:v>28.82</c:v>
                </c:pt>
                <c:pt idx="194">
                  <c:v>30.18</c:v>
                </c:pt>
                <c:pt idx="195">
                  <c:v>15.92</c:v>
                </c:pt>
                <c:pt idx="196">
                  <c:v>33.75</c:v>
                </c:pt>
                <c:pt idx="197">
                  <c:v>37.049999999999997</c:v>
                </c:pt>
                <c:pt idx="198">
                  <c:v>27.09</c:v>
                </c:pt>
                <c:pt idx="199">
                  <c:v>38.19</c:v>
                </c:pt>
                <c:pt idx="200">
                  <c:v>28.29</c:v>
                </c:pt>
                <c:pt idx="201">
                  <c:v>28.51</c:v>
                </c:pt>
                <c:pt idx="202">
                  <c:v>18.5</c:v>
                </c:pt>
                <c:pt idx="203">
                  <c:v>41.04</c:v>
                </c:pt>
                <c:pt idx="204">
                  <c:v>31.31</c:v>
                </c:pt>
                <c:pt idx="205">
                  <c:v>26.1</c:v>
                </c:pt>
                <c:pt idx="206">
                  <c:v>39.44</c:v>
                </c:pt>
                <c:pt idx="207">
                  <c:v>21.26</c:v>
                </c:pt>
                <c:pt idx="208">
                  <c:v>20.83</c:v>
                </c:pt>
                <c:pt idx="209">
                  <c:v>21.62</c:v>
                </c:pt>
                <c:pt idx="210">
                  <c:v>26.32</c:v>
                </c:pt>
                <c:pt idx="211">
                  <c:v>26.7</c:v>
                </c:pt>
                <c:pt idx="212">
                  <c:v>27.71</c:v>
                </c:pt>
                <c:pt idx="213">
                  <c:v>26.77</c:v>
                </c:pt>
                <c:pt idx="214">
                  <c:v>20.83</c:v>
                </c:pt>
                <c:pt idx="215">
                  <c:v>31.72</c:v>
                </c:pt>
                <c:pt idx="216">
                  <c:v>29.18</c:v>
                </c:pt>
                <c:pt idx="217">
                  <c:v>22.99</c:v>
                </c:pt>
                <c:pt idx="218">
                  <c:v>33.56</c:v>
                </c:pt>
                <c:pt idx="219">
                  <c:v>32.85</c:v>
                </c:pt>
                <c:pt idx="220">
                  <c:v>24.59</c:v>
                </c:pt>
                <c:pt idx="221">
                  <c:v>20.02</c:v>
                </c:pt>
                <c:pt idx="222">
                  <c:v>34.35</c:v>
                </c:pt>
                <c:pt idx="223">
                  <c:v>26.74</c:v>
                </c:pt>
                <c:pt idx="224">
                  <c:v>20.63</c:v>
                </c:pt>
                <c:pt idx="225">
                  <c:v>25.53</c:v>
                </c:pt>
                <c:pt idx="226">
                  <c:v>26.83</c:v>
                </c:pt>
                <c:pt idx="227">
                  <c:v>33.47</c:v>
                </c:pt>
                <c:pt idx="228">
                  <c:v>23.22</c:v>
                </c:pt>
                <c:pt idx="229">
                  <c:v>27.76</c:v>
                </c:pt>
                <c:pt idx="230">
                  <c:v>26.18</c:v>
                </c:pt>
                <c:pt idx="231">
                  <c:v>22.83</c:v>
                </c:pt>
                <c:pt idx="232">
                  <c:v>26.72</c:v>
                </c:pt>
                <c:pt idx="233">
                  <c:v>25.67</c:v>
                </c:pt>
                <c:pt idx="234">
                  <c:v>29.98</c:v>
                </c:pt>
                <c:pt idx="235">
                  <c:v>35.79</c:v>
                </c:pt>
                <c:pt idx="236">
                  <c:v>33.67</c:v>
                </c:pt>
                <c:pt idx="237">
                  <c:v>26.73</c:v>
                </c:pt>
                <c:pt idx="238">
                  <c:v>25.23</c:v>
                </c:pt>
                <c:pt idx="239">
                  <c:v>38.020000000000003</c:v>
                </c:pt>
                <c:pt idx="240">
                  <c:v>24.89</c:v>
                </c:pt>
                <c:pt idx="241">
                  <c:v>20.87</c:v>
                </c:pt>
                <c:pt idx="242">
                  <c:v>25.53</c:v>
                </c:pt>
                <c:pt idx="243">
                  <c:v>31.83</c:v>
                </c:pt>
                <c:pt idx="244">
                  <c:v>35.659999999999997</c:v>
                </c:pt>
                <c:pt idx="245">
                  <c:v>31.45</c:v>
                </c:pt>
                <c:pt idx="246">
                  <c:v>21.91</c:v>
                </c:pt>
                <c:pt idx="247">
                  <c:v>34.19</c:v>
                </c:pt>
                <c:pt idx="248">
                  <c:v>31.61</c:v>
                </c:pt>
                <c:pt idx="249">
                  <c:v>31.72</c:v>
                </c:pt>
                <c:pt idx="250">
                  <c:v>35.72</c:v>
                </c:pt>
                <c:pt idx="251">
                  <c:v>16.46</c:v>
                </c:pt>
                <c:pt idx="252">
                  <c:v>26.73</c:v>
                </c:pt>
                <c:pt idx="253">
                  <c:v>32.65</c:v>
                </c:pt>
                <c:pt idx="254">
                  <c:v>30.54</c:v>
                </c:pt>
                <c:pt idx="255">
                  <c:v>30.72</c:v>
                </c:pt>
                <c:pt idx="256">
                  <c:v>33.79</c:v>
                </c:pt>
                <c:pt idx="257">
                  <c:v>24.14</c:v>
                </c:pt>
                <c:pt idx="258">
                  <c:v>21.17</c:v>
                </c:pt>
                <c:pt idx="259">
                  <c:v>23.1</c:v>
                </c:pt>
                <c:pt idx="260">
                  <c:v>23.81</c:v>
                </c:pt>
                <c:pt idx="261">
                  <c:v>26.68</c:v>
                </c:pt>
                <c:pt idx="262">
                  <c:v>27.97</c:v>
                </c:pt>
                <c:pt idx="263">
                  <c:v>38.869999999999997</c:v>
                </c:pt>
                <c:pt idx="264">
                  <c:v>27.53</c:v>
                </c:pt>
                <c:pt idx="265">
                  <c:v>25.31</c:v>
                </c:pt>
                <c:pt idx="266">
                  <c:v>26.84</c:v>
                </c:pt>
                <c:pt idx="267">
                  <c:v>22.8</c:v>
                </c:pt>
                <c:pt idx="268">
                  <c:v>17.46</c:v>
                </c:pt>
                <c:pt idx="269">
                  <c:v>17.899999999999999</c:v>
                </c:pt>
                <c:pt idx="270">
                  <c:v>33.840000000000003</c:v>
                </c:pt>
                <c:pt idx="271">
                  <c:v>28.72</c:v>
                </c:pt>
                <c:pt idx="272">
                  <c:v>26.22</c:v>
                </c:pt>
                <c:pt idx="273">
                  <c:v>29.81</c:v>
                </c:pt>
                <c:pt idx="274">
                  <c:v>40.020000000000003</c:v>
                </c:pt>
                <c:pt idx="275">
                  <c:v>25.49</c:v>
                </c:pt>
                <c:pt idx="276">
                  <c:v>34.07</c:v>
                </c:pt>
                <c:pt idx="277">
                  <c:v>30.29</c:v>
                </c:pt>
                <c:pt idx="278">
                  <c:v>20.87</c:v>
                </c:pt>
                <c:pt idx="279">
                  <c:v>38.42</c:v>
                </c:pt>
                <c:pt idx="280">
                  <c:v>20.100000000000001</c:v>
                </c:pt>
                <c:pt idx="281">
                  <c:v>27.65</c:v>
                </c:pt>
                <c:pt idx="282">
                  <c:v>18.72</c:v>
                </c:pt>
                <c:pt idx="283">
                  <c:v>29.95</c:v>
                </c:pt>
                <c:pt idx="284">
                  <c:v>16.95</c:v>
                </c:pt>
                <c:pt idx="285">
                  <c:v>34.770000000000003</c:v>
                </c:pt>
                <c:pt idx="286">
                  <c:v>29.06</c:v>
                </c:pt>
                <c:pt idx="287">
                  <c:v>26.68</c:v>
                </c:pt>
                <c:pt idx="288">
                  <c:v>23.63</c:v>
                </c:pt>
                <c:pt idx="289">
                  <c:v>32.799999999999997</c:v>
                </c:pt>
                <c:pt idx="290">
                  <c:v>28.19</c:v>
                </c:pt>
                <c:pt idx="291">
                  <c:v>31.97</c:v>
                </c:pt>
                <c:pt idx="292">
                  <c:v>21.93</c:v>
                </c:pt>
                <c:pt idx="293">
                  <c:v>24.3</c:v>
                </c:pt>
                <c:pt idx="294">
                  <c:v>28.52</c:v>
                </c:pt>
                <c:pt idx="295">
                  <c:v>30.05</c:v>
                </c:pt>
                <c:pt idx="296">
                  <c:v>36.35</c:v>
                </c:pt>
                <c:pt idx="297">
                  <c:v>19.239999999999998</c:v>
                </c:pt>
                <c:pt idx="298">
                  <c:v>23.96</c:v>
                </c:pt>
                <c:pt idx="299">
                  <c:v>29.13</c:v>
                </c:pt>
                <c:pt idx="300">
                  <c:v>36.78</c:v>
                </c:pt>
                <c:pt idx="301">
                  <c:v>26.89</c:v>
                </c:pt>
                <c:pt idx="302">
                  <c:v>31.65</c:v>
                </c:pt>
                <c:pt idx="303">
                  <c:v>33.950000000000003</c:v>
                </c:pt>
                <c:pt idx="304">
                  <c:v>27.78</c:v>
                </c:pt>
                <c:pt idx="305">
                  <c:v>25.17</c:v>
                </c:pt>
                <c:pt idx="306">
                  <c:v>25.61</c:v>
                </c:pt>
                <c:pt idx="307">
                  <c:v>33.29</c:v>
                </c:pt>
                <c:pt idx="308">
                  <c:v>17.760000000000002</c:v>
                </c:pt>
                <c:pt idx="309">
                  <c:v>18.75</c:v>
                </c:pt>
                <c:pt idx="310">
                  <c:v>23.23</c:v>
                </c:pt>
                <c:pt idx="311">
                  <c:v>22.05</c:v>
                </c:pt>
                <c:pt idx="312">
                  <c:v>22.98</c:v>
                </c:pt>
                <c:pt idx="313">
                  <c:v>34.93</c:v>
                </c:pt>
                <c:pt idx="314">
                  <c:v>23.03</c:v>
                </c:pt>
                <c:pt idx="315">
                  <c:v>31.33</c:v>
                </c:pt>
                <c:pt idx="316">
                  <c:v>25.23</c:v>
                </c:pt>
                <c:pt idx="317">
                  <c:v>18.23</c:v>
                </c:pt>
                <c:pt idx="318">
                  <c:v>32.380000000000003</c:v>
                </c:pt>
                <c:pt idx="319">
                  <c:v>21.98</c:v>
                </c:pt>
                <c:pt idx="320">
                  <c:v>30.5</c:v>
                </c:pt>
                <c:pt idx="321">
                  <c:v>32.76</c:v>
                </c:pt>
                <c:pt idx="322">
                  <c:v>24.68</c:v>
                </c:pt>
                <c:pt idx="323">
                  <c:v>28.26</c:v>
                </c:pt>
                <c:pt idx="324">
                  <c:v>16.16</c:v>
                </c:pt>
                <c:pt idx="325">
                  <c:v>31.15</c:v>
                </c:pt>
                <c:pt idx="326">
                  <c:v>27.26</c:v>
                </c:pt>
                <c:pt idx="327">
                  <c:v>24.29</c:v>
                </c:pt>
                <c:pt idx="328">
                  <c:v>30.14</c:v>
                </c:pt>
                <c:pt idx="329">
                  <c:v>22.05</c:v>
                </c:pt>
                <c:pt idx="330">
                  <c:v>39.44</c:v>
                </c:pt>
                <c:pt idx="331">
                  <c:v>21.19</c:v>
                </c:pt>
                <c:pt idx="332">
                  <c:v>22.22</c:v>
                </c:pt>
                <c:pt idx="333">
                  <c:v>23.95</c:v>
                </c:pt>
                <c:pt idx="334">
                  <c:v>22.61</c:v>
                </c:pt>
                <c:pt idx="335">
                  <c:v>29.08</c:v>
                </c:pt>
                <c:pt idx="336">
                  <c:v>22.25</c:v>
                </c:pt>
                <c:pt idx="337">
                  <c:v>29.29</c:v>
                </c:pt>
                <c:pt idx="338">
                  <c:v>25.1</c:v>
                </c:pt>
                <c:pt idx="339">
                  <c:v>33.590000000000003</c:v>
                </c:pt>
                <c:pt idx="340">
                  <c:v>34.08</c:v>
                </c:pt>
                <c:pt idx="341">
                  <c:v>21.63</c:v>
                </c:pt>
                <c:pt idx="342">
                  <c:v>25.77</c:v>
                </c:pt>
                <c:pt idx="343">
                  <c:v>29.03</c:v>
                </c:pt>
                <c:pt idx="344">
                  <c:v>21.94</c:v>
                </c:pt>
                <c:pt idx="345">
                  <c:v>15.11</c:v>
                </c:pt>
                <c:pt idx="346">
                  <c:v>20.18</c:v>
                </c:pt>
                <c:pt idx="347">
                  <c:v>26.29</c:v>
                </c:pt>
                <c:pt idx="348">
                  <c:v>27.35</c:v>
                </c:pt>
                <c:pt idx="349">
                  <c:v>31.93</c:v>
                </c:pt>
                <c:pt idx="350">
                  <c:v>27.64</c:v>
                </c:pt>
                <c:pt idx="351">
                  <c:v>29.21</c:v>
                </c:pt>
                <c:pt idx="352">
                  <c:v>35.51</c:v>
                </c:pt>
                <c:pt idx="353">
                  <c:v>33.43</c:v>
                </c:pt>
                <c:pt idx="354">
                  <c:v>24.77</c:v>
                </c:pt>
                <c:pt idx="355">
                  <c:v>26.13</c:v>
                </c:pt>
                <c:pt idx="356">
                  <c:v>29.96</c:v>
                </c:pt>
                <c:pt idx="357">
                  <c:v>20.13</c:v>
                </c:pt>
                <c:pt idx="358">
                  <c:v>26.46</c:v>
                </c:pt>
                <c:pt idx="359">
                  <c:v>34.47</c:v>
                </c:pt>
                <c:pt idx="360">
                  <c:v>39.299999999999997</c:v>
                </c:pt>
                <c:pt idx="361">
                  <c:v>27.84</c:v>
                </c:pt>
                <c:pt idx="362">
                  <c:v>35.380000000000003</c:v>
                </c:pt>
                <c:pt idx="363">
                  <c:v>24.24</c:v>
                </c:pt>
                <c:pt idx="364">
                  <c:v>32.979999999999997</c:v>
                </c:pt>
                <c:pt idx="365">
                  <c:v>30.92</c:v>
                </c:pt>
                <c:pt idx="366">
                  <c:v>28.39</c:v>
                </c:pt>
                <c:pt idx="367">
                  <c:v>23.01</c:v>
                </c:pt>
                <c:pt idx="368">
                  <c:v>22.25</c:v>
                </c:pt>
                <c:pt idx="369">
                  <c:v>35.74</c:v>
                </c:pt>
                <c:pt idx="370">
                  <c:v>25.49</c:v>
                </c:pt>
                <c:pt idx="371">
                  <c:v>24.87</c:v>
                </c:pt>
                <c:pt idx="372">
                  <c:v>26.41</c:v>
                </c:pt>
                <c:pt idx="373">
                  <c:v>18.239999999999998</c:v>
                </c:pt>
                <c:pt idx="374">
                  <c:v>24.97</c:v>
                </c:pt>
                <c:pt idx="375">
                  <c:v>18.68</c:v>
                </c:pt>
                <c:pt idx="376">
                  <c:v>28.69</c:v>
                </c:pt>
                <c:pt idx="377">
                  <c:v>35.06</c:v>
                </c:pt>
                <c:pt idx="378">
                  <c:v>27.2</c:v>
                </c:pt>
                <c:pt idx="379">
                  <c:v>34.6</c:v>
                </c:pt>
                <c:pt idx="380">
                  <c:v>34.799999999999997</c:v>
                </c:pt>
                <c:pt idx="381">
                  <c:v>27.15</c:v>
                </c:pt>
                <c:pt idx="382">
                  <c:v>38.29</c:v>
                </c:pt>
                <c:pt idx="383">
                  <c:v>23.57</c:v>
                </c:pt>
                <c:pt idx="384">
                  <c:v>25.02</c:v>
                </c:pt>
                <c:pt idx="385">
                  <c:v>24.12</c:v>
                </c:pt>
                <c:pt idx="386">
                  <c:v>29.47</c:v>
                </c:pt>
                <c:pt idx="387">
                  <c:v>31.77</c:v>
                </c:pt>
                <c:pt idx="388">
                  <c:v>31.85</c:v>
                </c:pt>
                <c:pt idx="389">
                  <c:v>32.39</c:v>
                </c:pt>
                <c:pt idx="390">
                  <c:v>25.36</c:v>
                </c:pt>
                <c:pt idx="391">
                  <c:v>39.380000000000003</c:v>
                </c:pt>
                <c:pt idx="392">
                  <c:v>22.01</c:v>
                </c:pt>
                <c:pt idx="393">
                  <c:v>27.23</c:v>
                </c:pt>
                <c:pt idx="394">
                  <c:v>29.13</c:v>
                </c:pt>
                <c:pt idx="395">
                  <c:v>21.38</c:v>
                </c:pt>
                <c:pt idx="396">
                  <c:v>23.23</c:v>
                </c:pt>
                <c:pt idx="397">
                  <c:v>27.04</c:v>
                </c:pt>
                <c:pt idx="398">
                  <c:v>30.5</c:v>
                </c:pt>
                <c:pt idx="399">
                  <c:v>24.05</c:v>
                </c:pt>
                <c:pt idx="400">
                  <c:v>22.28</c:v>
                </c:pt>
                <c:pt idx="401">
                  <c:v>27.27</c:v>
                </c:pt>
                <c:pt idx="402">
                  <c:v>25.94</c:v>
                </c:pt>
                <c:pt idx="403">
                  <c:v>30.51</c:v>
                </c:pt>
                <c:pt idx="404">
                  <c:v>29.52</c:v>
                </c:pt>
                <c:pt idx="405">
                  <c:v>31.92</c:v>
                </c:pt>
                <c:pt idx="406">
                  <c:v>27.67</c:v>
                </c:pt>
                <c:pt idx="407">
                  <c:v>26.94</c:v>
                </c:pt>
                <c:pt idx="408">
                  <c:v>34.58</c:v>
                </c:pt>
                <c:pt idx="409">
                  <c:v>25.1</c:v>
                </c:pt>
                <c:pt idx="410">
                  <c:v>25.98</c:v>
                </c:pt>
                <c:pt idx="411">
                  <c:v>27.78</c:v>
                </c:pt>
                <c:pt idx="412">
                  <c:v>34.93</c:v>
                </c:pt>
                <c:pt idx="413">
                  <c:v>20.37</c:v>
                </c:pt>
                <c:pt idx="414">
                  <c:v>31.9</c:v>
                </c:pt>
                <c:pt idx="415">
                  <c:v>27.02</c:v>
                </c:pt>
                <c:pt idx="416">
                  <c:v>19.690000000000001</c:v>
                </c:pt>
                <c:pt idx="417">
                  <c:v>15.76</c:v>
                </c:pt>
                <c:pt idx="418">
                  <c:v>26.74</c:v>
                </c:pt>
                <c:pt idx="419">
                  <c:v>24.1</c:v>
                </c:pt>
                <c:pt idx="420">
                  <c:v>32.93</c:v>
                </c:pt>
                <c:pt idx="421">
                  <c:v>32.020000000000003</c:v>
                </c:pt>
                <c:pt idx="422">
                  <c:v>30.39</c:v>
                </c:pt>
                <c:pt idx="423">
                  <c:v>32.630000000000003</c:v>
                </c:pt>
                <c:pt idx="424">
                  <c:v>25.97</c:v>
                </c:pt>
                <c:pt idx="425">
                  <c:v>17.48</c:v>
                </c:pt>
                <c:pt idx="426">
                  <c:v>32.21</c:v>
                </c:pt>
                <c:pt idx="427">
                  <c:v>30.35</c:v>
                </c:pt>
                <c:pt idx="428">
                  <c:v>23.22</c:v>
                </c:pt>
                <c:pt idx="429">
                  <c:v>34.020000000000003</c:v>
                </c:pt>
                <c:pt idx="430">
                  <c:v>21.54</c:v>
                </c:pt>
                <c:pt idx="431">
                  <c:v>34.25</c:v>
                </c:pt>
                <c:pt idx="432">
                  <c:v>33.89</c:v>
                </c:pt>
                <c:pt idx="433">
                  <c:v>25.42</c:v>
                </c:pt>
                <c:pt idx="434">
                  <c:v>22.63</c:v>
                </c:pt>
                <c:pt idx="435">
                  <c:v>31.11</c:v>
                </c:pt>
                <c:pt idx="436">
                  <c:v>31.46</c:v>
                </c:pt>
                <c:pt idx="437">
                  <c:v>29.23</c:v>
                </c:pt>
                <c:pt idx="438">
                  <c:v>25.12</c:v>
                </c:pt>
                <c:pt idx="439">
                  <c:v>30.46</c:v>
                </c:pt>
                <c:pt idx="440">
                  <c:v>29.63</c:v>
                </c:pt>
                <c:pt idx="441">
                  <c:v>24.37</c:v>
                </c:pt>
                <c:pt idx="442">
                  <c:v>30.53</c:v>
                </c:pt>
                <c:pt idx="443">
                  <c:v>24.13</c:v>
                </c:pt>
                <c:pt idx="444">
                  <c:v>36.340000000000003</c:v>
                </c:pt>
                <c:pt idx="445">
                  <c:v>29.51</c:v>
                </c:pt>
                <c:pt idx="446">
                  <c:v>36.58</c:v>
                </c:pt>
                <c:pt idx="447">
                  <c:v>28.32</c:v>
                </c:pt>
                <c:pt idx="448">
                  <c:v>30.86</c:v>
                </c:pt>
                <c:pt idx="449">
                  <c:v>31.18</c:v>
                </c:pt>
                <c:pt idx="450">
                  <c:v>31.3</c:v>
                </c:pt>
                <c:pt idx="451">
                  <c:v>18.79</c:v>
                </c:pt>
                <c:pt idx="452">
                  <c:v>24.7</c:v>
                </c:pt>
                <c:pt idx="453">
                  <c:v>28.78</c:v>
                </c:pt>
                <c:pt idx="454">
                  <c:v>30.34</c:v>
                </c:pt>
                <c:pt idx="455">
                  <c:v>22.78</c:v>
                </c:pt>
                <c:pt idx="456">
                  <c:v>29.17</c:v>
                </c:pt>
                <c:pt idx="457">
                  <c:v>33.03</c:v>
                </c:pt>
                <c:pt idx="458">
                  <c:v>41.15</c:v>
                </c:pt>
                <c:pt idx="459">
                  <c:v>32.5</c:v>
                </c:pt>
                <c:pt idx="460">
                  <c:v>28.48</c:v>
                </c:pt>
                <c:pt idx="461">
                  <c:v>30.63</c:v>
                </c:pt>
                <c:pt idx="462">
                  <c:v>23.97</c:v>
                </c:pt>
                <c:pt idx="463">
                  <c:v>21.82</c:v>
                </c:pt>
                <c:pt idx="464">
                  <c:v>35.200000000000003</c:v>
                </c:pt>
                <c:pt idx="465">
                  <c:v>27.64</c:v>
                </c:pt>
                <c:pt idx="466">
                  <c:v>24.41</c:v>
                </c:pt>
                <c:pt idx="467">
                  <c:v>22.28</c:v>
                </c:pt>
                <c:pt idx="468">
                  <c:v>30.12</c:v>
                </c:pt>
                <c:pt idx="469">
                  <c:v>16.86</c:v>
                </c:pt>
                <c:pt idx="470">
                  <c:v>22.15</c:v>
                </c:pt>
                <c:pt idx="471">
                  <c:v>29.42</c:v>
                </c:pt>
                <c:pt idx="472">
                  <c:v>41.5</c:v>
                </c:pt>
                <c:pt idx="473">
                  <c:v>37.020000000000003</c:v>
                </c:pt>
                <c:pt idx="474">
                  <c:v>24.55</c:v>
                </c:pt>
                <c:pt idx="475">
                  <c:v>21.44</c:v>
                </c:pt>
                <c:pt idx="476">
                  <c:v>25.08</c:v>
                </c:pt>
                <c:pt idx="477">
                  <c:v>31.77</c:v>
                </c:pt>
                <c:pt idx="478">
                  <c:v>31.59</c:v>
                </c:pt>
                <c:pt idx="479">
                  <c:v>23.68</c:v>
                </c:pt>
                <c:pt idx="480">
                  <c:v>23.02</c:v>
                </c:pt>
                <c:pt idx="481">
                  <c:v>38.08</c:v>
                </c:pt>
                <c:pt idx="482">
                  <c:v>27.29</c:v>
                </c:pt>
                <c:pt idx="483">
                  <c:v>31.22</c:v>
                </c:pt>
                <c:pt idx="484">
                  <c:v>22.52</c:v>
                </c:pt>
                <c:pt idx="485">
                  <c:v>22.52</c:v>
                </c:pt>
                <c:pt idx="486">
                  <c:v>20.45</c:v>
                </c:pt>
                <c:pt idx="487">
                  <c:v>15.13</c:v>
                </c:pt>
                <c:pt idx="488">
                  <c:v>18.559999999999999</c:v>
                </c:pt>
                <c:pt idx="489">
                  <c:v>30.25</c:v>
                </c:pt>
                <c:pt idx="490">
                  <c:v>31.15</c:v>
                </c:pt>
                <c:pt idx="491">
                  <c:v>27.63</c:v>
                </c:pt>
                <c:pt idx="492">
                  <c:v>32.28</c:v>
                </c:pt>
                <c:pt idx="493">
                  <c:v>26.57</c:v>
                </c:pt>
                <c:pt idx="494">
                  <c:v>14.67</c:v>
                </c:pt>
                <c:pt idx="495">
                  <c:v>15.96</c:v>
                </c:pt>
                <c:pt idx="496">
                  <c:v>13.81</c:v>
                </c:pt>
                <c:pt idx="497">
                  <c:v>26.94</c:v>
                </c:pt>
                <c:pt idx="498">
                  <c:v>23.19</c:v>
                </c:pt>
                <c:pt idx="499">
                  <c:v>28.97</c:v>
                </c:pt>
                <c:pt idx="500">
                  <c:v>19.53</c:v>
                </c:pt>
                <c:pt idx="501">
                  <c:v>25.99</c:v>
                </c:pt>
                <c:pt idx="502">
                  <c:v>27.89</c:v>
                </c:pt>
                <c:pt idx="503">
                  <c:v>35.9</c:v>
                </c:pt>
                <c:pt idx="504">
                  <c:v>27.01</c:v>
                </c:pt>
                <c:pt idx="505">
                  <c:v>29.92</c:v>
                </c:pt>
                <c:pt idx="506">
                  <c:v>22.34</c:v>
                </c:pt>
                <c:pt idx="507">
                  <c:v>36.840000000000003</c:v>
                </c:pt>
                <c:pt idx="508">
                  <c:v>25.02</c:v>
                </c:pt>
                <c:pt idx="509">
                  <c:v>28.82</c:v>
                </c:pt>
                <c:pt idx="510">
                  <c:v>35.450000000000003</c:v>
                </c:pt>
                <c:pt idx="511">
                  <c:v>33.03</c:v>
                </c:pt>
                <c:pt idx="512">
                  <c:v>36.44</c:v>
                </c:pt>
                <c:pt idx="513">
                  <c:v>22.88</c:v>
                </c:pt>
                <c:pt idx="514">
                  <c:v>34.26</c:v>
                </c:pt>
                <c:pt idx="515">
                  <c:v>20.04</c:v>
                </c:pt>
                <c:pt idx="516">
                  <c:v>30.26</c:v>
                </c:pt>
                <c:pt idx="517">
                  <c:v>27.34</c:v>
                </c:pt>
                <c:pt idx="518">
                  <c:v>19.809999999999999</c:v>
                </c:pt>
                <c:pt idx="519">
                  <c:v>33.409999999999997</c:v>
                </c:pt>
                <c:pt idx="520">
                  <c:v>36.82</c:v>
                </c:pt>
                <c:pt idx="521">
                  <c:v>43.36</c:v>
                </c:pt>
                <c:pt idx="522">
                  <c:v>29.5</c:v>
                </c:pt>
                <c:pt idx="523">
                  <c:v>26.6</c:v>
                </c:pt>
                <c:pt idx="524">
                  <c:v>24.28</c:v>
                </c:pt>
                <c:pt idx="525">
                  <c:v>31.5</c:v>
                </c:pt>
                <c:pt idx="526">
                  <c:v>31.99</c:v>
                </c:pt>
                <c:pt idx="527">
                  <c:v>21.73</c:v>
                </c:pt>
                <c:pt idx="528">
                  <c:v>33.840000000000003</c:v>
                </c:pt>
                <c:pt idx="529">
                  <c:v>28.91</c:v>
                </c:pt>
                <c:pt idx="530">
                  <c:v>28.13</c:v>
                </c:pt>
                <c:pt idx="531">
                  <c:v>33.47</c:v>
                </c:pt>
                <c:pt idx="532">
                  <c:v>26.16</c:v>
                </c:pt>
                <c:pt idx="533">
                  <c:v>26.67</c:v>
                </c:pt>
                <c:pt idx="534">
                  <c:v>31.31</c:v>
                </c:pt>
                <c:pt idx="535">
                  <c:v>34.9</c:v>
                </c:pt>
                <c:pt idx="536">
                  <c:v>23.22</c:v>
                </c:pt>
                <c:pt idx="537">
                  <c:v>19.940000000000001</c:v>
                </c:pt>
                <c:pt idx="538">
                  <c:v>34.06</c:v>
                </c:pt>
                <c:pt idx="539">
                  <c:v>19.12</c:v>
                </c:pt>
                <c:pt idx="540">
                  <c:v>31.14</c:v>
                </c:pt>
                <c:pt idx="541">
                  <c:v>20.260000000000002</c:v>
                </c:pt>
                <c:pt idx="542">
                  <c:v>22.48</c:v>
                </c:pt>
                <c:pt idx="543">
                  <c:v>34.14</c:v>
                </c:pt>
                <c:pt idx="544">
                  <c:v>30.76</c:v>
                </c:pt>
                <c:pt idx="545">
                  <c:v>24.1</c:v>
                </c:pt>
                <c:pt idx="546">
                  <c:v>30.06</c:v>
                </c:pt>
                <c:pt idx="547">
                  <c:v>34.590000000000003</c:v>
                </c:pt>
                <c:pt idx="548">
                  <c:v>29.17</c:v>
                </c:pt>
                <c:pt idx="549">
                  <c:v>42.81</c:v>
                </c:pt>
                <c:pt idx="550">
                  <c:v>26.2</c:v>
                </c:pt>
                <c:pt idx="551">
                  <c:v>26.48</c:v>
                </c:pt>
                <c:pt idx="552">
                  <c:v>25.81</c:v>
                </c:pt>
                <c:pt idx="553">
                  <c:v>26.75</c:v>
                </c:pt>
                <c:pt idx="554">
                  <c:v>37.92</c:v>
                </c:pt>
                <c:pt idx="555">
                  <c:v>22.43</c:v>
                </c:pt>
                <c:pt idx="556">
                  <c:v>20.11</c:v>
                </c:pt>
                <c:pt idx="557">
                  <c:v>40.130000000000003</c:v>
                </c:pt>
                <c:pt idx="558">
                  <c:v>25.73</c:v>
                </c:pt>
                <c:pt idx="559">
                  <c:v>22.95</c:v>
                </c:pt>
                <c:pt idx="560">
                  <c:v>33.25</c:v>
                </c:pt>
                <c:pt idx="561">
                  <c:v>32.85</c:v>
                </c:pt>
                <c:pt idx="562">
                  <c:v>25.09</c:v>
                </c:pt>
                <c:pt idx="563">
                  <c:v>19.61</c:v>
                </c:pt>
                <c:pt idx="564">
                  <c:v>23</c:v>
                </c:pt>
                <c:pt idx="565">
                  <c:v>15.86</c:v>
                </c:pt>
                <c:pt idx="566">
                  <c:v>30.83</c:v>
                </c:pt>
                <c:pt idx="567">
                  <c:v>26.52</c:v>
                </c:pt>
                <c:pt idx="568">
                  <c:v>28.92</c:v>
                </c:pt>
                <c:pt idx="569">
                  <c:v>19.28</c:v>
                </c:pt>
                <c:pt idx="570">
                  <c:v>29.09</c:v>
                </c:pt>
                <c:pt idx="571">
                  <c:v>22.39</c:v>
                </c:pt>
                <c:pt idx="572">
                  <c:v>28.75</c:v>
                </c:pt>
                <c:pt idx="573">
                  <c:v>30.87</c:v>
                </c:pt>
                <c:pt idx="574">
                  <c:v>25.62</c:v>
                </c:pt>
                <c:pt idx="575">
                  <c:v>24.71</c:v>
                </c:pt>
                <c:pt idx="576">
                  <c:v>22.37</c:v>
                </c:pt>
                <c:pt idx="577">
                  <c:v>21.82</c:v>
                </c:pt>
                <c:pt idx="578">
                  <c:v>28.09</c:v>
                </c:pt>
                <c:pt idx="579">
                  <c:v>37.130000000000003</c:v>
                </c:pt>
                <c:pt idx="580">
                  <c:v>38.36</c:v>
                </c:pt>
                <c:pt idx="581">
                  <c:v>37.03</c:v>
                </c:pt>
                <c:pt idx="582">
                  <c:v>25.9</c:v>
                </c:pt>
                <c:pt idx="583">
                  <c:v>19.54</c:v>
                </c:pt>
                <c:pt idx="584">
                  <c:v>29.02</c:v>
                </c:pt>
                <c:pt idx="585">
                  <c:v>25.13</c:v>
                </c:pt>
                <c:pt idx="586">
                  <c:v>35.6</c:v>
                </c:pt>
                <c:pt idx="587">
                  <c:v>27.13</c:v>
                </c:pt>
                <c:pt idx="588">
                  <c:v>28.7</c:v>
                </c:pt>
                <c:pt idx="589">
                  <c:v>28.48</c:v>
                </c:pt>
                <c:pt idx="590">
                  <c:v>21.35</c:v>
                </c:pt>
                <c:pt idx="591">
                  <c:v>29.5</c:v>
                </c:pt>
                <c:pt idx="592">
                  <c:v>20.010000000000002</c:v>
                </c:pt>
                <c:pt idx="593">
                  <c:v>32.909999999999997</c:v>
                </c:pt>
                <c:pt idx="594">
                  <c:v>31.37</c:v>
                </c:pt>
                <c:pt idx="595">
                  <c:v>23.71</c:v>
                </c:pt>
                <c:pt idx="596">
                  <c:v>30.98</c:v>
                </c:pt>
                <c:pt idx="597">
                  <c:v>33.78</c:v>
                </c:pt>
                <c:pt idx="598">
                  <c:v>29.18</c:v>
                </c:pt>
                <c:pt idx="599">
                  <c:v>18.03</c:v>
                </c:pt>
                <c:pt idx="600">
                  <c:v>20.14</c:v>
                </c:pt>
                <c:pt idx="601">
                  <c:v>23.9</c:v>
                </c:pt>
                <c:pt idx="602">
                  <c:v>28.66</c:v>
                </c:pt>
                <c:pt idx="603">
                  <c:v>27.34</c:v>
                </c:pt>
                <c:pt idx="604">
                  <c:v>25.2</c:v>
                </c:pt>
                <c:pt idx="605">
                  <c:v>19.18</c:v>
                </c:pt>
                <c:pt idx="606">
                  <c:v>22.71</c:v>
                </c:pt>
                <c:pt idx="607">
                  <c:v>34.85</c:v>
                </c:pt>
                <c:pt idx="608">
                  <c:v>18.14</c:v>
                </c:pt>
                <c:pt idx="609">
                  <c:v>29.81</c:v>
                </c:pt>
                <c:pt idx="610">
                  <c:v>25.19</c:v>
                </c:pt>
                <c:pt idx="611">
                  <c:v>30.86</c:v>
                </c:pt>
                <c:pt idx="612">
                  <c:v>28.92</c:v>
                </c:pt>
                <c:pt idx="613">
                  <c:v>29.87</c:v>
                </c:pt>
                <c:pt idx="614">
                  <c:v>32.54</c:v>
                </c:pt>
                <c:pt idx="615">
                  <c:v>32.950000000000003</c:v>
                </c:pt>
                <c:pt idx="616">
                  <c:v>24.42</c:v>
                </c:pt>
                <c:pt idx="617">
                  <c:v>31.68</c:v>
                </c:pt>
                <c:pt idx="618">
                  <c:v>22.53</c:v>
                </c:pt>
                <c:pt idx="619">
                  <c:v>23.53</c:v>
                </c:pt>
                <c:pt idx="620">
                  <c:v>31.99</c:v>
                </c:pt>
                <c:pt idx="621">
                  <c:v>37.15</c:v>
                </c:pt>
                <c:pt idx="622">
                  <c:v>39.03</c:v>
                </c:pt>
                <c:pt idx="623">
                  <c:v>27.97</c:v>
                </c:pt>
                <c:pt idx="624">
                  <c:v>28.57</c:v>
                </c:pt>
                <c:pt idx="625">
                  <c:v>31.65</c:v>
                </c:pt>
                <c:pt idx="626">
                  <c:v>23.45</c:v>
                </c:pt>
                <c:pt idx="627">
                  <c:v>32.229999999999997</c:v>
                </c:pt>
                <c:pt idx="628">
                  <c:v>30.5</c:v>
                </c:pt>
                <c:pt idx="629">
                  <c:v>32.89</c:v>
                </c:pt>
                <c:pt idx="630">
                  <c:v>29.73</c:v>
                </c:pt>
                <c:pt idx="631">
                  <c:v>27.82</c:v>
                </c:pt>
                <c:pt idx="632">
                  <c:v>30.26</c:v>
                </c:pt>
                <c:pt idx="633">
                  <c:v>26.25</c:v>
                </c:pt>
                <c:pt idx="634">
                  <c:v>24.87</c:v>
                </c:pt>
                <c:pt idx="635">
                  <c:v>22.9</c:v>
                </c:pt>
                <c:pt idx="636">
                  <c:v>31.58</c:v>
                </c:pt>
                <c:pt idx="637">
                  <c:v>37.4</c:v>
                </c:pt>
                <c:pt idx="638">
                  <c:v>27.37</c:v>
                </c:pt>
                <c:pt idx="639">
                  <c:v>28.43</c:v>
                </c:pt>
                <c:pt idx="640">
                  <c:v>30.44</c:v>
                </c:pt>
                <c:pt idx="641">
                  <c:v>29.97</c:v>
                </c:pt>
                <c:pt idx="642">
                  <c:v>17.510000000000002</c:v>
                </c:pt>
                <c:pt idx="643">
                  <c:v>31.82</c:v>
                </c:pt>
                <c:pt idx="644">
                  <c:v>14.15</c:v>
                </c:pt>
                <c:pt idx="645">
                  <c:v>27.28</c:v>
                </c:pt>
                <c:pt idx="646">
                  <c:v>30.9</c:v>
                </c:pt>
                <c:pt idx="647">
                  <c:v>29.41</c:v>
                </c:pt>
                <c:pt idx="648">
                  <c:v>10.98</c:v>
                </c:pt>
                <c:pt idx="649">
                  <c:v>31.22</c:v>
                </c:pt>
                <c:pt idx="650">
                  <c:v>22.47</c:v>
                </c:pt>
                <c:pt idx="651">
                  <c:v>16.57</c:v>
                </c:pt>
                <c:pt idx="652">
                  <c:v>23.88</c:v>
                </c:pt>
                <c:pt idx="653">
                  <c:v>22.24</c:v>
                </c:pt>
                <c:pt idx="654">
                  <c:v>18.46</c:v>
                </c:pt>
                <c:pt idx="655">
                  <c:v>23.75</c:v>
                </c:pt>
                <c:pt idx="656">
                  <c:v>29.68</c:v>
                </c:pt>
                <c:pt idx="657">
                  <c:v>24.21</c:v>
                </c:pt>
                <c:pt idx="658">
                  <c:v>19.829999999999998</c:v>
                </c:pt>
                <c:pt idx="659">
                  <c:v>26.34</c:v>
                </c:pt>
                <c:pt idx="660">
                  <c:v>26.28</c:v>
                </c:pt>
                <c:pt idx="661">
                  <c:v>30.89</c:v>
                </c:pt>
                <c:pt idx="662">
                  <c:v>21.9</c:v>
                </c:pt>
                <c:pt idx="663">
                  <c:v>35.24</c:v>
                </c:pt>
                <c:pt idx="664">
                  <c:v>40.96</c:v>
                </c:pt>
                <c:pt idx="665">
                  <c:v>28.09</c:v>
                </c:pt>
                <c:pt idx="666">
                  <c:v>30.3</c:v>
                </c:pt>
                <c:pt idx="667">
                  <c:v>30.8</c:v>
                </c:pt>
                <c:pt idx="668">
                  <c:v>26.78</c:v>
                </c:pt>
                <c:pt idx="669">
                  <c:v>32.39</c:v>
                </c:pt>
                <c:pt idx="670">
                  <c:v>33.74</c:v>
                </c:pt>
                <c:pt idx="671">
                  <c:v>32.42</c:v>
                </c:pt>
                <c:pt idx="672">
                  <c:v>35.630000000000003</c:v>
                </c:pt>
                <c:pt idx="673">
                  <c:v>30.77</c:v>
                </c:pt>
                <c:pt idx="674">
                  <c:v>28.77</c:v>
                </c:pt>
                <c:pt idx="675">
                  <c:v>33.89</c:v>
                </c:pt>
                <c:pt idx="676">
                  <c:v>32.01</c:v>
                </c:pt>
                <c:pt idx="677">
                  <c:v>27.81</c:v>
                </c:pt>
                <c:pt idx="678">
                  <c:v>26.58</c:v>
                </c:pt>
                <c:pt idx="679">
                  <c:v>26.61</c:v>
                </c:pt>
                <c:pt idx="680">
                  <c:v>37.97</c:v>
                </c:pt>
                <c:pt idx="681">
                  <c:v>21.37</c:v>
                </c:pt>
                <c:pt idx="682">
                  <c:v>27.5</c:v>
                </c:pt>
                <c:pt idx="683">
                  <c:v>27.67</c:v>
                </c:pt>
                <c:pt idx="684">
                  <c:v>31.27</c:v>
                </c:pt>
                <c:pt idx="685">
                  <c:v>29.22</c:v>
                </c:pt>
                <c:pt idx="686">
                  <c:v>35.75</c:v>
                </c:pt>
                <c:pt idx="687">
                  <c:v>32.32</c:v>
                </c:pt>
                <c:pt idx="688">
                  <c:v>29.6</c:v>
                </c:pt>
                <c:pt idx="689">
                  <c:v>42.17</c:v>
                </c:pt>
                <c:pt idx="690">
                  <c:v>27.58</c:v>
                </c:pt>
                <c:pt idx="691">
                  <c:v>34.840000000000003</c:v>
                </c:pt>
                <c:pt idx="692">
                  <c:v>25.45</c:v>
                </c:pt>
                <c:pt idx="693">
                  <c:v>31.72</c:v>
                </c:pt>
                <c:pt idx="694">
                  <c:v>23.35</c:v>
                </c:pt>
                <c:pt idx="695">
                  <c:v>23.05</c:v>
                </c:pt>
                <c:pt idx="696">
                  <c:v>28.06</c:v>
                </c:pt>
                <c:pt idx="697">
                  <c:v>28.13</c:v>
                </c:pt>
                <c:pt idx="698">
                  <c:v>36.08</c:v>
                </c:pt>
                <c:pt idx="699">
                  <c:v>29.32</c:v>
                </c:pt>
                <c:pt idx="700">
                  <c:v>24.46</c:v>
                </c:pt>
                <c:pt idx="701">
                  <c:v>24.9</c:v>
                </c:pt>
                <c:pt idx="702">
                  <c:v>37.58</c:v>
                </c:pt>
                <c:pt idx="703">
                  <c:v>17.62</c:v>
                </c:pt>
                <c:pt idx="704">
                  <c:v>32.5</c:v>
                </c:pt>
                <c:pt idx="705">
                  <c:v>25.68</c:v>
                </c:pt>
                <c:pt idx="706">
                  <c:v>23.74</c:v>
                </c:pt>
                <c:pt idx="707">
                  <c:v>29.68</c:v>
                </c:pt>
                <c:pt idx="708">
                  <c:v>27.51</c:v>
                </c:pt>
                <c:pt idx="709">
                  <c:v>18.57</c:v>
                </c:pt>
                <c:pt idx="710">
                  <c:v>27.63</c:v>
                </c:pt>
                <c:pt idx="711">
                  <c:v>31.89</c:v>
                </c:pt>
                <c:pt idx="712">
                  <c:v>24.51</c:v>
                </c:pt>
                <c:pt idx="713">
                  <c:v>32.11</c:v>
                </c:pt>
                <c:pt idx="714">
                  <c:v>24.65</c:v>
                </c:pt>
                <c:pt idx="715">
                  <c:v>24.41</c:v>
                </c:pt>
                <c:pt idx="716">
                  <c:v>36.700000000000003</c:v>
                </c:pt>
                <c:pt idx="717">
                  <c:v>26.36</c:v>
                </c:pt>
                <c:pt idx="718">
                  <c:v>20.86</c:v>
                </c:pt>
                <c:pt idx="719">
                  <c:v>30.56</c:v>
                </c:pt>
                <c:pt idx="720">
                  <c:v>31.08</c:v>
                </c:pt>
                <c:pt idx="721">
                  <c:v>35.950000000000003</c:v>
                </c:pt>
                <c:pt idx="722">
                  <c:v>35.79</c:v>
                </c:pt>
                <c:pt idx="723">
                  <c:v>29.3</c:v>
                </c:pt>
                <c:pt idx="724">
                  <c:v>32.24</c:v>
                </c:pt>
                <c:pt idx="725">
                  <c:v>30.36</c:v>
                </c:pt>
                <c:pt idx="726">
                  <c:v>31.4</c:v>
                </c:pt>
                <c:pt idx="727">
                  <c:v>34.049999999999997</c:v>
                </c:pt>
                <c:pt idx="728">
                  <c:v>30.82</c:v>
                </c:pt>
                <c:pt idx="729">
                  <c:v>16.559999999999999</c:v>
                </c:pt>
                <c:pt idx="730">
                  <c:v>25.93</c:v>
                </c:pt>
                <c:pt idx="731">
                  <c:v>24.13</c:v>
                </c:pt>
                <c:pt idx="732">
                  <c:v>31.11</c:v>
                </c:pt>
                <c:pt idx="733">
                  <c:v>20.29</c:v>
                </c:pt>
                <c:pt idx="734">
                  <c:v>28.68</c:v>
                </c:pt>
                <c:pt idx="735">
                  <c:v>25.71</c:v>
                </c:pt>
                <c:pt idx="736">
                  <c:v>27.55</c:v>
                </c:pt>
                <c:pt idx="737">
                  <c:v>26.63</c:v>
                </c:pt>
                <c:pt idx="738">
                  <c:v>35.049999999999997</c:v>
                </c:pt>
                <c:pt idx="739">
                  <c:v>34.72</c:v>
                </c:pt>
                <c:pt idx="740">
                  <c:v>26.41</c:v>
                </c:pt>
                <c:pt idx="741">
                  <c:v>25.45</c:v>
                </c:pt>
                <c:pt idx="742">
                  <c:v>20.93</c:v>
                </c:pt>
                <c:pt idx="743">
                  <c:v>30.2</c:v>
                </c:pt>
                <c:pt idx="744">
                  <c:v>24.31</c:v>
                </c:pt>
                <c:pt idx="745">
                  <c:v>28.41</c:v>
                </c:pt>
                <c:pt idx="746">
                  <c:v>31.18</c:v>
                </c:pt>
                <c:pt idx="747">
                  <c:v>28.59</c:v>
                </c:pt>
                <c:pt idx="748">
                  <c:v>16.57</c:v>
                </c:pt>
                <c:pt idx="749">
                  <c:v>35.67</c:v>
                </c:pt>
                <c:pt idx="750">
                  <c:v>27.56</c:v>
                </c:pt>
                <c:pt idx="751">
                  <c:v>26.73</c:v>
                </c:pt>
                <c:pt idx="752">
                  <c:v>24.09</c:v>
                </c:pt>
                <c:pt idx="753">
                  <c:v>17.97</c:v>
                </c:pt>
                <c:pt idx="754">
                  <c:v>24.47</c:v>
                </c:pt>
                <c:pt idx="755">
                  <c:v>29.12</c:v>
                </c:pt>
                <c:pt idx="756">
                  <c:v>23.96</c:v>
                </c:pt>
                <c:pt idx="757">
                  <c:v>29.71</c:v>
                </c:pt>
                <c:pt idx="758">
                  <c:v>24.32</c:v>
                </c:pt>
                <c:pt idx="759">
                  <c:v>22.2</c:v>
                </c:pt>
                <c:pt idx="760">
                  <c:v>27.67</c:v>
                </c:pt>
                <c:pt idx="761">
                  <c:v>26.3</c:v>
                </c:pt>
                <c:pt idx="762">
                  <c:v>13.75</c:v>
                </c:pt>
                <c:pt idx="763">
                  <c:v>27.35</c:v>
                </c:pt>
                <c:pt idx="764">
                  <c:v>28.34</c:v>
                </c:pt>
                <c:pt idx="765">
                  <c:v>22.18</c:v>
                </c:pt>
                <c:pt idx="766">
                  <c:v>22.13</c:v>
                </c:pt>
                <c:pt idx="767">
                  <c:v>29.06</c:v>
                </c:pt>
                <c:pt idx="768">
                  <c:v>27.93</c:v>
                </c:pt>
                <c:pt idx="769">
                  <c:v>33.01</c:v>
                </c:pt>
                <c:pt idx="770">
                  <c:v>28.61</c:v>
                </c:pt>
                <c:pt idx="771">
                  <c:v>33.17</c:v>
                </c:pt>
                <c:pt idx="772">
                  <c:v>22.96</c:v>
                </c:pt>
                <c:pt idx="773">
                  <c:v>22.65</c:v>
                </c:pt>
                <c:pt idx="774">
                  <c:v>26.91</c:v>
                </c:pt>
                <c:pt idx="775">
                  <c:v>31.11</c:v>
                </c:pt>
                <c:pt idx="776">
                  <c:v>28.35</c:v>
                </c:pt>
                <c:pt idx="777">
                  <c:v>25.56</c:v>
                </c:pt>
                <c:pt idx="778">
                  <c:v>24.14</c:v>
                </c:pt>
                <c:pt idx="779">
                  <c:v>26.21</c:v>
                </c:pt>
                <c:pt idx="780">
                  <c:v>32.19</c:v>
                </c:pt>
                <c:pt idx="781">
                  <c:v>28.2</c:v>
                </c:pt>
                <c:pt idx="782">
                  <c:v>30.38</c:v>
                </c:pt>
                <c:pt idx="783">
                  <c:v>20.73</c:v>
                </c:pt>
                <c:pt idx="784">
                  <c:v>25.05</c:v>
                </c:pt>
                <c:pt idx="785">
                  <c:v>33.229999999999997</c:v>
                </c:pt>
                <c:pt idx="786">
                  <c:v>30.23</c:v>
                </c:pt>
                <c:pt idx="787">
                  <c:v>24.67</c:v>
                </c:pt>
                <c:pt idx="788">
                  <c:v>35.270000000000003</c:v>
                </c:pt>
                <c:pt idx="789">
                  <c:v>13.29</c:v>
                </c:pt>
                <c:pt idx="790">
                  <c:v>31.87</c:v>
                </c:pt>
                <c:pt idx="791">
                  <c:v>19.350000000000001</c:v>
                </c:pt>
                <c:pt idx="792">
                  <c:v>23.78</c:v>
                </c:pt>
                <c:pt idx="793">
                  <c:v>25.83</c:v>
                </c:pt>
                <c:pt idx="794">
                  <c:v>16.82</c:v>
                </c:pt>
                <c:pt idx="795">
                  <c:v>34.96</c:v>
                </c:pt>
                <c:pt idx="796">
                  <c:v>21.72</c:v>
                </c:pt>
                <c:pt idx="797">
                  <c:v>23.3</c:v>
                </c:pt>
                <c:pt idx="798">
                  <c:v>25.27</c:v>
                </c:pt>
                <c:pt idx="799">
                  <c:v>30.32</c:v>
                </c:pt>
                <c:pt idx="800">
                  <c:v>27.86</c:v>
                </c:pt>
                <c:pt idx="801">
                  <c:v>30.75</c:v>
                </c:pt>
                <c:pt idx="802">
                  <c:v>22.82</c:v>
                </c:pt>
                <c:pt idx="803">
                  <c:v>29.08</c:v>
                </c:pt>
                <c:pt idx="804">
                  <c:v>33.43</c:v>
                </c:pt>
                <c:pt idx="805">
                  <c:v>26.05</c:v>
                </c:pt>
                <c:pt idx="806">
                  <c:v>24.98</c:v>
                </c:pt>
                <c:pt idx="807">
                  <c:v>26.26</c:v>
                </c:pt>
                <c:pt idx="808">
                  <c:v>28.53</c:v>
                </c:pt>
                <c:pt idx="809">
                  <c:v>36.92</c:v>
                </c:pt>
                <c:pt idx="810">
                  <c:v>24.98</c:v>
                </c:pt>
                <c:pt idx="811">
                  <c:v>19.2</c:v>
                </c:pt>
                <c:pt idx="812">
                  <c:v>30.34</c:v>
                </c:pt>
                <c:pt idx="813">
                  <c:v>36.619999999999997</c:v>
                </c:pt>
                <c:pt idx="814">
                  <c:v>26.54</c:v>
                </c:pt>
                <c:pt idx="815">
                  <c:v>30.18</c:v>
                </c:pt>
                <c:pt idx="816">
                  <c:v>31.41</c:v>
                </c:pt>
                <c:pt idx="817">
                  <c:v>32.56</c:v>
                </c:pt>
                <c:pt idx="818">
                  <c:v>32.159999999999997</c:v>
                </c:pt>
                <c:pt idx="819">
                  <c:v>34.17</c:v>
                </c:pt>
                <c:pt idx="820">
                  <c:v>26.02</c:v>
                </c:pt>
                <c:pt idx="821">
                  <c:v>27.72</c:v>
                </c:pt>
                <c:pt idx="822">
                  <c:v>24.56</c:v>
                </c:pt>
                <c:pt idx="823">
                  <c:v>30.14</c:v>
                </c:pt>
                <c:pt idx="824">
                  <c:v>35.06</c:v>
                </c:pt>
                <c:pt idx="825">
                  <c:v>27.77</c:v>
                </c:pt>
                <c:pt idx="826">
                  <c:v>23.04</c:v>
                </c:pt>
                <c:pt idx="827">
                  <c:v>25.2</c:v>
                </c:pt>
                <c:pt idx="828">
                  <c:v>35.58</c:v>
                </c:pt>
                <c:pt idx="829">
                  <c:v>28.23</c:v>
                </c:pt>
                <c:pt idx="830">
                  <c:v>39.81</c:v>
                </c:pt>
                <c:pt idx="831">
                  <c:v>37.909999999999997</c:v>
                </c:pt>
                <c:pt idx="832">
                  <c:v>19.010000000000002</c:v>
                </c:pt>
                <c:pt idx="833">
                  <c:v>31.31</c:v>
                </c:pt>
                <c:pt idx="834">
                  <c:v>33.450000000000003</c:v>
                </c:pt>
                <c:pt idx="835">
                  <c:v>22.87</c:v>
                </c:pt>
                <c:pt idx="836">
                  <c:v>19.920000000000002</c:v>
                </c:pt>
                <c:pt idx="837">
                  <c:v>20.309999999999999</c:v>
                </c:pt>
                <c:pt idx="838">
                  <c:v>32.770000000000003</c:v>
                </c:pt>
                <c:pt idx="839">
                  <c:v>22.01</c:v>
                </c:pt>
                <c:pt idx="840">
                  <c:v>19.61</c:v>
                </c:pt>
                <c:pt idx="841">
                  <c:v>19.62</c:v>
                </c:pt>
                <c:pt idx="842">
                  <c:v>30.11</c:v>
                </c:pt>
                <c:pt idx="843">
                  <c:v>21.57</c:v>
                </c:pt>
                <c:pt idx="844">
                  <c:v>38.020000000000003</c:v>
                </c:pt>
                <c:pt idx="845">
                  <c:v>33.39</c:v>
                </c:pt>
                <c:pt idx="846">
                  <c:v>27.14</c:v>
                </c:pt>
                <c:pt idx="847">
                  <c:v>22.91</c:v>
                </c:pt>
                <c:pt idx="848">
                  <c:v>23.1</c:v>
                </c:pt>
                <c:pt idx="849">
                  <c:v>38.71</c:v>
                </c:pt>
                <c:pt idx="850">
                  <c:v>23.53</c:v>
                </c:pt>
                <c:pt idx="851">
                  <c:v>29.2</c:v>
                </c:pt>
                <c:pt idx="852">
                  <c:v>17.600000000000001</c:v>
                </c:pt>
                <c:pt idx="853">
                  <c:v>35.869999999999997</c:v>
                </c:pt>
                <c:pt idx="854">
                  <c:v>31.34</c:v>
                </c:pt>
                <c:pt idx="855">
                  <c:v>31.3</c:v>
                </c:pt>
                <c:pt idx="856">
                  <c:v>35.21</c:v>
                </c:pt>
                <c:pt idx="857">
                  <c:v>27.68</c:v>
                </c:pt>
                <c:pt idx="858">
                  <c:v>25.53</c:v>
                </c:pt>
                <c:pt idx="859">
                  <c:v>34.92</c:v>
                </c:pt>
                <c:pt idx="860">
                  <c:v>34.4</c:v>
                </c:pt>
                <c:pt idx="861">
                  <c:v>20.57</c:v>
                </c:pt>
                <c:pt idx="862">
                  <c:v>28.87</c:v>
                </c:pt>
                <c:pt idx="863">
                  <c:v>30.94</c:v>
                </c:pt>
                <c:pt idx="864">
                  <c:v>24.17</c:v>
                </c:pt>
                <c:pt idx="865">
                  <c:v>27.27</c:v>
                </c:pt>
                <c:pt idx="866">
                  <c:v>24.86</c:v>
                </c:pt>
                <c:pt idx="867">
                  <c:v>25.35</c:v>
                </c:pt>
                <c:pt idx="868">
                  <c:v>33.68</c:v>
                </c:pt>
                <c:pt idx="869">
                  <c:v>28.55</c:v>
                </c:pt>
                <c:pt idx="870">
                  <c:v>24.56</c:v>
                </c:pt>
                <c:pt idx="871">
                  <c:v>24.29</c:v>
                </c:pt>
                <c:pt idx="872">
                  <c:v>29.49</c:v>
                </c:pt>
                <c:pt idx="873">
                  <c:v>27.41</c:v>
                </c:pt>
                <c:pt idx="874">
                  <c:v>42.82</c:v>
                </c:pt>
                <c:pt idx="875">
                  <c:v>22.16</c:v>
                </c:pt>
                <c:pt idx="876">
                  <c:v>25.06</c:v>
                </c:pt>
                <c:pt idx="877">
                  <c:v>19.84</c:v>
                </c:pt>
                <c:pt idx="878">
                  <c:v>21.68</c:v>
                </c:pt>
                <c:pt idx="879">
                  <c:v>36.130000000000003</c:v>
                </c:pt>
                <c:pt idx="880">
                  <c:v>18.940000000000001</c:v>
                </c:pt>
                <c:pt idx="881">
                  <c:v>19.34</c:v>
                </c:pt>
                <c:pt idx="882">
                  <c:v>22.7</c:v>
                </c:pt>
                <c:pt idx="883">
                  <c:v>38.99</c:v>
                </c:pt>
                <c:pt idx="884">
                  <c:v>33.130000000000003</c:v>
                </c:pt>
                <c:pt idx="885">
                  <c:v>34.39</c:v>
                </c:pt>
                <c:pt idx="886">
                  <c:v>24.52</c:v>
                </c:pt>
                <c:pt idx="887">
                  <c:v>31.99</c:v>
                </c:pt>
                <c:pt idx="888">
                  <c:v>28.83</c:v>
                </c:pt>
                <c:pt idx="889">
                  <c:v>31.19</c:v>
                </c:pt>
                <c:pt idx="890">
                  <c:v>31.16</c:v>
                </c:pt>
                <c:pt idx="891">
                  <c:v>20.09</c:v>
                </c:pt>
                <c:pt idx="892">
                  <c:v>31.55</c:v>
                </c:pt>
                <c:pt idx="893">
                  <c:v>26.53</c:v>
                </c:pt>
                <c:pt idx="894">
                  <c:v>34.74</c:v>
                </c:pt>
                <c:pt idx="895">
                  <c:v>31.97</c:v>
                </c:pt>
                <c:pt idx="896">
                  <c:v>27.24</c:v>
                </c:pt>
                <c:pt idx="897">
                  <c:v>22.64</c:v>
                </c:pt>
                <c:pt idx="898">
                  <c:v>33.869999999999997</c:v>
                </c:pt>
                <c:pt idx="899">
                  <c:v>25.74</c:v>
                </c:pt>
                <c:pt idx="900">
                  <c:v>26.04</c:v>
                </c:pt>
                <c:pt idx="901">
                  <c:v>20.25</c:v>
                </c:pt>
                <c:pt idx="902">
                  <c:v>22.73</c:v>
                </c:pt>
                <c:pt idx="903">
                  <c:v>30.58</c:v>
                </c:pt>
                <c:pt idx="904">
                  <c:v>21.09</c:v>
                </c:pt>
                <c:pt idx="905">
                  <c:v>21.03</c:v>
                </c:pt>
                <c:pt idx="906">
                  <c:v>21.97</c:v>
                </c:pt>
                <c:pt idx="907">
                  <c:v>22.16</c:v>
                </c:pt>
                <c:pt idx="908">
                  <c:v>35.81</c:v>
                </c:pt>
                <c:pt idx="909">
                  <c:v>26.62</c:v>
                </c:pt>
                <c:pt idx="910">
                  <c:v>40.69</c:v>
                </c:pt>
                <c:pt idx="911">
                  <c:v>29.59</c:v>
                </c:pt>
                <c:pt idx="912">
                  <c:v>21.66</c:v>
                </c:pt>
                <c:pt idx="913">
                  <c:v>31.96</c:v>
                </c:pt>
                <c:pt idx="914">
                  <c:v>34.72</c:v>
                </c:pt>
                <c:pt idx="915">
                  <c:v>27.33</c:v>
                </c:pt>
                <c:pt idx="916">
                  <c:v>32.56</c:v>
                </c:pt>
                <c:pt idx="917">
                  <c:v>23.83</c:v>
                </c:pt>
                <c:pt idx="918">
                  <c:v>25.41</c:v>
                </c:pt>
                <c:pt idx="919">
                  <c:v>28.24</c:v>
                </c:pt>
                <c:pt idx="920">
                  <c:v>36.79</c:v>
                </c:pt>
                <c:pt idx="921">
                  <c:v>22.25</c:v>
                </c:pt>
                <c:pt idx="922">
                  <c:v>31.19</c:v>
                </c:pt>
                <c:pt idx="923">
                  <c:v>22.71</c:v>
                </c:pt>
                <c:pt idx="924">
                  <c:v>32.58</c:v>
                </c:pt>
                <c:pt idx="925">
                  <c:v>29.25</c:v>
                </c:pt>
                <c:pt idx="926">
                  <c:v>20.25</c:v>
                </c:pt>
                <c:pt idx="927">
                  <c:v>27.36</c:v>
                </c:pt>
                <c:pt idx="928">
                  <c:v>23.26</c:v>
                </c:pt>
                <c:pt idx="929">
                  <c:v>35.380000000000003</c:v>
                </c:pt>
                <c:pt idx="930">
                  <c:v>25.01</c:v>
                </c:pt>
                <c:pt idx="931">
                  <c:v>21.23</c:v>
                </c:pt>
                <c:pt idx="932">
                  <c:v>28.25</c:v>
                </c:pt>
                <c:pt idx="933">
                  <c:v>22.73</c:v>
                </c:pt>
                <c:pt idx="934">
                  <c:v>26.4</c:v>
                </c:pt>
                <c:pt idx="935">
                  <c:v>28.93</c:v>
                </c:pt>
                <c:pt idx="936">
                  <c:v>20.29</c:v>
                </c:pt>
                <c:pt idx="937">
                  <c:v>27.52</c:v>
                </c:pt>
                <c:pt idx="938">
                  <c:v>26.98</c:v>
                </c:pt>
                <c:pt idx="939">
                  <c:v>15.05</c:v>
                </c:pt>
                <c:pt idx="940">
                  <c:v>29.36</c:v>
                </c:pt>
                <c:pt idx="941">
                  <c:v>31.17</c:v>
                </c:pt>
                <c:pt idx="942">
                  <c:v>30.77</c:v>
                </c:pt>
                <c:pt idx="943">
                  <c:v>36.450000000000003</c:v>
                </c:pt>
                <c:pt idx="944">
                  <c:v>24.54</c:v>
                </c:pt>
                <c:pt idx="945">
                  <c:v>26.45</c:v>
                </c:pt>
                <c:pt idx="946">
                  <c:v>33.1</c:v>
                </c:pt>
                <c:pt idx="947">
                  <c:v>22.18</c:v>
                </c:pt>
                <c:pt idx="948">
                  <c:v>25.61</c:v>
                </c:pt>
                <c:pt idx="949">
                  <c:v>36.35</c:v>
                </c:pt>
                <c:pt idx="950">
                  <c:v>37.119999999999997</c:v>
                </c:pt>
                <c:pt idx="951">
                  <c:v>33.659999999999997</c:v>
                </c:pt>
                <c:pt idx="952">
                  <c:v>24.84</c:v>
                </c:pt>
                <c:pt idx="953">
                  <c:v>17.059999999999999</c:v>
                </c:pt>
                <c:pt idx="954">
                  <c:v>19.09</c:v>
                </c:pt>
                <c:pt idx="955">
                  <c:v>35.89</c:v>
                </c:pt>
                <c:pt idx="956">
                  <c:v>29</c:v>
                </c:pt>
                <c:pt idx="957">
                  <c:v>24.08</c:v>
                </c:pt>
                <c:pt idx="958">
                  <c:v>31.77</c:v>
                </c:pt>
                <c:pt idx="959">
                  <c:v>20.57</c:v>
                </c:pt>
                <c:pt idx="960">
                  <c:v>27.94</c:v>
                </c:pt>
                <c:pt idx="961">
                  <c:v>26.5</c:v>
                </c:pt>
                <c:pt idx="962">
                  <c:v>23</c:v>
                </c:pt>
                <c:pt idx="963">
                  <c:v>20.89</c:v>
                </c:pt>
                <c:pt idx="964">
                  <c:v>34.19</c:v>
                </c:pt>
                <c:pt idx="965">
                  <c:v>32.54</c:v>
                </c:pt>
                <c:pt idx="966">
                  <c:v>33.380000000000003</c:v>
                </c:pt>
                <c:pt idx="967">
                  <c:v>30.26</c:v>
                </c:pt>
                <c:pt idx="968">
                  <c:v>20.18</c:v>
                </c:pt>
                <c:pt idx="969">
                  <c:v>27.78</c:v>
                </c:pt>
                <c:pt idx="970">
                  <c:v>24.36</c:v>
                </c:pt>
                <c:pt idx="971">
                  <c:v>19.54</c:v>
                </c:pt>
                <c:pt idx="972">
                  <c:v>30.43</c:v>
                </c:pt>
                <c:pt idx="973">
                  <c:v>31.23</c:v>
                </c:pt>
                <c:pt idx="974">
                  <c:v>24.17</c:v>
                </c:pt>
                <c:pt idx="975">
                  <c:v>28.93</c:v>
                </c:pt>
                <c:pt idx="976">
                  <c:v>29.73</c:v>
                </c:pt>
                <c:pt idx="977">
                  <c:v>22.76</c:v>
                </c:pt>
                <c:pt idx="978">
                  <c:v>34.57</c:v>
                </c:pt>
                <c:pt idx="979">
                  <c:v>41.29</c:v>
                </c:pt>
                <c:pt idx="980">
                  <c:v>22.92</c:v>
                </c:pt>
                <c:pt idx="981">
                  <c:v>26.42</c:v>
                </c:pt>
                <c:pt idx="982">
                  <c:v>23.41</c:v>
                </c:pt>
                <c:pt idx="983">
                  <c:v>24.11</c:v>
                </c:pt>
                <c:pt idx="984">
                  <c:v>25.28</c:v>
                </c:pt>
                <c:pt idx="985">
                  <c:v>31.01</c:v>
                </c:pt>
                <c:pt idx="986">
                  <c:v>31.34</c:v>
                </c:pt>
                <c:pt idx="987">
                  <c:v>41.55</c:v>
                </c:pt>
                <c:pt idx="988">
                  <c:v>18.48</c:v>
                </c:pt>
                <c:pt idx="989">
                  <c:v>17.829999999999998</c:v>
                </c:pt>
                <c:pt idx="990">
                  <c:v>20.61</c:v>
                </c:pt>
                <c:pt idx="991">
                  <c:v>27.22</c:v>
                </c:pt>
                <c:pt idx="992">
                  <c:v>32.71</c:v>
                </c:pt>
                <c:pt idx="993">
                  <c:v>32.700000000000003</c:v>
                </c:pt>
                <c:pt idx="994">
                  <c:v>27.28</c:v>
                </c:pt>
                <c:pt idx="995">
                  <c:v>34.630000000000003</c:v>
                </c:pt>
                <c:pt idx="996">
                  <c:v>40.85</c:v>
                </c:pt>
                <c:pt idx="997">
                  <c:v>37.68</c:v>
                </c:pt>
                <c:pt idx="998">
                  <c:v>23.19</c:v>
                </c:pt>
                <c:pt idx="999">
                  <c:v>26.33</c:v>
                </c:pt>
              </c:numCache>
            </c:numRef>
          </c:yVal>
          <c:smooth val="0"/>
          <c:extLst>
            <c:ext xmlns:c16="http://schemas.microsoft.com/office/drawing/2014/chart" uri="{C3380CC4-5D6E-409C-BE32-E72D297353CC}">
              <c16:uniqueId val="{00000001-9227-43D2-9E1D-BCB23E9AB985}"/>
            </c:ext>
          </c:extLst>
        </c:ser>
        <c:dLbls>
          <c:showLegendKey val="0"/>
          <c:showVal val="0"/>
          <c:showCatName val="0"/>
          <c:showSerName val="0"/>
          <c:showPercent val="0"/>
          <c:showBubbleSize val="0"/>
        </c:dLbls>
        <c:axId val="1909949567"/>
        <c:axId val="1"/>
      </c:scatterChart>
      <c:valAx>
        <c:axId val="1909949567"/>
        <c:scaling>
          <c:orientation val="minMax"/>
          <c:max val="16"/>
          <c:min val="12"/>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909949567"/>
        <c:crosses val="autoZero"/>
        <c:crossBetween val="midCat"/>
        <c:majorUnit val="10"/>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Sample Wage = f(Schooling)</a:t>
            </a:r>
          </a:p>
        </c:rich>
      </c:tx>
      <c:overlay val="1"/>
    </c:title>
    <c:autoTitleDeleted val="0"/>
    <c:plotArea>
      <c:layout>
        <c:manualLayout>
          <c:layoutTarget val="inner"/>
          <c:xMode val="edge"/>
          <c:yMode val="edge"/>
          <c:x val="0.13207547169811321"/>
          <c:y val="4.6052631578947366E-2"/>
          <c:w val="0.82641509433962268"/>
          <c:h val="0.80592105263157898"/>
        </c:manualLayout>
      </c:layout>
      <c:bubbleChart>
        <c:varyColors val="0"/>
        <c:ser>
          <c:idx val="0"/>
          <c:order val="0"/>
          <c:spPr>
            <a:ln w="28575">
              <a:noFill/>
            </a:ln>
          </c:spPr>
          <c:invertIfNegative val="0"/>
          <c:xVal>
            <c:numRef>
              <c:f>DGP!$S$2:$S$101</c:f>
              <c:numCache>
                <c:formatCode>General</c:formatCode>
                <c:ptCount val="100"/>
                <c:pt idx="0">
                  <c:v>15</c:v>
                </c:pt>
                <c:pt idx="1">
                  <c:v>12</c:v>
                </c:pt>
                <c:pt idx="2">
                  <c:v>16</c:v>
                </c:pt>
                <c:pt idx="3">
                  <c:v>16</c:v>
                </c:pt>
                <c:pt idx="4">
                  <c:v>14</c:v>
                </c:pt>
                <c:pt idx="5">
                  <c:v>14</c:v>
                </c:pt>
                <c:pt idx="6">
                  <c:v>15</c:v>
                </c:pt>
                <c:pt idx="7">
                  <c:v>13</c:v>
                </c:pt>
                <c:pt idx="8">
                  <c:v>12</c:v>
                </c:pt>
                <c:pt idx="9">
                  <c:v>16</c:v>
                </c:pt>
                <c:pt idx="10">
                  <c:v>13</c:v>
                </c:pt>
                <c:pt idx="11">
                  <c:v>12</c:v>
                </c:pt>
                <c:pt idx="12">
                  <c:v>16</c:v>
                </c:pt>
                <c:pt idx="13">
                  <c:v>16</c:v>
                </c:pt>
                <c:pt idx="14">
                  <c:v>14</c:v>
                </c:pt>
                <c:pt idx="15">
                  <c:v>14</c:v>
                </c:pt>
                <c:pt idx="16">
                  <c:v>13</c:v>
                </c:pt>
                <c:pt idx="17">
                  <c:v>15</c:v>
                </c:pt>
                <c:pt idx="18">
                  <c:v>14</c:v>
                </c:pt>
                <c:pt idx="19">
                  <c:v>14</c:v>
                </c:pt>
                <c:pt idx="20">
                  <c:v>15</c:v>
                </c:pt>
                <c:pt idx="21">
                  <c:v>16</c:v>
                </c:pt>
                <c:pt idx="22">
                  <c:v>15</c:v>
                </c:pt>
                <c:pt idx="23">
                  <c:v>13</c:v>
                </c:pt>
                <c:pt idx="24">
                  <c:v>16</c:v>
                </c:pt>
                <c:pt idx="25">
                  <c:v>16</c:v>
                </c:pt>
                <c:pt idx="26">
                  <c:v>16</c:v>
                </c:pt>
                <c:pt idx="27">
                  <c:v>14</c:v>
                </c:pt>
                <c:pt idx="28">
                  <c:v>14</c:v>
                </c:pt>
                <c:pt idx="29">
                  <c:v>16</c:v>
                </c:pt>
                <c:pt idx="30">
                  <c:v>15</c:v>
                </c:pt>
                <c:pt idx="31">
                  <c:v>13</c:v>
                </c:pt>
                <c:pt idx="32">
                  <c:v>15</c:v>
                </c:pt>
                <c:pt idx="33">
                  <c:v>12</c:v>
                </c:pt>
                <c:pt idx="34">
                  <c:v>16</c:v>
                </c:pt>
                <c:pt idx="35">
                  <c:v>12</c:v>
                </c:pt>
                <c:pt idx="36">
                  <c:v>12</c:v>
                </c:pt>
                <c:pt idx="37">
                  <c:v>16</c:v>
                </c:pt>
                <c:pt idx="38">
                  <c:v>15</c:v>
                </c:pt>
                <c:pt idx="39">
                  <c:v>14</c:v>
                </c:pt>
                <c:pt idx="40">
                  <c:v>16</c:v>
                </c:pt>
                <c:pt idx="41">
                  <c:v>12</c:v>
                </c:pt>
                <c:pt idx="42">
                  <c:v>12</c:v>
                </c:pt>
                <c:pt idx="43">
                  <c:v>14</c:v>
                </c:pt>
                <c:pt idx="44">
                  <c:v>13</c:v>
                </c:pt>
                <c:pt idx="45">
                  <c:v>15</c:v>
                </c:pt>
                <c:pt idx="46">
                  <c:v>12</c:v>
                </c:pt>
                <c:pt idx="47">
                  <c:v>14</c:v>
                </c:pt>
                <c:pt idx="48">
                  <c:v>13</c:v>
                </c:pt>
                <c:pt idx="49">
                  <c:v>16</c:v>
                </c:pt>
                <c:pt idx="50">
                  <c:v>13</c:v>
                </c:pt>
                <c:pt idx="51">
                  <c:v>12</c:v>
                </c:pt>
                <c:pt idx="52">
                  <c:v>15</c:v>
                </c:pt>
                <c:pt idx="53">
                  <c:v>14</c:v>
                </c:pt>
                <c:pt idx="54">
                  <c:v>16</c:v>
                </c:pt>
                <c:pt idx="55">
                  <c:v>15</c:v>
                </c:pt>
                <c:pt idx="56">
                  <c:v>14</c:v>
                </c:pt>
                <c:pt idx="57">
                  <c:v>14</c:v>
                </c:pt>
                <c:pt idx="58">
                  <c:v>15</c:v>
                </c:pt>
                <c:pt idx="59">
                  <c:v>14</c:v>
                </c:pt>
                <c:pt idx="60">
                  <c:v>12</c:v>
                </c:pt>
                <c:pt idx="61">
                  <c:v>14</c:v>
                </c:pt>
                <c:pt idx="62">
                  <c:v>14</c:v>
                </c:pt>
                <c:pt idx="63">
                  <c:v>12</c:v>
                </c:pt>
                <c:pt idx="64">
                  <c:v>15</c:v>
                </c:pt>
                <c:pt idx="65">
                  <c:v>12</c:v>
                </c:pt>
                <c:pt idx="66">
                  <c:v>14</c:v>
                </c:pt>
                <c:pt idx="67">
                  <c:v>13</c:v>
                </c:pt>
                <c:pt idx="68">
                  <c:v>16</c:v>
                </c:pt>
                <c:pt idx="69">
                  <c:v>14</c:v>
                </c:pt>
                <c:pt idx="70">
                  <c:v>15</c:v>
                </c:pt>
                <c:pt idx="71">
                  <c:v>15</c:v>
                </c:pt>
                <c:pt idx="72">
                  <c:v>15</c:v>
                </c:pt>
                <c:pt idx="73">
                  <c:v>14</c:v>
                </c:pt>
                <c:pt idx="74">
                  <c:v>12</c:v>
                </c:pt>
                <c:pt idx="75">
                  <c:v>15</c:v>
                </c:pt>
                <c:pt idx="76">
                  <c:v>16</c:v>
                </c:pt>
                <c:pt idx="77">
                  <c:v>15</c:v>
                </c:pt>
                <c:pt idx="78">
                  <c:v>12</c:v>
                </c:pt>
                <c:pt idx="79">
                  <c:v>12</c:v>
                </c:pt>
                <c:pt idx="80">
                  <c:v>15</c:v>
                </c:pt>
                <c:pt idx="81">
                  <c:v>13</c:v>
                </c:pt>
                <c:pt idx="82">
                  <c:v>12</c:v>
                </c:pt>
                <c:pt idx="83">
                  <c:v>15</c:v>
                </c:pt>
                <c:pt idx="84">
                  <c:v>13</c:v>
                </c:pt>
                <c:pt idx="85">
                  <c:v>13</c:v>
                </c:pt>
                <c:pt idx="86">
                  <c:v>14</c:v>
                </c:pt>
                <c:pt idx="87">
                  <c:v>16</c:v>
                </c:pt>
                <c:pt idx="88">
                  <c:v>14</c:v>
                </c:pt>
                <c:pt idx="89">
                  <c:v>14</c:v>
                </c:pt>
                <c:pt idx="90">
                  <c:v>15</c:v>
                </c:pt>
                <c:pt idx="91">
                  <c:v>14</c:v>
                </c:pt>
                <c:pt idx="92">
                  <c:v>12</c:v>
                </c:pt>
                <c:pt idx="93">
                  <c:v>12</c:v>
                </c:pt>
                <c:pt idx="94">
                  <c:v>12</c:v>
                </c:pt>
                <c:pt idx="95">
                  <c:v>12</c:v>
                </c:pt>
                <c:pt idx="96">
                  <c:v>12</c:v>
                </c:pt>
                <c:pt idx="97">
                  <c:v>14</c:v>
                </c:pt>
                <c:pt idx="98">
                  <c:v>15</c:v>
                </c:pt>
                <c:pt idx="99">
                  <c:v>12</c:v>
                </c:pt>
              </c:numCache>
            </c:numRef>
          </c:xVal>
          <c:yVal>
            <c:numRef>
              <c:f>DGP!$T$2:$T$101</c:f>
              <c:numCache>
                <c:formatCode>_("$"* #,##0.00_);_("$"* \(#,##0.00\);_("$"* "-"??_);_(@_)</c:formatCode>
                <c:ptCount val="100"/>
                <c:pt idx="0">
                  <c:v>30.23</c:v>
                </c:pt>
                <c:pt idx="1">
                  <c:v>13.81</c:v>
                </c:pt>
                <c:pt idx="2">
                  <c:v>33.840000000000003</c:v>
                </c:pt>
                <c:pt idx="3">
                  <c:v>27.28</c:v>
                </c:pt>
                <c:pt idx="4">
                  <c:v>29.42</c:v>
                </c:pt>
                <c:pt idx="5">
                  <c:v>33.950000000000003</c:v>
                </c:pt>
                <c:pt idx="6">
                  <c:v>20.18</c:v>
                </c:pt>
                <c:pt idx="7">
                  <c:v>19.18</c:v>
                </c:pt>
                <c:pt idx="8">
                  <c:v>26.84</c:v>
                </c:pt>
                <c:pt idx="9">
                  <c:v>25.68</c:v>
                </c:pt>
                <c:pt idx="10">
                  <c:v>30.9</c:v>
                </c:pt>
                <c:pt idx="11">
                  <c:v>22.9</c:v>
                </c:pt>
                <c:pt idx="12">
                  <c:v>32.39</c:v>
                </c:pt>
                <c:pt idx="13">
                  <c:v>31.97</c:v>
                </c:pt>
                <c:pt idx="14">
                  <c:v>26.21</c:v>
                </c:pt>
                <c:pt idx="15">
                  <c:v>30.12</c:v>
                </c:pt>
                <c:pt idx="16">
                  <c:v>28.51</c:v>
                </c:pt>
                <c:pt idx="17">
                  <c:v>26.63</c:v>
                </c:pt>
                <c:pt idx="18">
                  <c:v>26.13</c:v>
                </c:pt>
                <c:pt idx="19">
                  <c:v>20.010000000000002</c:v>
                </c:pt>
                <c:pt idx="20">
                  <c:v>30.86</c:v>
                </c:pt>
                <c:pt idx="21">
                  <c:v>35.380000000000003</c:v>
                </c:pt>
                <c:pt idx="22">
                  <c:v>27.9</c:v>
                </c:pt>
                <c:pt idx="23">
                  <c:v>26.68</c:v>
                </c:pt>
                <c:pt idx="24">
                  <c:v>35.06</c:v>
                </c:pt>
                <c:pt idx="25">
                  <c:v>34.020000000000003</c:v>
                </c:pt>
                <c:pt idx="26">
                  <c:v>37.4</c:v>
                </c:pt>
                <c:pt idx="27">
                  <c:v>29.77</c:v>
                </c:pt>
                <c:pt idx="28">
                  <c:v>30.12</c:v>
                </c:pt>
                <c:pt idx="29">
                  <c:v>34.72</c:v>
                </c:pt>
                <c:pt idx="30">
                  <c:v>30.54</c:v>
                </c:pt>
                <c:pt idx="31">
                  <c:v>33.89</c:v>
                </c:pt>
                <c:pt idx="32">
                  <c:v>21.93</c:v>
                </c:pt>
                <c:pt idx="33">
                  <c:v>29.06</c:v>
                </c:pt>
                <c:pt idx="34">
                  <c:v>35.270000000000003</c:v>
                </c:pt>
                <c:pt idx="35">
                  <c:v>15.96</c:v>
                </c:pt>
                <c:pt idx="36">
                  <c:v>14.36</c:v>
                </c:pt>
                <c:pt idx="37">
                  <c:v>31.5</c:v>
                </c:pt>
                <c:pt idx="38">
                  <c:v>33.29</c:v>
                </c:pt>
                <c:pt idx="39">
                  <c:v>29.65</c:v>
                </c:pt>
                <c:pt idx="40">
                  <c:v>39.44</c:v>
                </c:pt>
                <c:pt idx="41">
                  <c:v>19.2</c:v>
                </c:pt>
                <c:pt idx="42">
                  <c:v>24.47</c:v>
                </c:pt>
                <c:pt idx="43">
                  <c:v>30.8</c:v>
                </c:pt>
                <c:pt idx="44">
                  <c:v>35.840000000000003</c:v>
                </c:pt>
                <c:pt idx="45">
                  <c:v>36.340000000000003</c:v>
                </c:pt>
                <c:pt idx="46">
                  <c:v>27.64</c:v>
                </c:pt>
                <c:pt idx="47">
                  <c:v>37.92</c:v>
                </c:pt>
                <c:pt idx="48">
                  <c:v>22.88</c:v>
                </c:pt>
                <c:pt idx="49">
                  <c:v>31.11</c:v>
                </c:pt>
                <c:pt idx="50">
                  <c:v>31.63</c:v>
                </c:pt>
                <c:pt idx="51">
                  <c:v>20.89</c:v>
                </c:pt>
                <c:pt idx="52">
                  <c:v>35.49</c:v>
                </c:pt>
                <c:pt idx="53">
                  <c:v>26.68</c:v>
                </c:pt>
                <c:pt idx="54">
                  <c:v>30.77</c:v>
                </c:pt>
                <c:pt idx="55">
                  <c:v>34.799999999999997</c:v>
                </c:pt>
                <c:pt idx="56">
                  <c:v>22.7</c:v>
                </c:pt>
                <c:pt idx="57">
                  <c:v>21.23</c:v>
                </c:pt>
                <c:pt idx="58">
                  <c:v>32</c:v>
                </c:pt>
                <c:pt idx="59">
                  <c:v>26.21</c:v>
                </c:pt>
                <c:pt idx="60">
                  <c:v>24.07</c:v>
                </c:pt>
                <c:pt idx="61">
                  <c:v>24.87</c:v>
                </c:pt>
                <c:pt idx="62">
                  <c:v>38.99</c:v>
                </c:pt>
                <c:pt idx="63">
                  <c:v>28.99</c:v>
                </c:pt>
                <c:pt idx="64">
                  <c:v>33.43</c:v>
                </c:pt>
                <c:pt idx="65">
                  <c:v>23.45</c:v>
                </c:pt>
                <c:pt idx="66">
                  <c:v>32.770000000000003</c:v>
                </c:pt>
                <c:pt idx="67">
                  <c:v>22.04</c:v>
                </c:pt>
                <c:pt idx="68">
                  <c:v>33.200000000000003</c:v>
                </c:pt>
                <c:pt idx="69">
                  <c:v>30.52</c:v>
                </c:pt>
                <c:pt idx="70">
                  <c:v>34.840000000000003</c:v>
                </c:pt>
                <c:pt idx="71">
                  <c:v>38.08</c:v>
                </c:pt>
                <c:pt idx="72">
                  <c:v>39.299999999999997</c:v>
                </c:pt>
                <c:pt idx="73">
                  <c:v>29.21</c:v>
                </c:pt>
                <c:pt idx="74">
                  <c:v>19.09</c:v>
                </c:pt>
                <c:pt idx="75">
                  <c:v>30.14</c:v>
                </c:pt>
                <c:pt idx="76">
                  <c:v>27.54</c:v>
                </c:pt>
                <c:pt idx="77">
                  <c:v>31.4</c:v>
                </c:pt>
                <c:pt idx="78">
                  <c:v>22.8</c:v>
                </c:pt>
                <c:pt idx="79">
                  <c:v>27.61</c:v>
                </c:pt>
                <c:pt idx="80">
                  <c:v>29.18</c:v>
                </c:pt>
                <c:pt idx="81">
                  <c:v>24.21</c:v>
                </c:pt>
                <c:pt idx="82">
                  <c:v>24.14</c:v>
                </c:pt>
                <c:pt idx="83">
                  <c:v>35.21</c:v>
                </c:pt>
                <c:pt idx="84">
                  <c:v>23.19</c:v>
                </c:pt>
                <c:pt idx="85">
                  <c:v>27.64</c:v>
                </c:pt>
                <c:pt idx="86">
                  <c:v>19.690000000000001</c:v>
                </c:pt>
                <c:pt idx="87">
                  <c:v>20.260000000000002</c:v>
                </c:pt>
                <c:pt idx="88">
                  <c:v>29.22</c:v>
                </c:pt>
                <c:pt idx="89">
                  <c:v>26.83</c:v>
                </c:pt>
                <c:pt idx="90">
                  <c:v>31.81</c:v>
                </c:pt>
                <c:pt idx="91">
                  <c:v>30.5</c:v>
                </c:pt>
                <c:pt idx="92">
                  <c:v>21.44</c:v>
                </c:pt>
                <c:pt idx="93">
                  <c:v>25.53</c:v>
                </c:pt>
                <c:pt idx="94">
                  <c:v>25.14</c:v>
                </c:pt>
                <c:pt idx="95">
                  <c:v>13.81</c:v>
                </c:pt>
                <c:pt idx="96">
                  <c:v>7.97</c:v>
                </c:pt>
                <c:pt idx="97">
                  <c:v>27.15</c:v>
                </c:pt>
                <c:pt idx="98">
                  <c:v>34.26</c:v>
                </c:pt>
                <c:pt idx="99">
                  <c:v>27.35</c:v>
                </c:pt>
              </c:numCache>
            </c:numRef>
          </c:yVal>
          <c:bubbleSize>
            <c:numRef>
              <c:f>DGP!$U$2:$U$101</c:f>
              <c:numCache>
                <c:formatCode>General</c:formatCode>
                <c:ptCount val="100"/>
                <c:pt idx="0">
                  <c:v>10.503335278386448</c:v>
                </c:pt>
                <c:pt idx="1">
                  <c:v>10.503335278386448</c:v>
                </c:pt>
                <c:pt idx="2">
                  <c:v>10.503335278386448</c:v>
                </c:pt>
                <c:pt idx="3">
                  <c:v>10.503335278386448</c:v>
                </c:pt>
                <c:pt idx="4">
                  <c:v>10.503335278386448</c:v>
                </c:pt>
                <c:pt idx="5">
                  <c:v>10.503335278386448</c:v>
                </c:pt>
                <c:pt idx="6">
                  <c:v>10.503335278386448</c:v>
                </c:pt>
                <c:pt idx="7">
                  <c:v>10.503335278386448</c:v>
                </c:pt>
                <c:pt idx="8">
                  <c:v>10.503335278386448</c:v>
                </c:pt>
                <c:pt idx="9">
                  <c:v>10.503335278386448</c:v>
                </c:pt>
                <c:pt idx="10">
                  <c:v>10.503335278386448</c:v>
                </c:pt>
                <c:pt idx="11">
                  <c:v>10.503335278386448</c:v>
                </c:pt>
                <c:pt idx="12">
                  <c:v>10.503335278386448</c:v>
                </c:pt>
                <c:pt idx="13">
                  <c:v>10.503335278386448</c:v>
                </c:pt>
                <c:pt idx="14">
                  <c:v>10.503335278386448</c:v>
                </c:pt>
                <c:pt idx="15">
                  <c:v>10.503335278386448</c:v>
                </c:pt>
                <c:pt idx="16">
                  <c:v>10.503335278386448</c:v>
                </c:pt>
                <c:pt idx="17">
                  <c:v>10.503335278386448</c:v>
                </c:pt>
                <c:pt idx="18">
                  <c:v>10.503335278386448</c:v>
                </c:pt>
                <c:pt idx="19">
                  <c:v>10.503335278386448</c:v>
                </c:pt>
                <c:pt idx="20">
                  <c:v>10.503335278386448</c:v>
                </c:pt>
                <c:pt idx="21">
                  <c:v>10.503335278386448</c:v>
                </c:pt>
                <c:pt idx="22">
                  <c:v>10.503335278386448</c:v>
                </c:pt>
                <c:pt idx="23">
                  <c:v>10.503335278386448</c:v>
                </c:pt>
                <c:pt idx="24">
                  <c:v>10.503335278386448</c:v>
                </c:pt>
                <c:pt idx="25">
                  <c:v>10.503335278386448</c:v>
                </c:pt>
                <c:pt idx="26">
                  <c:v>10.503335278386448</c:v>
                </c:pt>
                <c:pt idx="27">
                  <c:v>10.503335278386448</c:v>
                </c:pt>
                <c:pt idx="28">
                  <c:v>10.503335278386448</c:v>
                </c:pt>
                <c:pt idx="29">
                  <c:v>10.503335278386448</c:v>
                </c:pt>
                <c:pt idx="30">
                  <c:v>10.503335278386448</c:v>
                </c:pt>
                <c:pt idx="31">
                  <c:v>10.503335278386448</c:v>
                </c:pt>
                <c:pt idx="32">
                  <c:v>10.503335278386448</c:v>
                </c:pt>
                <c:pt idx="33">
                  <c:v>10.503335278386448</c:v>
                </c:pt>
                <c:pt idx="34">
                  <c:v>10.503335278386448</c:v>
                </c:pt>
                <c:pt idx="35">
                  <c:v>10.503335278386448</c:v>
                </c:pt>
                <c:pt idx="36">
                  <c:v>10.503335278386448</c:v>
                </c:pt>
                <c:pt idx="37">
                  <c:v>10.503335278386448</c:v>
                </c:pt>
                <c:pt idx="38">
                  <c:v>10.503335278386448</c:v>
                </c:pt>
                <c:pt idx="39">
                  <c:v>10.503335278386448</c:v>
                </c:pt>
                <c:pt idx="40">
                  <c:v>10.503335278386448</c:v>
                </c:pt>
                <c:pt idx="41">
                  <c:v>10.503335278386448</c:v>
                </c:pt>
                <c:pt idx="42">
                  <c:v>10.503335278386448</c:v>
                </c:pt>
                <c:pt idx="43">
                  <c:v>10.503335278386448</c:v>
                </c:pt>
                <c:pt idx="44">
                  <c:v>10.503335278386448</c:v>
                </c:pt>
                <c:pt idx="45">
                  <c:v>10.503335278386448</c:v>
                </c:pt>
                <c:pt idx="46">
                  <c:v>10.503335278386448</c:v>
                </c:pt>
                <c:pt idx="47">
                  <c:v>10.503335278386448</c:v>
                </c:pt>
                <c:pt idx="48">
                  <c:v>10.503335278386448</c:v>
                </c:pt>
                <c:pt idx="49">
                  <c:v>10.503335278386448</c:v>
                </c:pt>
                <c:pt idx="50">
                  <c:v>10.503335278386448</c:v>
                </c:pt>
                <c:pt idx="51">
                  <c:v>10.503335278386448</c:v>
                </c:pt>
                <c:pt idx="52">
                  <c:v>10.503335278386448</c:v>
                </c:pt>
                <c:pt idx="53">
                  <c:v>10.503335278386448</c:v>
                </c:pt>
                <c:pt idx="54">
                  <c:v>10.503335278386448</c:v>
                </c:pt>
                <c:pt idx="55">
                  <c:v>10.503335278386448</c:v>
                </c:pt>
                <c:pt idx="56">
                  <c:v>10.503335278386448</c:v>
                </c:pt>
                <c:pt idx="57">
                  <c:v>10.503335278386448</c:v>
                </c:pt>
                <c:pt idx="58">
                  <c:v>10.503335278386448</c:v>
                </c:pt>
                <c:pt idx="59">
                  <c:v>10.503335278386448</c:v>
                </c:pt>
                <c:pt idx="60">
                  <c:v>10.503335278386448</c:v>
                </c:pt>
                <c:pt idx="61">
                  <c:v>10.503335278386448</c:v>
                </c:pt>
                <c:pt idx="62">
                  <c:v>10.503335278386448</c:v>
                </c:pt>
                <c:pt idx="63">
                  <c:v>10.503335278386448</c:v>
                </c:pt>
                <c:pt idx="64">
                  <c:v>10.503335278386448</c:v>
                </c:pt>
                <c:pt idx="65">
                  <c:v>10.503335278386448</c:v>
                </c:pt>
                <c:pt idx="66">
                  <c:v>10.503335278386448</c:v>
                </c:pt>
                <c:pt idx="67">
                  <c:v>10.503335278386448</c:v>
                </c:pt>
                <c:pt idx="68">
                  <c:v>10.503335278386448</c:v>
                </c:pt>
                <c:pt idx="69">
                  <c:v>10.503335278386448</c:v>
                </c:pt>
                <c:pt idx="70">
                  <c:v>10.503335278386448</c:v>
                </c:pt>
                <c:pt idx="71">
                  <c:v>10.503335278386448</c:v>
                </c:pt>
                <c:pt idx="72">
                  <c:v>10.503335278386448</c:v>
                </c:pt>
                <c:pt idx="73">
                  <c:v>10.503335278386448</c:v>
                </c:pt>
                <c:pt idx="74">
                  <c:v>10.503335278386448</c:v>
                </c:pt>
                <c:pt idx="75">
                  <c:v>10.503335278386448</c:v>
                </c:pt>
                <c:pt idx="76">
                  <c:v>10.503335278386448</c:v>
                </c:pt>
                <c:pt idx="77">
                  <c:v>10.503335278386448</c:v>
                </c:pt>
                <c:pt idx="78">
                  <c:v>10.503335278386448</c:v>
                </c:pt>
                <c:pt idx="79">
                  <c:v>10.503335278386448</c:v>
                </c:pt>
                <c:pt idx="80">
                  <c:v>10.503335278386448</c:v>
                </c:pt>
                <c:pt idx="81">
                  <c:v>10.503335278386448</c:v>
                </c:pt>
                <c:pt idx="82">
                  <c:v>10.503335278386448</c:v>
                </c:pt>
                <c:pt idx="83">
                  <c:v>10.503335278386448</c:v>
                </c:pt>
                <c:pt idx="84">
                  <c:v>10.503335278386448</c:v>
                </c:pt>
                <c:pt idx="85">
                  <c:v>10.503335278386448</c:v>
                </c:pt>
                <c:pt idx="86">
                  <c:v>10.503335278386448</c:v>
                </c:pt>
                <c:pt idx="87">
                  <c:v>10.503335278386448</c:v>
                </c:pt>
                <c:pt idx="88">
                  <c:v>10.503335278386448</c:v>
                </c:pt>
                <c:pt idx="89">
                  <c:v>10.503335278386448</c:v>
                </c:pt>
                <c:pt idx="90">
                  <c:v>10.503335278386448</c:v>
                </c:pt>
                <c:pt idx="91">
                  <c:v>10.503335278386448</c:v>
                </c:pt>
                <c:pt idx="92">
                  <c:v>10.503335278386448</c:v>
                </c:pt>
                <c:pt idx="93">
                  <c:v>10.503335278386448</c:v>
                </c:pt>
                <c:pt idx="94">
                  <c:v>10.503335278386448</c:v>
                </c:pt>
                <c:pt idx="95">
                  <c:v>10.503335278386448</c:v>
                </c:pt>
                <c:pt idx="96">
                  <c:v>10.503335278386448</c:v>
                </c:pt>
                <c:pt idx="97">
                  <c:v>10.503335278386448</c:v>
                </c:pt>
                <c:pt idx="98">
                  <c:v>10.503335278386448</c:v>
                </c:pt>
                <c:pt idx="99">
                  <c:v>10.503335278386448</c:v>
                </c:pt>
              </c:numCache>
            </c:numRef>
          </c:bubbleSize>
          <c:bubble3D val="0"/>
          <c:extLst>
            <c:ext xmlns:c16="http://schemas.microsoft.com/office/drawing/2014/chart" uri="{C3380CC4-5D6E-409C-BE32-E72D297353CC}">
              <c16:uniqueId val="{00000000-7CA4-4A3E-8AD1-AC1F175386FF}"/>
            </c:ext>
          </c:extLst>
        </c:ser>
        <c:ser>
          <c:idx val="1"/>
          <c:order val="1"/>
          <c:spPr>
            <a:solidFill>
              <a:srgbClr val="FF0000"/>
            </a:solidFill>
            <a:ln w="25400">
              <a:solidFill>
                <a:srgbClr val="FF0000"/>
              </a:solidFill>
            </a:ln>
          </c:spPr>
          <c:invertIfNegative val="0"/>
          <c:dLbls>
            <c:dLbl>
              <c:idx val="500"/>
              <c:layout>
                <c:manualLayout>
                  <c:x val="-1.0062893081761006E-2"/>
                  <c:y val="0"/>
                </c:manualLayout>
              </c:layout>
              <c:tx>
                <c:rich>
                  <a:bodyPr/>
                  <a:lstStyle/>
                  <a:p>
                    <a:pPr>
                      <a:defRPr>
                        <a:solidFill>
                          <a:srgbClr val="FF0000"/>
                        </a:solidFill>
                      </a:defRPr>
                    </a:pPr>
                    <a:r>
                      <a:rPr lang="en-US">
                        <a:solidFill>
                          <a:srgbClr val="FF0000"/>
                        </a:solidFill>
                      </a:rPr>
                      <a:t> pop</a:t>
                    </a:r>
                    <a:r>
                      <a:rPr lang="en-US" baseline="0">
                        <a:solidFill>
                          <a:srgbClr val="FF0000"/>
                        </a:solidFill>
                      </a:rPr>
                      <a:t> line</a:t>
                    </a:r>
                    <a:r>
                      <a:rPr lang="en-US">
                        <a:solidFill>
                          <a:srgbClr val="FF0000"/>
                        </a:solidFill>
                      </a:rPr>
                      <a:t> </a:t>
                    </a:r>
                    <a:endParaRPr lang="en-US"/>
                  </a:p>
                </c:rich>
              </c:tx>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CA4-4A3E-8AD1-AC1F175386FF}"/>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DGP!$BF$2:$BF$502</c:f>
              <c:numCache>
                <c:formatCode>General</c:formatCode>
                <c:ptCount val="501"/>
                <c:pt idx="0">
                  <c:v>11.5</c:v>
                </c:pt>
                <c:pt idx="1">
                  <c:v>11.51</c:v>
                </c:pt>
                <c:pt idx="2">
                  <c:v>11.52</c:v>
                </c:pt>
                <c:pt idx="3">
                  <c:v>11.53</c:v>
                </c:pt>
                <c:pt idx="4">
                  <c:v>11.54</c:v>
                </c:pt>
                <c:pt idx="5">
                  <c:v>11.55</c:v>
                </c:pt>
                <c:pt idx="6">
                  <c:v>11.56</c:v>
                </c:pt>
                <c:pt idx="7">
                  <c:v>11.57</c:v>
                </c:pt>
                <c:pt idx="8">
                  <c:v>11.58</c:v>
                </c:pt>
                <c:pt idx="9">
                  <c:v>11.59</c:v>
                </c:pt>
                <c:pt idx="10">
                  <c:v>11.6</c:v>
                </c:pt>
                <c:pt idx="11">
                  <c:v>11.61</c:v>
                </c:pt>
                <c:pt idx="12">
                  <c:v>11.62</c:v>
                </c:pt>
                <c:pt idx="13">
                  <c:v>11.63</c:v>
                </c:pt>
                <c:pt idx="14">
                  <c:v>11.64</c:v>
                </c:pt>
                <c:pt idx="15">
                  <c:v>11.65</c:v>
                </c:pt>
                <c:pt idx="16">
                  <c:v>11.66</c:v>
                </c:pt>
                <c:pt idx="17">
                  <c:v>11.67</c:v>
                </c:pt>
                <c:pt idx="18">
                  <c:v>11.68</c:v>
                </c:pt>
                <c:pt idx="19">
                  <c:v>11.69</c:v>
                </c:pt>
                <c:pt idx="20">
                  <c:v>11.7</c:v>
                </c:pt>
                <c:pt idx="21">
                  <c:v>11.71</c:v>
                </c:pt>
                <c:pt idx="22">
                  <c:v>11.72</c:v>
                </c:pt>
                <c:pt idx="23">
                  <c:v>11.73</c:v>
                </c:pt>
                <c:pt idx="24">
                  <c:v>11.74</c:v>
                </c:pt>
                <c:pt idx="25">
                  <c:v>11.75</c:v>
                </c:pt>
                <c:pt idx="26">
                  <c:v>11.76</c:v>
                </c:pt>
                <c:pt idx="27">
                  <c:v>11.77</c:v>
                </c:pt>
                <c:pt idx="28">
                  <c:v>11.78</c:v>
                </c:pt>
                <c:pt idx="29">
                  <c:v>11.79</c:v>
                </c:pt>
                <c:pt idx="30">
                  <c:v>11.8</c:v>
                </c:pt>
                <c:pt idx="31">
                  <c:v>11.81</c:v>
                </c:pt>
                <c:pt idx="32">
                  <c:v>11.82</c:v>
                </c:pt>
                <c:pt idx="33">
                  <c:v>11.83</c:v>
                </c:pt>
                <c:pt idx="34">
                  <c:v>11.84</c:v>
                </c:pt>
                <c:pt idx="35">
                  <c:v>11.85</c:v>
                </c:pt>
                <c:pt idx="36">
                  <c:v>11.86</c:v>
                </c:pt>
                <c:pt idx="37">
                  <c:v>11.87</c:v>
                </c:pt>
                <c:pt idx="38">
                  <c:v>11.88</c:v>
                </c:pt>
                <c:pt idx="39">
                  <c:v>11.89</c:v>
                </c:pt>
                <c:pt idx="40">
                  <c:v>11.9</c:v>
                </c:pt>
                <c:pt idx="41">
                  <c:v>11.91</c:v>
                </c:pt>
                <c:pt idx="42">
                  <c:v>11.92</c:v>
                </c:pt>
                <c:pt idx="43">
                  <c:v>11.93</c:v>
                </c:pt>
                <c:pt idx="44">
                  <c:v>11.94</c:v>
                </c:pt>
                <c:pt idx="45">
                  <c:v>11.95</c:v>
                </c:pt>
                <c:pt idx="46">
                  <c:v>11.96</c:v>
                </c:pt>
                <c:pt idx="47">
                  <c:v>11.97</c:v>
                </c:pt>
                <c:pt idx="48">
                  <c:v>11.98</c:v>
                </c:pt>
                <c:pt idx="49">
                  <c:v>11.99</c:v>
                </c:pt>
                <c:pt idx="50">
                  <c:v>12</c:v>
                </c:pt>
                <c:pt idx="51">
                  <c:v>12.01</c:v>
                </c:pt>
                <c:pt idx="52">
                  <c:v>12.02</c:v>
                </c:pt>
                <c:pt idx="53">
                  <c:v>12.03</c:v>
                </c:pt>
                <c:pt idx="54">
                  <c:v>12.04</c:v>
                </c:pt>
                <c:pt idx="55">
                  <c:v>12.05</c:v>
                </c:pt>
                <c:pt idx="56">
                  <c:v>12.06</c:v>
                </c:pt>
                <c:pt idx="57">
                  <c:v>12.07</c:v>
                </c:pt>
                <c:pt idx="58">
                  <c:v>12.08</c:v>
                </c:pt>
                <c:pt idx="59">
                  <c:v>12.09</c:v>
                </c:pt>
                <c:pt idx="60">
                  <c:v>12.1</c:v>
                </c:pt>
                <c:pt idx="61">
                  <c:v>12.11</c:v>
                </c:pt>
                <c:pt idx="62">
                  <c:v>12.12</c:v>
                </c:pt>
                <c:pt idx="63">
                  <c:v>12.13</c:v>
                </c:pt>
                <c:pt idx="64">
                  <c:v>12.14</c:v>
                </c:pt>
                <c:pt idx="65">
                  <c:v>12.15</c:v>
                </c:pt>
                <c:pt idx="66">
                  <c:v>12.16</c:v>
                </c:pt>
                <c:pt idx="67">
                  <c:v>12.17</c:v>
                </c:pt>
                <c:pt idx="68">
                  <c:v>12.18</c:v>
                </c:pt>
                <c:pt idx="69">
                  <c:v>12.19</c:v>
                </c:pt>
                <c:pt idx="70">
                  <c:v>12.2</c:v>
                </c:pt>
                <c:pt idx="71">
                  <c:v>12.21</c:v>
                </c:pt>
                <c:pt idx="72">
                  <c:v>12.22</c:v>
                </c:pt>
                <c:pt idx="73">
                  <c:v>12.23</c:v>
                </c:pt>
                <c:pt idx="74">
                  <c:v>12.24</c:v>
                </c:pt>
                <c:pt idx="75">
                  <c:v>12.25</c:v>
                </c:pt>
                <c:pt idx="76">
                  <c:v>12.26</c:v>
                </c:pt>
                <c:pt idx="77">
                  <c:v>12.27</c:v>
                </c:pt>
                <c:pt idx="78">
                  <c:v>12.28</c:v>
                </c:pt>
                <c:pt idx="79">
                  <c:v>12.29</c:v>
                </c:pt>
                <c:pt idx="80">
                  <c:v>12.3</c:v>
                </c:pt>
                <c:pt idx="81">
                  <c:v>12.31</c:v>
                </c:pt>
                <c:pt idx="82">
                  <c:v>12.32</c:v>
                </c:pt>
                <c:pt idx="83">
                  <c:v>12.33</c:v>
                </c:pt>
                <c:pt idx="84">
                  <c:v>12.34</c:v>
                </c:pt>
                <c:pt idx="85">
                  <c:v>12.35</c:v>
                </c:pt>
                <c:pt idx="86">
                  <c:v>12.36</c:v>
                </c:pt>
                <c:pt idx="87">
                  <c:v>12.37</c:v>
                </c:pt>
                <c:pt idx="88">
                  <c:v>12.38</c:v>
                </c:pt>
                <c:pt idx="89">
                  <c:v>12.39</c:v>
                </c:pt>
                <c:pt idx="90">
                  <c:v>12.4</c:v>
                </c:pt>
                <c:pt idx="91">
                  <c:v>12.41</c:v>
                </c:pt>
                <c:pt idx="92">
                  <c:v>12.42</c:v>
                </c:pt>
                <c:pt idx="93">
                  <c:v>12.43</c:v>
                </c:pt>
                <c:pt idx="94">
                  <c:v>12.44</c:v>
                </c:pt>
                <c:pt idx="95">
                  <c:v>12.45</c:v>
                </c:pt>
                <c:pt idx="96">
                  <c:v>12.46</c:v>
                </c:pt>
                <c:pt idx="97">
                  <c:v>12.47</c:v>
                </c:pt>
                <c:pt idx="98">
                  <c:v>12.48</c:v>
                </c:pt>
                <c:pt idx="99">
                  <c:v>12.49</c:v>
                </c:pt>
                <c:pt idx="100">
                  <c:v>12.5</c:v>
                </c:pt>
                <c:pt idx="101">
                  <c:v>12.51</c:v>
                </c:pt>
                <c:pt idx="102">
                  <c:v>12.52</c:v>
                </c:pt>
                <c:pt idx="103">
                  <c:v>12.53</c:v>
                </c:pt>
                <c:pt idx="104">
                  <c:v>12.54</c:v>
                </c:pt>
                <c:pt idx="105">
                  <c:v>12.55</c:v>
                </c:pt>
                <c:pt idx="106">
                  <c:v>12.56</c:v>
                </c:pt>
                <c:pt idx="107">
                  <c:v>12.57</c:v>
                </c:pt>
                <c:pt idx="108">
                  <c:v>12.58</c:v>
                </c:pt>
                <c:pt idx="109">
                  <c:v>12.59</c:v>
                </c:pt>
                <c:pt idx="110">
                  <c:v>12.6</c:v>
                </c:pt>
                <c:pt idx="111">
                  <c:v>12.61</c:v>
                </c:pt>
                <c:pt idx="112">
                  <c:v>12.62</c:v>
                </c:pt>
                <c:pt idx="113">
                  <c:v>12.63</c:v>
                </c:pt>
                <c:pt idx="114">
                  <c:v>12.64</c:v>
                </c:pt>
                <c:pt idx="115">
                  <c:v>12.65</c:v>
                </c:pt>
                <c:pt idx="116">
                  <c:v>12.66</c:v>
                </c:pt>
                <c:pt idx="117">
                  <c:v>12.67</c:v>
                </c:pt>
                <c:pt idx="118">
                  <c:v>12.68</c:v>
                </c:pt>
                <c:pt idx="119">
                  <c:v>12.69</c:v>
                </c:pt>
                <c:pt idx="120">
                  <c:v>12.7</c:v>
                </c:pt>
                <c:pt idx="121">
                  <c:v>12.71</c:v>
                </c:pt>
                <c:pt idx="122">
                  <c:v>12.72</c:v>
                </c:pt>
                <c:pt idx="123">
                  <c:v>12.73</c:v>
                </c:pt>
                <c:pt idx="124">
                  <c:v>12.74</c:v>
                </c:pt>
                <c:pt idx="125">
                  <c:v>12.75</c:v>
                </c:pt>
                <c:pt idx="126">
                  <c:v>12.76</c:v>
                </c:pt>
                <c:pt idx="127">
                  <c:v>12.77</c:v>
                </c:pt>
                <c:pt idx="128">
                  <c:v>12.78</c:v>
                </c:pt>
                <c:pt idx="129">
                  <c:v>12.79</c:v>
                </c:pt>
                <c:pt idx="130">
                  <c:v>12.8</c:v>
                </c:pt>
                <c:pt idx="131">
                  <c:v>12.81</c:v>
                </c:pt>
                <c:pt idx="132">
                  <c:v>12.82</c:v>
                </c:pt>
                <c:pt idx="133">
                  <c:v>12.83</c:v>
                </c:pt>
                <c:pt idx="134">
                  <c:v>12.84</c:v>
                </c:pt>
                <c:pt idx="135">
                  <c:v>12.85</c:v>
                </c:pt>
                <c:pt idx="136">
                  <c:v>12.86</c:v>
                </c:pt>
                <c:pt idx="137">
                  <c:v>12.87</c:v>
                </c:pt>
                <c:pt idx="138">
                  <c:v>12.88</c:v>
                </c:pt>
                <c:pt idx="139">
                  <c:v>12.89</c:v>
                </c:pt>
                <c:pt idx="140">
                  <c:v>12.9</c:v>
                </c:pt>
                <c:pt idx="141">
                  <c:v>12.91</c:v>
                </c:pt>
                <c:pt idx="142">
                  <c:v>12.92</c:v>
                </c:pt>
                <c:pt idx="143">
                  <c:v>12.93</c:v>
                </c:pt>
                <c:pt idx="144">
                  <c:v>12.94</c:v>
                </c:pt>
                <c:pt idx="145">
                  <c:v>12.95</c:v>
                </c:pt>
                <c:pt idx="146">
                  <c:v>12.96</c:v>
                </c:pt>
                <c:pt idx="147">
                  <c:v>12.97</c:v>
                </c:pt>
                <c:pt idx="148">
                  <c:v>12.98</c:v>
                </c:pt>
                <c:pt idx="149">
                  <c:v>12.99</c:v>
                </c:pt>
                <c:pt idx="150">
                  <c:v>13</c:v>
                </c:pt>
                <c:pt idx="151">
                  <c:v>13.01</c:v>
                </c:pt>
                <c:pt idx="152">
                  <c:v>13.02</c:v>
                </c:pt>
                <c:pt idx="153">
                  <c:v>13.03</c:v>
                </c:pt>
                <c:pt idx="154">
                  <c:v>13.04</c:v>
                </c:pt>
                <c:pt idx="155">
                  <c:v>13.05</c:v>
                </c:pt>
                <c:pt idx="156">
                  <c:v>13.06</c:v>
                </c:pt>
                <c:pt idx="157">
                  <c:v>13.07</c:v>
                </c:pt>
                <c:pt idx="158">
                  <c:v>13.08</c:v>
                </c:pt>
                <c:pt idx="159">
                  <c:v>13.09</c:v>
                </c:pt>
                <c:pt idx="160">
                  <c:v>13.1</c:v>
                </c:pt>
                <c:pt idx="161">
                  <c:v>13.11</c:v>
                </c:pt>
                <c:pt idx="162">
                  <c:v>13.12</c:v>
                </c:pt>
                <c:pt idx="163">
                  <c:v>13.13</c:v>
                </c:pt>
                <c:pt idx="164">
                  <c:v>13.14</c:v>
                </c:pt>
                <c:pt idx="165">
                  <c:v>13.15</c:v>
                </c:pt>
                <c:pt idx="166">
                  <c:v>13.16</c:v>
                </c:pt>
                <c:pt idx="167">
                  <c:v>13.17</c:v>
                </c:pt>
                <c:pt idx="168">
                  <c:v>13.18</c:v>
                </c:pt>
                <c:pt idx="169">
                  <c:v>13.19</c:v>
                </c:pt>
                <c:pt idx="170">
                  <c:v>13.2</c:v>
                </c:pt>
                <c:pt idx="171">
                  <c:v>13.21</c:v>
                </c:pt>
                <c:pt idx="172">
                  <c:v>13.22</c:v>
                </c:pt>
                <c:pt idx="173">
                  <c:v>13.23</c:v>
                </c:pt>
                <c:pt idx="174">
                  <c:v>13.24</c:v>
                </c:pt>
                <c:pt idx="175">
                  <c:v>13.25</c:v>
                </c:pt>
                <c:pt idx="176">
                  <c:v>13.26</c:v>
                </c:pt>
                <c:pt idx="177">
                  <c:v>13.27</c:v>
                </c:pt>
                <c:pt idx="178">
                  <c:v>13.28</c:v>
                </c:pt>
                <c:pt idx="179">
                  <c:v>13.29</c:v>
                </c:pt>
                <c:pt idx="180">
                  <c:v>13.3</c:v>
                </c:pt>
                <c:pt idx="181">
                  <c:v>13.31</c:v>
                </c:pt>
                <c:pt idx="182">
                  <c:v>13.32</c:v>
                </c:pt>
                <c:pt idx="183">
                  <c:v>13.33</c:v>
                </c:pt>
                <c:pt idx="184">
                  <c:v>13.34</c:v>
                </c:pt>
                <c:pt idx="185">
                  <c:v>13.35</c:v>
                </c:pt>
                <c:pt idx="186">
                  <c:v>13.36</c:v>
                </c:pt>
                <c:pt idx="187">
                  <c:v>13.37</c:v>
                </c:pt>
                <c:pt idx="188">
                  <c:v>13.38</c:v>
                </c:pt>
                <c:pt idx="189">
                  <c:v>13.39</c:v>
                </c:pt>
                <c:pt idx="190">
                  <c:v>13.4</c:v>
                </c:pt>
                <c:pt idx="191">
                  <c:v>13.41</c:v>
                </c:pt>
                <c:pt idx="192">
                  <c:v>13.42</c:v>
                </c:pt>
                <c:pt idx="193">
                  <c:v>13.43</c:v>
                </c:pt>
                <c:pt idx="194">
                  <c:v>13.44</c:v>
                </c:pt>
                <c:pt idx="195">
                  <c:v>13.45</c:v>
                </c:pt>
                <c:pt idx="196">
                  <c:v>13.46</c:v>
                </c:pt>
                <c:pt idx="197">
                  <c:v>13.47</c:v>
                </c:pt>
                <c:pt idx="198">
                  <c:v>13.48</c:v>
                </c:pt>
                <c:pt idx="199">
                  <c:v>13.49</c:v>
                </c:pt>
                <c:pt idx="200">
                  <c:v>13.5</c:v>
                </c:pt>
                <c:pt idx="201">
                  <c:v>13.51</c:v>
                </c:pt>
                <c:pt idx="202">
                  <c:v>13.52</c:v>
                </c:pt>
                <c:pt idx="203">
                  <c:v>13.53</c:v>
                </c:pt>
                <c:pt idx="204">
                  <c:v>13.54</c:v>
                </c:pt>
                <c:pt idx="205">
                  <c:v>13.55</c:v>
                </c:pt>
                <c:pt idx="206">
                  <c:v>13.56</c:v>
                </c:pt>
                <c:pt idx="207">
                  <c:v>13.57</c:v>
                </c:pt>
                <c:pt idx="208">
                  <c:v>13.58</c:v>
                </c:pt>
                <c:pt idx="209">
                  <c:v>13.59</c:v>
                </c:pt>
                <c:pt idx="210">
                  <c:v>13.6</c:v>
                </c:pt>
                <c:pt idx="211">
                  <c:v>13.61</c:v>
                </c:pt>
                <c:pt idx="212">
                  <c:v>13.62</c:v>
                </c:pt>
                <c:pt idx="213">
                  <c:v>13.63</c:v>
                </c:pt>
                <c:pt idx="214">
                  <c:v>13.64</c:v>
                </c:pt>
                <c:pt idx="215">
                  <c:v>13.65</c:v>
                </c:pt>
                <c:pt idx="216">
                  <c:v>13.66</c:v>
                </c:pt>
                <c:pt idx="217">
                  <c:v>13.67</c:v>
                </c:pt>
                <c:pt idx="218">
                  <c:v>13.68</c:v>
                </c:pt>
                <c:pt idx="219">
                  <c:v>13.69</c:v>
                </c:pt>
                <c:pt idx="220">
                  <c:v>13.7</c:v>
                </c:pt>
                <c:pt idx="221">
                  <c:v>13.71</c:v>
                </c:pt>
                <c:pt idx="222">
                  <c:v>13.72</c:v>
                </c:pt>
                <c:pt idx="223">
                  <c:v>13.73</c:v>
                </c:pt>
                <c:pt idx="224">
                  <c:v>13.74</c:v>
                </c:pt>
                <c:pt idx="225">
                  <c:v>13.75</c:v>
                </c:pt>
                <c:pt idx="226">
                  <c:v>13.76</c:v>
                </c:pt>
                <c:pt idx="227">
                  <c:v>13.77</c:v>
                </c:pt>
                <c:pt idx="228">
                  <c:v>13.78</c:v>
                </c:pt>
                <c:pt idx="229">
                  <c:v>13.79</c:v>
                </c:pt>
                <c:pt idx="230">
                  <c:v>13.8</c:v>
                </c:pt>
                <c:pt idx="231">
                  <c:v>13.81</c:v>
                </c:pt>
                <c:pt idx="232">
                  <c:v>13.82</c:v>
                </c:pt>
                <c:pt idx="233">
                  <c:v>13.83</c:v>
                </c:pt>
                <c:pt idx="234">
                  <c:v>13.84</c:v>
                </c:pt>
                <c:pt idx="235">
                  <c:v>13.85</c:v>
                </c:pt>
                <c:pt idx="236">
                  <c:v>13.86</c:v>
                </c:pt>
                <c:pt idx="237">
                  <c:v>13.87</c:v>
                </c:pt>
                <c:pt idx="238">
                  <c:v>13.88</c:v>
                </c:pt>
                <c:pt idx="239">
                  <c:v>13.889999999999899</c:v>
                </c:pt>
                <c:pt idx="240">
                  <c:v>13.899999999999901</c:v>
                </c:pt>
                <c:pt idx="241">
                  <c:v>13.91</c:v>
                </c:pt>
                <c:pt idx="242">
                  <c:v>13.92</c:v>
                </c:pt>
                <c:pt idx="243">
                  <c:v>13.9299999999999</c:v>
                </c:pt>
                <c:pt idx="244">
                  <c:v>13.9399999999999</c:v>
                </c:pt>
                <c:pt idx="245">
                  <c:v>13.9499999999999</c:v>
                </c:pt>
                <c:pt idx="246">
                  <c:v>13.9599999999999</c:v>
                </c:pt>
                <c:pt idx="247">
                  <c:v>13.969999999999899</c:v>
                </c:pt>
                <c:pt idx="248">
                  <c:v>13.979999999999899</c:v>
                </c:pt>
                <c:pt idx="249">
                  <c:v>13.989999999999901</c:v>
                </c:pt>
                <c:pt idx="250">
                  <c:v>14</c:v>
                </c:pt>
                <c:pt idx="251">
                  <c:v>14.01</c:v>
                </c:pt>
                <c:pt idx="252">
                  <c:v>14.0199999999999</c:v>
                </c:pt>
                <c:pt idx="253">
                  <c:v>14.0299999999999</c:v>
                </c:pt>
                <c:pt idx="254">
                  <c:v>14.0399999999999</c:v>
                </c:pt>
                <c:pt idx="255">
                  <c:v>14.049999999999899</c:v>
                </c:pt>
                <c:pt idx="256">
                  <c:v>14.059999999999899</c:v>
                </c:pt>
                <c:pt idx="257">
                  <c:v>14.07</c:v>
                </c:pt>
                <c:pt idx="258">
                  <c:v>14.079999999999901</c:v>
                </c:pt>
                <c:pt idx="259">
                  <c:v>14.09</c:v>
                </c:pt>
                <c:pt idx="260">
                  <c:v>14.0999999999999</c:v>
                </c:pt>
                <c:pt idx="261">
                  <c:v>14.1099999999999</c:v>
                </c:pt>
                <c:pt idx="262">
                  <c:v>14.1199999999999</c:v>
                </c:pt>
                <c:pt idx="263">
                  <c:v>14.1299999999999</c:v>
                </c:pt>
                <c:pt idx="264">
                  <c:v>14.139999999999899</c:v>
                </c:pt>
                <c:pt idx="265">
                  <c:v>14.149999999999901</c:v>
                </c:pt>
                <c:pt idx="266">
                  <c:v>14.16</c:v>
                </c:pt>
                <c:pt idx="267">
                  <c:v>14.17</c:v>
                </c:pt>
                <c:pt idx="268">
                  <c:v>14.1799999999999</c:v>
                </c:pt>
                <c:pt idx="269">
                  <c:v>14.1899999999999</c:v>
                </c:pt>
                <c:pt idx="270">
                  <c:v>14.1999999999999</c:v>
                </c:pt>
                <c:pt idx="271">
                  <c:v>14.2099999999999</c:v>
                </c:pt>
                <c:pt idx="272">
                  <c:v>14.219999999999899</c:v>
                </c:pt>
                <c:pt idx="273">
                  <c:v>14.229999999999899</c:v>
                </c:pt>
                <c:pt idx="274">
                  <c:v>14.239999999999901</c:v>
                </c:pt>
                <c:pt idx="275">
                  <c:v>14.25</c:v>
                </c:pt>
                <c:pt idx="276">
                  <c:v>14.26</c:v>
                </c:pt>
                <c:pt idx="277">
                  <c:v>14.2699999999999</c:v>
                </c:pt>
                <c:pt idx="278">
                  <c:v>14.2799999999999</c:v>
                </c:pt>
                <c:pt idx="279">
                  <c:v>14.2899999999999</c:v>
                </c:pt>
                <c:pt idx="280">
                  <c:v>14.299999999999899</c:v>
                </c:pt>
                <c:pt idx="281">
                  <c:v>14.309999999999899</c:v>
                </c:pt>
                <c:pt idx="282">
                  <c:v>14.32</c:v>
                </c:pt>
                <c:pt idx="283">
                  <c:v>14.329999999999901</c:v>
                </c:pt>
                <c:pt idx="284">
                  <c:v>14.34</c:v>
                </c:pt>
                <c:pt idx="285">
                  <c:v>14.3499999999999</c:v>
                </c:pt>
                <c:pt idx="286">
                  <c:v>14.3599999999999</c:v>
                </c:pt>
                <c:pt idx="287">
                  <c:v>14.3699999999999</c:v>
                </c:pt>
                <c:pt idx="288">
                  <c:v>14.3799999999999</c:v>
                </c:pt>
                <c:pt idx="289">
                  <c:v>14.389999999999899</c:v>
                </c:pt>
                <c:pt idx="290">
                  <c:v>14.399999999999901</c:v>
                </c:pt>
                <c:pt idx="291">
                  <c:v>14.409999999999901</c:v>
                </c:pt>
                <c:pt idx="292">
                  <c:v>14.4199999999999</c:v>
                </c:pt>
                <c:pt idx="293">
                  <c:v>14.4299999999999</c:v>
                </c:pt>
                <c:pt idx="294">
                  <c:v>14.4399999999999</c:v>
                </c:pt>
                <c:pt idx="295">
                  <c:v>14.4499999999999</c:v>
                </c:pt>
                <c:pt idx="296">
                  <c:v>14.4599999999999</c:v>
                </c:pt>
                <c:pt idx="297">
                  <c:v>14.469999999999899</c:v>
                </c:pt>
                <c:pt idx="298">
                  <c:v>14.479999999999899</c:v>
                </c:pt>
                <c:pt idx="299">
                  <c:v>14.489999999999901</c:v>
                </c:pt>
                <c:pt idx="300">
                  <c:v>14.499999999999901</c:v>
                </c:pt>
                <c:pt idx="301">
                  <c:v>14.5099999999999</c:v>
                </c:pt>
                <c:pt idx="302">
                  <c:v>14.5199999999999</c:v>
                </c:pt>
                <c:pt idx="303">
                  <c:v>14.5299999999999</c:v>
                </c:pt>
                <c:pt idx="304">
                  <c:v>14.5399999999999</c:v>
                </c:pt>
                <c:pt idx="305">
                  <c:v>14.549999999999899</c:v>
                </c:pt>
                <c:pt idx="306">
                  <c:v>14.559999999999899</c:v>
                </c:pt>
                <c:pt idx="307">
                  <c:v>14.569999999999901</c:v>
                </c:pt>
                <c:pt idx="308">
                  <c:v>14.579999999999901</c:v>
                </c:pt>
                <c:pt idx="309">
                  <c:v>14.5899999999999</c:v>
                </c:pt>
                <c:pt idx="310">
                  <c:v>14.5999999999999</c:v>
                </c:pt>
                <c:pt idx="311">
                  <c:v>14.6099999999999</c:v>
                </c:pt>
                <c:pt idx="312">
                  <c:v>14.6199999999999</c:v>
                </c:pt>
                <c:pt idx="313">
                  <c:v>14.6299999999999</c:v>
                </c:pt>
                <c:pt idx="314">
                  <c:v>14.639999999999899</c:v>
                </c:pt>
                <c:pt idx="315">
                  <c:v>14.649999999999901</c:v>
                </c:pt>
                <c:pt idx="316">
                  <c:v>14.659999999999901</c:v>
                </c:pt>
                <c:pt idx="317">
                  <c:v>14.6699999999999</c:v>
                </c:pt>
                <c:pt idx="318">
                  <c:v>14.6799999999999</c:v>
                </c:pt>
                <c:pt idx="319">
                  <c:v>14.6899999999999</c:v>
                </c:pt>
                <c:pt idx="320">
                  <c:v>14.6999999999999</c:v>
                </c:pt>
                <c:pt idx="321">
                  <c:v>14.7099999999999</c:v>
                </c:pt>
                <c:pt idx="322">
                  <c:v>14.719999999999899</c:v>
                </c:pt>
                <c:pt idx="323">
                  <c:v>14.729999999999899</c:v>
                </c:pt>
                <c:pt idx="324">
                  <c:v>14.739999999999901</c:v>
                </c:pt>
                <c:pt idx="325">
                  <c:v>14.749999999999901</c:v>
                </c:pt>
                <c:pt idx="326">
                  <c:v>14.7599999999999</c:v>
                </c:pt>
                <c:pt idx="327">
                  <c:v>14.7699999999999</c:v>
                </c:pt>
                <c:pt idx="328">
                  <c:v>14.7799999999999</c:v>
                </c:pt>
                <c:pt idx="329">
                  <c:v>14.7899999999999</c:v>
                </c:pt>
                <c:pt idx="330">
                  <c:v>14.799999999999899</c:v>
                </c:pt>
                <c:pt idx="331">
                  <c:v>14.809999999999899</c:v>
                </c:pt>
                <c:pt idx="332">
                  <c:v>14.819999999999901</c:v>
                </c:pt>
                <c:pt idx="333">
                  <c:v>14.829999999999901</c:v>
                </c:pt>
                <c:pt idx="334">
                  <c:v>14.8399999999999</c:v>
                </c:pt>
                <c:pt idx="335">
                  <c:v>14.8499999999999</c:v>
                </c:pt>
                <c:pt idx="336">
                  <c:v>14.8599999999999</c:v>
                </c:pt>
                <c:pt idx="337">
                  <c:v>14.8699999999999</c:v>
                </c:pt>
                <c:pt idx="338">
                  <c:v>14.8799999999999</c:v>
                </c:pt>
                <c:pt idx="339">
                  <c:v>14.889999999999899</c:v>
                </c:pt>
                <c:pt idx="340">
                  <c:v>14.899999999999901</c:v>
                </c:pt>
                <c:pt idx="341">
                  <c:v>14.909999999999901</c:v>
                </c:pt>
                <c:pt idx="342">
                  <c:v>14.9199999999999</c:v>
                </c:pt>
                <c:pt idx="343">
                  <c:v>14.9299999999999</c:v>
                </c:pt>
                <c:pt idx="344">
                  <c:v>14.9399999999999</c:v>
                </c:pt>
                <c:pt idx="345">
                  <c:v>14.9499999999999</c:v>
                </c:pt>
                <c:pt idx="346">
                  <c:v>14.9599999999999</c:v>
                </c:pt>
                <c:pt idx="347">
                  <c:v>14.969999999999899</c:v>
                </c:pt>
                <c:pt idx="348">
                  <c:v>14.979999999999899</c:v>
                </c:pt>
                <c:pt idx="349">
                  <c:v>14.989999999999901</c:v>
                </c:pt>
                <c:pt idx="350">
                  <c:v>14.999999999999901</c:v>
                </c:pt>
                <c:pt idx="351">
                  <c:v>15.0099999999999</c:v>
                </c:pt>
                <c:pt idx="352">
                  <c:v>15.0199999999999</c:v>
                </c:pt>
                <c:pt idx="353">
                  <c:v>15.0299999999999</c:v>
                </c:pt>
                <c:pt idx="354">
                  <c:v>15.0399999999999</c:v>
                </c:pt>
                <c:pt idx="355">
                  <c:v>15.049999999999899</c:v>
                </c:pt>
                <c:pt idx="356">
                  <c:v>15.059999999999899</c:v>
                </c:pt>
                <c:pt idx="357">
                  <c:v>15.069999999999901</c:v>
                </c:pt>
                <c:pt idx="358">
                  <c:v>15.079999999999901</c:v>
                </c:pt>
                <c:pt idx="359">
                  <c:v>15.0899999999999</c:v>
                </c:pt>
                <c:pt idx="360">
                  <c:v>15.0999999999999</c:v>
                </c:pt>
                <c:pt idx="361">
                  <c:v>15.1099999999999</c:v>
                </c:pt>
                <c:pt idx="362">
                  <c:v>15.1199999999999</c:v>
                </c:pt>
                <c:pt idx="363">
                  <c:v>15.1299999999999</c:v>
                </c:pt>
                <c:pt idx="364">
                  <c:v>15.139999999999899</c:v>
                </c:pt>
                <c:pt idx="365">
                  <c:v>15.149999999999901</c:v>
                </c:pt>
                <c:pt idx="366">
                  <c:v>15.159999999999901</c:v>
                </c:pt>
                <c:pt idx="367">
                  <c:v>15.1699999999999</c:v>
                </c:pt>
                <c:pt idx="368">
                  <c:v>15.1799999999999</c:v>
                </c:pt>
                <c:pt idx="369">
                  <c:v>15.1899999999999</c:v>
                </c:pt>
                <c:pt idx="370">
                  <c:v>15.1999999999999</c:v>
                </c:pt>
                <c:pt idx="371">
                  <c:v>15.2099999999999</c:v>
                </c:pt>
                <c:pt idx="372">
                  <c:v>15.219999999999899</c:v>
                </c:pt>
                <c:pt idx="373">
                  <c:v>15.229999999999899</c:v>
                </c:pt>
                <c:pt idx="374">
                  <c:v>15.239999999999901</c:v>
                </c:pt>
                <c:pt idx="375">
                  <c:v>15.249999999999901</c:v>
                </c:pt>
                <c:pt idx="376">
                  <c:v>15.2599999999999</c:v>
                </c:pt>
                <c:pt idx="377">
                  <c:v>15.2699999999999</c:v>
                </c:pt>
                <c:pt idx="378">
                  <c:v>15.2799999999999</c:v>
                </c:pt>
                <c:pt idx="379">
                  <c:v>15.2899999999999</c:v>
                </c:pt>
                <c:pt idx="380">
                  <c:v>15.299999999999899</c:v>
                </c:pt>
                <c:pt idx="381">
                  <c:v>15.309999999999899</c:v>
                </c:pt>
                <c:pt idx="382">
                  <c:v>15.319999999999901</c:v>
                </c:pt>
                <c:pt idx="383">
                  <c:v>15.329999999999901</c:v>
                </c:pt>
                <c:pt idx="384">
                  <c:v>15.3399999999999</c:v>
                </c:pt>
                <c:pt idx="385">
                  <c:v>15.3499999999999</c:v>
                </c:pt>
                <c:pt idx="386">
                  <c:v>15.3599999999999</c:v>
                </c:pt>
                <c:pt idx="387">
                  <c:v>15.3699999999999</c:v>
                </c:pt>
                <c:pt idx="388">
                  <c:v>15.3799999999999</c:v>
                </c:pt>
                <c:pt idx="389">
                  <c:v>15.389999999999899</c:v>
                </c:pt>
                <c:pt idx="390">
                  <c:v>15.399999999999901</c:v>
                </c:pt>
                <c:pt idx="391">
                  <c:v>15.409999999999901</c:v>
                </c:pt>
                <c:pt idx="392">
                  <c:v>15.4199999999999</c:v>
                </c:pt>
                <c:pt idx="393">
                  <c:v>15.4299999999999</c:v>
                </c:pt>
                <c:pt idx="394">
                  <c:v>15.4399999999999</c:v>
                </c:pt>
                <c:pt idx="395">
                  <c:v>15.4499999999999</c:v>
                </c:pt>
                <c:pt idx="396">
                  <c:v>15.4599999999999</c:v>
                </c:pt>
                <c:pt idx="397">
                  <c:v>15.469999999999899</c:v>
                </c:pt>
                <c:pt idx="398">
                  <c:v>15.479999999999899</c:v>
                </c:pt>
                <c:pt idx="399">
                  <c:v>15.489999999999901</c:v>
                </c:pt>
                <c:pt idx="400">
                  <c:v>15.499999999999901</c:v>
                </c:pt>
                <c:pt idx="401">
                  <c:v>15.5099999999999</c:v>
                </c:pt>
                <c:pt idx="402">
                  <c:v>15.5199999999999</c:v>
                </c:pt>
                <c:pt idx="403">
                  <c:v>15.5299999999999</c:v>
                </c:pt>
                <c:pt idx="404">
                  <c:v>15.5399999999999</c:v>
                </c:pt>
                <c:pt idx="405">
                  <c:v>15.549999999999899</c:v>
                </c:pt>
                <c:pt idx="406">
                  <c:v>15.559999999999899</c:v>
                </c:pt>
                <c:pt idx="407">
                  <c:v>15.569999999999901</c:v>
                </c:pt>
                <c:pt idx="408">
                  <c:v>15.579999999999901</c:v>
                </c:pt>
                <c:pt idx="409">
                  <c:v>15.5899999999999</c:v>
                </c:pt>
                <c:pt idx="410">
                  <c:v>15.5999999999999</c:v>
                </c:pt>
                <c:pt idx="411">
                  <c:v>15.6099999999999</c:v>
                </c:pt>
                <c:pt idx="412">
                  <c:v>15.6199999999999</c:v>
                </c:pt>
                <c:pt idx="413">
                  <c:v>15.6299999999999</c:v>
                </c:pt>
                <c:pt idx="414">
                  <c:v>15.639999999999899</c:v>
                </c:pt>
                <c:pt idx="415">
                  <c:v>15.649999999999901</c:v>
                </c:pt>
                <c:pt idx="416">
                  <c:v>15.659999999999901</c:v>
                </c:pt>
                <c:pt idx="417">
                  <c:v>15.6699999999999</c:v>
                </c:pt>
                <c:pt idx="418">
                  <c:v>15.6799999999999</c:v>
                </c:pt>
                <c:pt idx="419">
                  <c:v>15.6899999999999</c:v>
                </c:pt>
                <c:pt idx="420">
                  <c:v>15.6999999999999</c:v>
                </c:pt>
                <c:pt idx="421">
                  <c:v>15.7099999999999</c:v>
                </c:pt>
                <c:pt idx="422">
                  <c:v>15.719999999999899</c:v>
                </c:pt>
                <c:pt idx="423">
                  <c:v>15.729999999999899</c:v>
                </c:pt>
                <c:pt idx="424">
                  <c:v>15.739999999999901</c:v>
                </c:pt>
                <c:pt idx="425">
                  <c:v>15.749999999999901</c:v>
                </c:pt>
                <c:pt idx="426">
                  <c:v>15.7599999999999</c:v>
                </c:pt>
                <c:pt idx="427">
                  <c:v>15.7699999999999</c:v>
                </c:pt>
                <c:pt idx="428">
                  <c:v>15.7799999999999</c:v>
                </c:pt>
                <c:pt idx="429">
                  <c:v>15.7899999999999</c:v>
                </c:pt>
                <c:pt idx="430">
                  <c:v>15.799999999999899</c:v>
                </c:pt>
                <c:pt idx="431">
                  <c:v>15.809999999999899</c:v>
                </c:pt>
                <c:pt idx="432">
                  <c:v>15.819999999999901</c:v>
                </c:pt>
                <c:pt idx="433">
                  <c:v>15.829999999999901</c:v>
                </c:pt>
                <c:pt idx="434">
                  <c:v>15.8399999999999</c:v>
                </c:pt>
                <c:pt idx="435">
                  <c:v>15.8499999999999</c:v>
                </c:pt>
                <c:pt idx="436">
                  <c:v>15.8599999999999</c:v>
                </c:pt>
                <c:pt idx="437">
                  <c:v>15.8699999999999</c:v>
                </c:pt>
                <c:pt idx="438">
                  <c:v>15.8799999999999</c:v>
                </c:pt>
                <c:pt idx="439">
                  <c:v>15.889999999999899</c:v>
                </c:pt>
                <c:pt idx="440">
                  <c:v>15.899999999999901</c:v>
                </c:pt>
                <c:pt idx="441">
                  <c:v>15.909999999999901</c:v>
                </c:pt>
                <c:pt idx="442">
                  <c:v>15.9199999999999</c:v>
                </c:pt>
                <c:pt idx="443">
                  <c:v>15.9299999999999</c:v>
                </c:pt>
                <c:pt idx="444">
                  <c:v>15.9399999999999</c:v>
                </c:pt>
                <c:pt idx="445">
                  <c:v>15.9499999999999</c:v>
                </c:pt>
                <c:pt idx="446">
                  <c:v>15.9599999999999</c:v>
                </c:pt>
                <c:pt idx="447">
                  <c:v>15.969999999999899</c:v>
                </c:pt>
                <c:pt idx="448">
                  <c:v>15.979999999999899</c:v>
                </c:pt>
                <c:pt idx="449">
                  <c:v>15.989999999999901</c:v>
                </c:pt>
                <c:pt idx="450">
                  <c:v>15.999999999999901</c:v>
                </c:pt>
                <c:pt idx="451">
                  <c:v>16.009999999999899</c:v>
                </c:pt>
                <c:pt idx="452">
                  <c:v>16.0199999999999</c:v>
                </c:pt>
                <c:pt idx="453">
                  <c:v>16.029999999999902</c:v>
                </c:pt>
                <c:pt idx="454">
                  <c:v>16.0399999999999</c:v>
                </c:pt>
                <c:pt idx="455">
                  <c:v>16.049999999999901</c:v>
                </c:pt>
                <c:pt idx="456">
                  <c:v>16.059999999999899</c:v>
                </c:pt>
                <c:pt idx="457">
                  <c:v>16.069999999999901</c:v>
                </c:pt>
                <c:pt idx="458">
                  <c:v>16.079999999999899</c:v>
                </c:pt>
                <c:pt idx="459">
                  <c:v>16.0899999999999</c:v>
                </c:pt>
                <c:pt idx="460">
                  <c:v>16.099999999999898</c:v>
                </c:pt>
                <c:pt idx="461">
                  <c:v>16.1099999999999</c:v>
                </c:pt>
                <c:pt idx="462">
                  <c:v>16.119999999999902</c:v>
                </c:pt>
                <c:pt idx="463">
                  <c:v>16.1299999999999</c:v>
                </c:pt>
                <c:pt idx="464">
                  <c:v>16.139999999999901</c:v>
                </c:pt>
                <c:pt idx="465">
                  <c:v>16.149999999999899</c:v>
                </c:pt>
                <c:pt idx="466">
                  <c:v>16.159999999999901</c:v>
                </c:pt>
                <c:pt idx="467">
                  <c:v>16.169999999999899</c:v>
                </c:pt>
                <c:pt idx="468">
                  <c:v>16.1799999999999</c:v>
                </c:pt>
                <c:pt idx="469">
                  <c:v>16.189999999999898</c:v>
                </c:pt>
                <c:pt idx="470">
                  <c:v>16.1999999999999</c:v>
                </c:pt>
                <c:pt idx="471">
                  <c:v>16.209999999999901</c:v>
                </c:pt>
                <c:pt idx="472">
                  <c:v>16.219999999999899</c:v>
                </c:pt>
                <c:pt idx="473">
                  <c:v>16.229999999999901</c:v>
                </c:pt>
                <c:pt idx="474">
                  <c:v>16.239999999999899</c:v>
                </c:pt>
                <c:pt idx="475">
                  <c:v>16.249999999999901</c:v>
                </c:pt>
                <c:pt idx="476">
                  <c:v>16.259999999999899</c:v>
                </c:pt>
                <c:pt idx="477">
                  <c:v>16.2699999999999</c:v>
                </c:pt>
                <c:pt idx="478">
                  <c:v>16.279999999999902</c:v>
                </c:pt>
                <c:pt idx="479">
                  <c:v>16.2899999999999</c:v>
                </c:pt>
                <c:pt idx="480">
                  <c:v>16.299999999999901</c:v>
                </c:pt>
                <c:pt idx="481">
                  <c:v>16.309999999999899</c:v>
                </c:pt>
                <c:pt idx="482">
                  <c:v>16.319999999999901</c:v>
                </c:pt>
                <c:pt idx="483">
                  <c:v>16.329999999999899</c:v>
                </c:pt>
                <c:pt idx="484">
                  <c:v>16.3399999999999</c:v>
                </c:pt>
                <c:pt idx="485">
                  <c:v>16.349999999999898</c:v>
                </c:pt>
                <c:pt idx="486">
                  <c:v>16.3599999999999</c:v>
                </c:pt>
                <c:pt idx="487">
                  <c:v>16.369999999999902</c:v>
                </c:pt>
                <c:pt idx="488">
                  <c:v>16.3799999999999</c:v>
                </c:pt>
                <c:pt idx="489">
                  <c:v>16.389999999999901</c:v>
                </c:pt>
                <c:pt idx="490">
                  <c:v>16.399999999999899</c:v>
                </c:pt>
                <c:pt idx="491">
                  <c:v>16.409999999999901</c:v>
                </c:pt>
                <c:pt idx="492">
                  <c:v>16.419999999999899</c:v>
                </c:pt>
                <c:pt idx="493">
                  <c:v>16.4299999999999</c:v>
                </c:pt>
                <c:pt idx="494">
                  <c:v>16.439999999999898</c:v>
                </c:pt>
                <c:pt idx="495">
                  <c:v>16.4499999999999</c:v>
                </c:pt>
                <c:pt idx="496">
                  <c:v>16.459999999999901</c:v>
                </c:pt>
                <c:pt idx="497">
                  <c:v>16.469999999999899</c:v>
                </c:pt>
                <c:pt idx="498">
                  <c:v>16.479999999999901</c:v>
                </c:pt>
                <c:pt idx="499">
                  <c:v>16.489999999999899</c:v>
                </c:pt>
                <c:pt idx="500">
                  <c:v>16.499999999999901</c:v>
                </c:pt>
              </c:numCache>
            </c:numRef>
          </c:xVal>
          <c:yVal>
            <c:numRef>
              <c:f>DGP!$BG$2:$BG$502</c:f>
              <c:numCache>
                <c:formatCode>_("$"* #,##0.00_);_("$"* \(#,##0.00\);_("$"* "-"??_);_(@_)</c:formatCode>
                <c:ptCount val="501"/>
                <c:pt idx="0">
                  <c:v>22.671741979710372</c:v>
                </c:pt>
                <c:pt idx="1">
                  <c:v>22.691998469489651</c:v>
                </c:pt>
                <c:pt idx="2">
                  <c:v>22.712254959268925</c:v>
                </c:pt>
                <c:pt idx="3">
                  <c:v>22.732511449048204</c:v>
                </c:pt>
                <c:pt idx="4">
                  <c:v>22.752767938827482</c:v>
                </c:pt>
                <c:pt idx="5">
                  <c:v>22.77302442860676</c:v>
                </c:pt>
                <c:pt idx="6">
                  <c:v>22.793280918386039</c:v>
                </c:pt>
                <c:pt idx="7">
                  <c:v>22.813537408165317</c:v>
                </c:pt>
                <c:pt idx="8">
                  <c:v>22.833793897944592</c:v>
                </c:pt>
                <c:pt idx="9">
                  <c:v>22.85405038772387</c:v>
                </c:pt>
                <c:pt idx="10">
                  <c:v>22.874306877503145</c:v>
                </c:pt>
                <c:pt idx="11">
                  <c:v>22.894563367282423</c:v>
                </c:pt>
                <c:pt idx="12">
                  <c:v>22.914819857061701</c:v>
                </c:pt>
                <c:pt idx="13">
                  <c:v>22.93507634684098</c:v>
                </c:pt>
                <c:pt idx="14">
                  <c:v>22.955332836620258</c:v>
                </c:pt>
                <c:pt idx="15">
                  <c:v>22.975589326399536</c:v>
                </c:pt>
                <c:pt idx="16">
                  <c:v>22.995845816178811</c:v>
                </c:pt>
                <c:pt idx="17">
                  <c:v>23.016102305958089</c:v>
                </c:pt>
                <c:pt idx="18">
                  <c:v>23.036358795737367</c:v>
                </c:pt>
                <c:pt idx="19">
                  <c:v>23.056615285516642</c:v>
                </c:pt>
                <c:pt idx="20">
                  <c:v>23.07687177529592</c:v>
                </c:pt>
                <c:pt idx="21">
                  <c:v>23.097128265075202</c:v>
                </c:pt>
                <c:pt idx="22">
                  <c:v>23.117384754854477</c:v>
                </c:pt>
                <c:pt idx="23">
                  <c:v>23.137641244633755</c:v>
                </c:pt>
                <c:pt idx="24">
                  <c:v>23.157897734413034</c:v>
                </c:pt>
                <c:pt idx="25">
                  <c:v>23.178154224192308</c:v>
                </c:pt>
                <c:pt idx="26">
                  <c:v>23.198410713971587</c:v>
                </c:pt>
                <c:pt idx="27">
                  <c:v>23.218667203750865</c:v>
                </c:pt>
                <c:pt idx="28">
                  <c:v>23.23892369353014</c:v>
                </c:pt>
                <c:pt idx="29">
                  <c:v>23.259180183309418</c:v>
                </c:pt>
                <c:pt idx="30">
                  <c:v>23.2794366730887</c:v>
                </c:pt>
                <c:pt idx="31">
                  <c:v>23.299693162867975</c:v>
                </c:pt>
                <c:pt idx="32">
                  <c:v>23.319949652647253</c:v>
                </c:pt>
                <c:pt idx="33">
                  <c:v>23.340206142426531</c:v>
                </c:pt>
                <c:pt idx="34">
                  <c:v>23.360462632205806</c:v>
                </c:pt>
                <c:pt idx="35">
                  <c:v>23.380719121985084</c:v>
                </c:pt>
                <c:pt idx="36">
                  <c:v>23.400975611764363</c:v>
                </c:pt>
                <c:pt idx="37">
                  <c:v>23.421232101543637</c:v>
                </c:pt>
                <c:pt idx="38">
                  <c:v>23.441488591322919</c:v>
                </c:pt>
                <c:pt idx="39">
                  <c:v>23.461745081102197</c:v>
                </c:pt>
                <c:pt idx="40">
                  <c:v>23.482001570881472</c:v>
                </c:pt>
                <c:pt idx="41">
                  <c:v>23.502258060660751</c:v>
                </c:pt>
                <c:pt idx="42">
                  <c:v>23.522514550440029</c:v>
                </c:pt>
                <c:pt idx="43">
                  <c:v>23.542771040219304</c:v>
                </c:pt>
                <c:pt idx="44">
                  <c:v>23.563027529998582</c:v>
                </c:pt>
                <c:pt idx="45">
                  <c:v>23.58328401977786</c:v>
                </c:pt>
                <c:pt idx="46">
                  <c:v>23.603540509557138</c:v>
                </c:pt>
                <c:pt idx="47">
                  <c:v>23.623796999336417</c:v>
                </c:pt>
                <c:pt idx="48">
                  <c:v>23.644053489115695</c:v>
                </c:pt>
                <c:pt idx="49">
                  <c:v>23.66430997889497</c:v>
                </c:pt>
                <c:pt idx="50">
                  <c:v>23.684566468674248</c:v>
                </c:pt>
                <c:pt idx="51">
                  <c:v>23.704822958453526</c:v>
                </c:pt>
                <c:pt idx="52">
                  <c:v>23.725079448232801</c:v>
                </c:pt>
                <c:pt idx="53">
                  <c:v>23.745335938012079</c:v>
                </c:pt>
                <c:pt idx="54">
                  <c:v>23.765592427791358</c:v>
                </c:pt>
                <c:pt idx="55">
                  <c:v>23.785848917570636</c:v>
                </c:pt>
                <c:pt idx="56">
                  <c:v>23.806105407349914</c:v>
                </c:pt>
                <c:pt idx="57">
                  <c:v>23.826361897129193</c:v>
                </c:pt>
                <c:pt idx="58">
                  <c:v>23.846618386908467</c:v>
                </c:pt>
                <c:pt idx="59">
                  <c:v>23.866874876687746</c:v>
                </c:pt>
                <c:pt idx="60">
                  <c:v>23.887131366467024</c:v>
                </c:pt>
                <c:pt idx="61">
                  <c:v>23.907387856246299</c:v>
                </c:pt>
                <c:pt idx="62">
                  <c:v>23.927644346025577</c:v>
                </c:pt>
                <c:pt idx="63">
                  <c:v>23.947900835804859</c:v>
                </c:pt>
                <c:pt idx="64">
                  <c:v>23.968157325584134</c:v>
                </c:pt>
                <c:pt idx="65">
                  <c:v>23.988413815363412</c:v>
                </c:pt>
                <c:pt idx="66">
                  <c:v>24.00867030514269</c:v>
                </c:pt>
                <c:pt idx="67">
                  <c:v>24.028926794921965</c:v>
                </c:pt>
                <c:pt idx="68">
                  <c:v>24.049183284701243</c:v>
                </c:pt>
                <c:pt idx="69">
                  <c:v>24.069439774480522</c:v>
                </c:pt>
                <c:pt idx="70">
                  <c:v>24.089696264259796</c:v>
                </c:pt>
                <c:pt idx="71">
                  <c:v>24.109952754039078</c:v>
                </c:pt>
                <c:pt idx="72">
                  <c:v>24.130209243818356</c:v>
                </c:pt>
                <c:pt idx="73">
                  <c:v>24.150465733597631</c:v>
                </c:pt>
                <c:pt idx="74">
                  <c:v>24.170722223376909</c:v>
                </c:pt>
                <c:pt idx="75">
                  <c:v>24.190978713156188</c:v>
                </c:pt>
                <c:pt idx="76">
                  <c:v>24.211235202935462</c:v>
                </c:pt>
                <c:pt idx="77">
                  <c:v>24.231491692714741</c:v>
                </c:pt>
                <c:pt idx="78">
                  <c:v>24.251748182494019</c:v>
                </c:pt>
                <c:pt idx="79">
                  <c:v>24.272004672273294</c:v>
                </c:pt>
                <c:pt idx="80">
                  <c:v>24.292261162052576</c:v>
                </c:pt>
                <c:pt idx="81">
                  <c:v>24.312517651831854</c:v>
                </c:pt>
                <c:pt idx="82">
                  <c:v>24.332774141611129</c:v>
                </c:pt>
                <c:pt idx="83">
                  <c:v>24.353030631390407</c:v>
                </c:pt>
                <c:pt idx="84">
                  <c:v>24.373287121169685</c:v>
                </c:pt>
                <c:pt idx="85">
                  <c:v>24.39354361094896</c:v>
                </c:pt>
                <c:pt idx="86">
                  <c:v>24.413800100728238</c:v>
                </c:pt>
                <c:pt idx="87">
                  <c:v>24.434056590507517</c:v>
                </c:pt>
                <c:pt idx="88">
                  <c:v>24.454313080286795</c:v>
                </c:pt>
                <c:pt idx="89">
                  <c:v>24.474569570066073</c:v>
                </c:pt>
                <c:pt idx="90">
                  <c:v>24.494826059845352</c:v>
                </c:pt>
                <c:pt idx="91">
                  <c:v>24.515082549624626</c:v>
                </c:pt>
                <c:pt idx="92">
                  <c:v>24.535339039403905</c:v>
                </c:pt>
                <c:pt idx="93">
                  <c:v>24.555595529183179</c:v>
                </c:pt>
                <c:pt idx="94">
                  <c:v>24.575852018962458</c:v>
                </c:pt>
                <c:pt idx="95">
                  <c:v>24.596108508741736</c:v>
                </c:pt>
                <c:pt idx="96">
                  <c:v>24.616364998521014</c:v>
                </c:pt>
                <c:pt idx="97">
                  <c:v>24.636621488300293</c:v>
                </c:pt>
                <c:pt idx="98">
                  <c:v>24.656877978079571</c:v>
                </c:pt>
                <c:pt idx="99">
                  <c:v>24.677134467858846</c:v>
                </c:pt>
                <c:pt idx="100">
                  <c:v>24.697390957638124</c:v>
                </c:pt>
                <c:pt idx="101">
                  <c:v>24.717647447417402</c:v>
                </c:pt>
                <c:pt idx="102">
                  <c:v>24.737903937196677</c:v>
                </c:pt>
                <c:pt idx="103">
                  <c:v>24.758160426975955</c:v>
                </c:pt>
                <c:pt idx="104">
                  <c:v>24.778416916755234</c:v>
                </c:pt>
                <c:pt idx="105">
                  <c:v>24.798673406534512</c:v>
                </c:pt>
                <c:pt idx="106">
                  <c:v>24.81892989631379</c:v>
                </c:pt>
                <c:pt idx="107">
                  <c:v>24.839186386093068</c:v>
                </c:pt>
                <c:pt idx="108">
                  <c:v>24.859442875872343</c:v>
                </c:pt>
                <c:pt idx="109">
                  <c:v>24.879699365651621</c:v>
                </c:pt>
                <c:pt idx="110">
                  <c:v>24.8999558554309</c:v>
                </c:pt>
                <c:pt idx="111">
                  <c:v>24.920212345210174</c:v>
                </c:pt>
                <c:pt idx="112">
                  <c:v>24.940468834989453</c:v>
                </c:pt>
                <c:pt idx="113">
                  <c:v>24.960725324768735</c:v>
                </c:pt>
                <c:pt idx="114">
                  <c:v>24.980981814548009</c:v>
                </c:pt>
                <c:pt idx="115">
                  <c:v>25.001238304327288</c:v>
                </c:pt>
                <c:pt idx="116">
                  <c:v>25.021494794106566</c:v>
                </c:pt>
                <c:pt idx="117">
                  <c:v>25.041751283885841</c:v>
                </c:pt>
                <c:pt idx="118">
                  <c:v>25.062007773665119</c:v>
                </c:pt>
                <c:pt idx="119">
                  <c:v>25.082264263444397</c:v>
                </c:pt>
                <c:pt idx="120">
                  <c:v>25.102520753223672</c:v>
                </c:pt>
                <c:pt idx="121">
                  <c:v>25.122777243002954</c:v>
                </c:pt>
                <c:pt idx="122">
                  <c:v>25.143033732782232</c:v>
                </c:pt>
                <c:pt idx="123">
                  <c:v>25.163290222561507</c:v>
                </c:pt>
                <c:pt idx="124">
                  <c:v>25.183546712340785</c:v>
                </c:pt>
                <c:pt idx="125">
                  <c:v>25.203803202120064</c:v>
                </c:pt>
                <c:pt idx="126">
                  <c:v>25.224059691899338</c:v>
                </c:pt>
                <c:pt idx="127">
                  <c:v>25.244316181678617</c:v>
                </c:pt>
                <c:pt idx="128">
                  <c:v>25.264572671457895</c:v>
                </c:pt>
                <c:pt idx="129">
                  <c:v>25.28482916123717</c:v>
                </c:pt>
                <c:pt idx="130">
                  <c:v>25.305085651016451</c:v>
                </c:pt>
                <c:pt idx="131">
                  <c:v>25.32534214079573</c:v>
                </c:pt>
                <c:pt idx="132">
                  <c:v>25.345598630575005</c:v>
                </c:pt>
                <c:pt idx="133">
                  <c:v>25.365855120354283</c:v>
                </c:pt>
                <c:pt idx="134">
                  <c:v>25.386111610133561</c:v>
                </c:pt>
                <c:pt idx="135">
                  <c:v>25.406368099912836</c:v>
                </c:pt>
                <c:pt idx="136">
                  <c:v>25.426624589692114</c:v>
                </c:pt>
                <c:pt idx="137">
                  <c:v>25.446881079471392</c:v>
                </c:pt>
                <c:pt idx="138">
                  <c:v>25.467137569250671</c:v>
                </c:pt>
                <c:pt idx="139">
                  <c:v>25.487394059029949</c:v>
                </c:pt>
                <c:pt idx="140">
                  <c:v>25.507650548809227</c:v>
                </c:pt>
                <c:pt idx="141">
                  <c:v>25.527907038588502</c:v>
                </c:pt>
                <c:pt idx="142">
                  <c:v>25.54816352836778</c:v>
                </c:pt>
                <c:pt idx="143">
                  <c:v>25.568420018147059</c:v>
                </c:pt>
                <c:pt idx="144">
                  <c:v>25.588676507926333</c:v>
                </c:pt>
                <c:pt idx="145">
                  <c:v>25.608932997705612</c:v>
                </c:pt>
                <c:pt idx="146">
                  <c:v>25.629189487484894</c:v>
                </c:pt>
                <c:pt idx="147">
                  <c:v>25.649445977264168</c:v>
                </c:pt>
                <c:pt idx="148">
                  <c:v>25.669702467043447</c:v>
                </c:pt>
                <c:pt idx="149">
                  <c:v>25.689958956822725</c:v>
                </c:pt>
                <c:pt idx="150">
                  <c:v>25.710215446602</c:v>
                </c:pt>
                <c:pt idx="151">
                  <c:v>25.730471936381278</c:v>
                </c:pt>
                <c:pt idx="152">
                  <c:v>25.750728426160556</c:v>
                </c:pt>
                <c:pt idx="153">
                  <c:v>25.770984915939831</c:v>
                </c:pt>
                <c:pt idx="154">
                  <c:v>25.791241405719109</c:v>
                </c:pt>
                <c:pt idx="155">
                  <c:v>25.811497895498391</c:v>
                </c:pt>
                <c:pt idx="156">
                  <c:v>25.831754385277666</c:v>
                </c:pt>
                <c:pt idx="157">
                  <c:v>25.852010875056944</c:v>
                </c:pt>
                <c:pt idx="158">
                  <c:v>25.872267364836222</c:v>
                </c:pt>
                <c:pt idx="159">
                  <c:v>25.892523854615497</c:v>
                </c:pt>
                <c:pt idx="160">
                  <c:v>25.912780344394776</c:v>
                </c:pt>
                <c:pt idx="161">
                  <c:v>25.933036834174054</c:v>
                </c:pt>
                <c:pt idx="162">
                  <c:v>25.953293323953329</c:v>
                </c:pt>
                <c:pt idx="163">
                  <c:v>25.97354981373261</c:v>
                </c:pt>
                <c:pt idx="164">
                  <c:v>25.993806303511889</c:v>
                </c:pt>
                <c:pt idx="165">
                  <c:v>26.014062793291163</c:v>
                </c:pt>
                <c:pt idx="166">
                  <c:v>26.034319283070442</c:v>
                </c:pt>
                <c:pt idx="167">
                  <c:v>26.05457577284972</c:v>
                </c:pt>
                <c:pt idx="168">
                  <c:v>26.074832262628995</c:v>
                </c:pt>
                <c:pt idx="169">
                  <c:v>26.095088752408273</c:v>
                </c:pt>
                <c:pt idx="170">
                  <c:v>26.115345242187548</c:v>
                </c:pt>
                <c:pt idx="171">
                  <c:v>26.13560173196683</c:v>
                </c:pt>
                <c:pt idx="172">
                  <c:v>26.155858221746108</c:v>
                </c:pt>
                <c:pt idx="173">
                  <c:v>26.176114711525383</c:v>
                </c:pt>
                <c:pt idx="174">
                  <c:v>26.196371201304661</c:v>
                </c:pt>
                <c:pt idx="175">
                  <c:v>26.216627691083939</c:v>
                </c:pt>
                <c:pt idx="176">
                  <c:v>26.236884180863214</c:v>
                </c:pt>
                <c:pt idx="177">
                  <c:v>26.257140670642492</c:v>
                </c:pt>
                <c:pt idx="178">
                  <c:v>26.277397160421771</c:v>
                </c:pt>
                <c:pt idx="179">
                  <c:v>26.297653650201045</c:v>
                </c:pt>
                <c:pt idx="180">
                  <c:v>26.317910139980327</c:v>
                </c:pt>
                <c:pt idx="181">
                  <c:v>26.338166629759606</c:v>
                </c:pt>
                <c:pt idx="182">
                  <c:v>26.35842311953888</c:v>
                </c:pt>
                <c:pt idx="183">
                  <c:v>26.378679609318159</c:v>
                </c:pt>
                <c:pt idx="184">
                  <c:v>26.398936099097437</c:v>
                </c:pt>
                <c:pt idx="185">
                  <c:v>26.419192588876712</c:v>
                </c:pt>
                <c:pt idx="186">
                  <c:v>26.43944907865599</c:v>
                </c:pt>
                <c:pt idx="187">
                  <c:v>26.459705568435268</c:v>
                </c:pt>
                <c:pt idx="188">
                  <c:v>26.479962058214547</c:v>
                </c:pt>
                <c:pt idx="189">
                  <c:v>26.500218547993825</c:v>
                </c:pt>
                <c:pt idx="190">
                  <c:v>26.520475037773103</c:v>
                </c:pt>
                <c:pt idx="191">
                  <c:v>26.540731527552378</c:v>
                </c:pt>
                <c:pt idx="192">
                  <c:v>26.560988017331656</c:v>
                </c:pt>
                <c:pt idx="193">
                  <c:v>26.581244507110934</c:v>
                </c:pt>
                <c:pt idx="194">
                  <c:v>26.601500996890209</c:v>
                </c:pt>
                <c:pt idx="195">
                  <c:v>26.621757486669487</c:v>
                </c:pt>
                <c:pt idx="196">
                  <c:v>26.642013976448769</c:v>
                </c:pt>
                <c:pt idx="197">
                  <c:v>26.662270466228044</c:v>
                </c:pt>
                <c:pt idx="198">
                  <c:v>26.682526956007322</c:v>
                </c:pt>
                <c:pt idx="199">
                  <c:v>26.702783445786601</c:v>
                </c:pt>
                <c:pt idx="200">
                  <c:v>26.723039935565875</c:v>
                </c:pt>
                <c:pt idx="201">
                  <c:v>26.743296425345154</c:v>
                </c:pt>
                <c:pt idx="202">
                  <c:v>26.763552915124432</c:v>
                </c:pt>
                <c:pt idx="203">
                  <c:v>26.783809404903707</c:v>
                </c:pt>
                <c:pt idx="204">
                  <c:v>26.804065894682985</c:v>
                </c:pt>
                <c:pt idx="205">
                  <c:v>26.824322384462267</c:v>
                </c:pt>
                <c:pt idx="206">
                  <c:v>26.844578874241542</c:v>
                </c:pt>
                <c:pt idx="207">
                  <c:v>26.86483536402082</c:v>
                </c:pt>
                <c:pt idx="208">
                  <c:v>26.885091853800098</c:v>
                </c:pt>
                <c:pt idx="209">
                  <c:v>26.905348343579373</c:v>
                </c:pt>
                <c:pt idx="210">
                  <c:v>26.925604833358651</c:v>
                </c:pt>
                <c:pt idx="211">
                  <c:v>26.94586132313793</c:v>
                </c:pt>
                <c:pt idx="212">
                  <c:v>26.966117812917204</c:v>
                </c:pt>
                <c:pt idx="213">
                  <c:v>26.986374302696486</c:v>
                </c:pt>
                <c:pt idx="214">
                  <c:v>27.006630792475764</c:v>
                </c:pt>
                <c:pt idx="215">
                  <c:v>27.026887282255039</c:v>
                </c:pt>
                <c:pt idx="216">
                  <c:v>27.047143772034318</c:v>
                </c:pt>
                <c:pt idx="217">
                  <c:v>27.067400261813596</c:v>
                </c:pt>
                <c:pt idx="218">
                  <c:v>27.087656751592871</c:v>
                </c:pt>
                <c:pt idx="219">
                  <c:v>27.107913241372149</c:v>
                </c:pt>
                <c:pt idx="220">
                  <c:v>27.128169731151427</c:v>
                </c:pt>
                <c:pt idx="221">
                  <c:v>27.148426220930705</c:v>
                </c:pt>
                <c:pt idx="222">
                  <c:v>27.168682710709984</c:v>
                </c:pt>
                <c:pt idx="223">
                  <c:v>27.188939200489262</c:v>
                </c:pt>
                <c:pt idx="224">
                  <c:v>27.209195690268537</c:v>
                </c:pt>
                <c:pt idx="225">
                  <c:v>27.229452180047815</c:v>
                </c:pt>
                <c:pt idx="226">
                  <c:v>27.249708669827093</c:v>
                </c:pt>
                <c:pt idx="227">
                  <c:v>27.269965159606368</c:v>
                </c:pt>
                <c:pt idx="228">
                  <c:v>27.290221649385646</c:v>
                </c:pt>
                <c:pt idx="229">
                  <c:v>27.310478139164925</c:v>
                </c:pt>
                <c:pt idx="230">
                  <c:v>27.330734628944203</c:v>
                </c:pt>
                <c:pt idx="231">
                  <c:v>27.350991118723481</c:v>
                </c:pt>
                <c:pt idx="232">
                  <c:v>27.37124760850276</c:v>
                </c:pt>
                <c:pt idx="233">
                  <c:v>27.391504098282034</c:v>
                </c:pt>
                <c:pt idx="234">
                  <c:v>27.411760588061313</c:v>
                </c:pt>
                <c:pt idx="235">
                  <c:v>27.432017077840591</c:v>
                </c:pt>
                <c:pt idx="236">
                  <c:v>27.452273567619866</c:v>
                </c:pt>
                <c:pt idx="237">
                  <c:v>27.472530057399144</c:v>
                </c:pt>
                <c:pt idx="238">
                  <c:v>27.492786547178426</c:v>
                </c:pt>
                <c:pt idx="239">
                  <c:v>27.513043036957495</c:v>
                </c:pt>
                <c:pt idx="240">
                  <c:v>27.533299526736776</c:v>
                </c:pt>
                <c:pt idx="241">
                  <c:v>27.553556016516257</c:v>
                </c:pt>
                <c:pt idx="242">
                  <c:v>27.573812506295532</c:v>
                </c:pt>
                <c:pt idx="243">
                  <c:v>27.594068996074608</c:v>
                </c:pt>
                <c:pt idx="244">
                  <c:v>27.614325485853886</c:v>
                </c:pt>
                <c:pt idx="245">
                  <c:v>27.634581975633161</c:v>
                </c:pt>
                <c:pt idx="246">
                  <c:v>27.654838465412439</c:v>
                </c:pt>
                <c:pt idx="247">
                  <c:v>27.675094955191717</c:v>
                </c:pt>
                <c:pt idx="248">
                  <c:v>27.695351444970992</c:v>
                </c:pt>
                <c:pt idx="249">
                  <c:v>27.715607934750274</c:v>
                </c:pt>
                <c:pt idx="250">
                  <c:v>27.735864424529755</c:v>
                </c:pt>
                <c:pt idx="251">
                  <c:v>27.75612091430903</c:v>
                </c:pt>
                <c:pt idx="252">
                  <c:v>27.776377404088105</c:v>
                </c:pt>
                <c:pt idx="253">
                  <c:v>27.796633893867384</c:v>
                </c:pt>
                <c:pt idx="254">
                  <c:v>27.816890383646658</c:v>
                </c:pt>
                <c:pt idx="255">
                  <c:v>27.837146873425937</c:v>
                </c:pt>
                <c:pt idx="256">
                  <c:v>27.857403363205215</c:v>
                </c:pt>
                <c:pt idx="257">
                  <c:v>27.877659852984696</c:v>
                </c:pt>
                <c:pt idx="258">
                  <c:v>27.897916342763772</c:v>
                </c:pt>
                <c:pt idx="259">
                  <c:v>27.918172832543249</c:v>
                </c:pt>
                <c:pt idx="260">
                  <c:v>27.938429322322325</c:v>
                </c:pt>
                <c:pt idx="261">
                  <c:v>27.958685812101603</c:v>
                </c:pt>
                <c:pt idx="262">
                  <c:v>27.978942301880881</c:v>
                </c:pt>
                <c:pt idx="263">
                  <c:v>27.999198791660156</c:v>
                </c:pt>
                <c:pt idx="264">
                  <c:v>28.019455281439434</c:v>
                </c:pt>
                <c:pt idx="265">
                  <c:v>28.039711771218716</c:v>
                </c:pt>
                <c:pt idx="266">
                  <c:v>28.059968260998193</c:v>
                </c:pt>
                <c:pt idx="267">
                  <c:v>28.080224750777472</c:v>
                </c:pt>
                <c:pt idx="268">
                  <c:v>28.100481240556547</c:v>
                </c:pt>
                <c:pt idx="269">
                  <c:v>28.120737730335822</c:v>
                </c:pt>
                <c:pt idx="270">
                  <c:v>28.1409942201151</c:v>
                </c:pt>
                <c:pt idx="271">
                  <c:v>28.161250709894379</c:v>
                </c:pt>
                <c:pt idx="272">
                  <c:v>28.181507199673653</c:v>
                </c:pt>
                <c:pt idx="273">
                  <c:v>28.201763689452932</c:v>
                </c:pt>
                <c:pt idx="274">
                  <c:v>28.222020179232214</c:v>
                </c:pt>
                <c:pt idx="275">
                  <c:v>28.242276669011691</c:v>
                </c:pt>
                <c:pt idx="276">
                  <c:v>28.262533158790969</c:v>
                </c:pt>
                <c:pt idx="277">
                  <c:v>28.282789648570045</c:v>
                </c:pt>
                <c:pt idx="278">
                  <c:v>28.30304613834932</c:v>
                </c:pt>
                <c:pt idx="279">
                  <c:v>28.323302628128598</c:v>
                </c:pt>
                <c:pt idx="280">
                  <c:v>28.343559117907876</c:v>
                </c:pt>
                <c:pt idx="281">
                  <c:v>28.363815607687151</c:v>
                </c:pt>
                <c:pt idx="282">
                  <c:v>28.384072097466635</c:v>
                </c:pt>
                <c:pt idx="283">
                  <c:v>28.404328587245711</c:v>
                </c:pt>
                <c:pt idx="284">
                  <c:v>28.424585077025188</c:v>
                </c:pt>
                <c:pt idx="285">
                  <c:v>28.444841566804264</c:v>
                </c:pt>
                <c:pt idx="286">
                  <c:v>28.465098056583543</c:v>
                </c:pt>
                <c:pt idx="287">
                  <c:v>28.485354546362817</c:v>
                </c:pt>
                <c:pt idx="288">
                  <c:v>28.505611036142096</c:v>
                </c:pt>
                <c:pt idx="289">
                  <c:v>28.525867525921374</c:v>
                </c:pt>
                <c:pt idx="290">
                  <c:v>28.546124015700652</c:v>
                </c:pt>
                <c:pt idx="291">
                  <c:v>28.56638050547993</c:v>
                </c:pt>
                <c:pt idx="292">
                  <c:v>28.586636995259209</c:v>
                </c:pt>
                <c:pt idx="293">
                  <c:v>28.606893485038484</c:v>
                </c:pt>
                <c:pt idx="294">
                  <c:v>28.627149974817762</c:v>
                </c:pt>
                <c:pt idx="295">
                  <c:v>28.64740646459704</c:v>
                </c:pt>
                <c:pt idx="296">
                  <c:v>28.667662954376315</c:v>
                </c:pt>
                <c:pt idx="297">
                  <c:v>28.687919444155593</c:v>
                </c:pt>
                <c:pt idx="298">
                  <c:v>28.708175933934871</c:v>
                </c:pt>
                <c:pt idx="299">
                  <c:v>28.72843242371415</c:v>
                </c:pt>
                <c:pt idx="300">
                  <c:v>28.748688913493428</c:v>
                </c:pt>
                <c:pt idx="301">
                  <c:v>28.768945403272706</c:v>
                </c:pt>
                <c:pt idx="302">
                  <c:v>28.789201893051981</c:v>
                </c:pt>
                <c:pt idx="303">
                  <c:v>28.809458382831259</c:v>
                </c:pt>
                <c:pt idx="304">
                  <c:v>28.829714872610538</c:v>
                </c:pt>
                <c:pt idx="305">
                  <c:v>28.849971362389812</c:v>
                </c:pt>
                <c:pt idx="306">
                  <c:v>28.870227852169091</c:v>
                </c:pt>
                <c:pt idx="307">
                  <c:v>28.890484341948373</c:v>
                </c:pt>
                <c:pt idx="308">
                  <c:v>28.910740831727647</c:v>
                </c:pt>
                <c:pt idx="309">
                  <c:v>28.930997321506926</c:v>
                </c:pt>
                <c:pt idx="310">
                  <c:v>28.951253811286204</c:v>
                </c:pt>
                <c:pt idx="311">
                  <c:v>28.971510301065479</c:v>
                </c:pt>
                <c:pt idx="312">
                  <c:v>28.991766790844757</c:v>
                </c:pt>
                <c:pt idx="313">
                  <c:v>29.012023280624035</c:v>
                </c:pt>
                <c:pt idx="314">
                  <c:v>29.03227977040331</c:v>
                </c:pt>
                <c:pt idx="315">
                  <c:v>29.052536260182592</c:v>
                </c:pt>
                <c:pt idx="316">
                  <c:v>29.07279274996187</c:v>
                </c:pt>
                <c:pt idx="317">
                  <c:v>29.093049239741145</c:v>
                </c:pt>
                <c:pt idx="318">
                  <c:v>29.113305729520423</c:v>
                </c:pt>
                <c:pt idx="319">
                  <c:v>29.133562219299698</c:v>
                </c:pt>
                <c:pt idx="320">
                  <c:v>29.153818709078976</c:v>
                </c:pt>
                <c:pt idx="321">
                  <c:v>29.174075198858255</c:v>
                </c:pt>
                <c:pt idx="322">
                  <c:v>29.194331688637529</c:v>
                </c:pt>
                <c:pt idx="323">
                  <c:v>29.214588178416808</c:v>
                </c:pt>
                <c:pt idx="324">
                  <c:v>29.234844668196089</c:v>
                </c:pt>
                <c:pt idx="325">
                  <c:v>29.255101157975364</c:v>
                </c:pt>
                <c:pt idx="326">
                  <c:v>29.275357647754642</c:v>
                </c:pt>
                <c:pt idx="327">
                  <c:v>29.295614137533921</c:v>
                </c:pt>
                <c:pt idx="328">
                  <c:v>29.315870627313195</c:v>
                </c:pt>
                <c:pt idx="329">
                  <c:v>29.336127117092474</c:v>
                </c:pt>
                <c:pt idx="330">
                  <c:v>29.356383606871752</c:v>
                </c:pt>
                <c:pt idx="331">
                  <c:v>29.376640096651027</c:v>
                </c:pt>
                <c:pt idx="332">
                  <c:v>29.396896586430309</c:v>
                </c:pt>
                <c:pt idx="333">
                  <c:v>29.417153076209587</c:v>
                </c:pt>
                <c:pt idx="334">
                  <c:v>29.437409565988862</c:v>
                </c:pt>
                <c:pt idx="335">
                  <c:v>29.45766605576814</c:v>
                </c:pt>
                <c:pt idx="336">
                  <c:v>29.477922545547418</c:v>
                </c:pt>
                <c:pt idx="337">
                  <c:v>29.498179035326693</c:v>
                </c:pt>
                <c:pt idx="338">
                  <c:v>29.518435525105971</c:v>
                </c:pt>
                <c:pt idx="339">
                  <c:v>29.53869201488525</c:v>
                </c:pt>
                <c:pt idx="340">
                  <c:v>29.558948504664528</c:v>
                </c:pt>
                <c:pt idx="341">
                  <c:v>29.579204994443806</c:v>
                </c:pt>
                <c:pt idx="342">
                  <c:v>29.599461484223085</c:v>
                </c:pt>
                <c:pt idx="343">
                  <c:v>29.619717974002359</c:v>
                </c:pt>
                <c:pt idx="344">
                  <c:v>29.639974463781638</c:v>
                </c:pt>
                <c:pt idx="345">
                  <c:v>29.660230953560916</c:v>
                </c:pt>
                <c:pt idx="346">
                  <c:v>29.680487443340191</c:v>
                </c:pt>
                <c:pt idx="347">
                  <c:v>29.700743933119469</c:v>
                </c:pt>
                <c:pt idx="348">
                  <c:v>29.721000422898747</c:v>
                </c:pt>
                <c:pt idx="349">
                  <c:v>29.741256912678026</c:v>
                </c:pt>
                <c:pt idx="350">
                  <c:v>29.761513402457304</c:v>
                </c:pt>
                <c:pt idx="351">
                  <c:v>29.781769892236582</c:v>
                </c:pt>
                <c:pt idx="352">
                  <c:v>29.802026382015857</c:v>
                </c:pt>
                <c:pt idx="353">
                  <c:v>29.822282871795135</c:v>
                </c:pt>
                <c:pt idx="354">
                  <c:v>29.842539361574413</c:v>
                </c:pt>
                <c:pt idx="355">
                  <c:v>29.862795851353688</c:v>
                </c:pt>
                <c:pt idx="356">
                  <c:v>29.883052341132966</c:v>
                </c:pt>
                <c:pt idx="357">
                  <c:v>29.903308830912248</c:v>
                </c:pt>
                <c:pt idx="358">
                  <c:v>29.923565320691523</c:v>
                </c:pt>
                <c:pt idx="359">
                  <c:v>29.943821810470801</c:v>
                </c:pt>
                <c:pt idx="360">
                  <c:v>29.96407830025008</c:v>
                </c:pt>
                <c:pt idx="361">
                  <c:v>29.984334790029354</c:v>
                </c:pt>
                <c:pt idx="362">
                  <c:v>30.004591279808633</c:v>
                </c:pt>
                <c:pt idx="363">
                  <c:v>30.024847769587911</c:v>
                </c:pt>
                <c:pt idx="364">
                  <c:v>30.045104259367186</c:v>
                </c:pt>
                <c:pt idx="365">
                  <c:v>30.065360749146468</c:v>
                </c:pt>
                <c:pt idx="366">
                  <c:v>30.085617238925746</c:v>
                </c:pt>
                <c:pt idx="367">
                  <c:v>30.105873728705021</c:v>
                </c:pt>
                <c:pt idx="368">
                  <c:v>30.126130218484299</c:v>
                </c:pt>
                <c:pt idx="369">
                  <c:v>30.146386708263577</c:v>
                </c:pt>
                <c:pt idx="370">
                  <c:v>30.166643198042852</c:v>
                </c:pt>
                <c:pt idx="371">
                  <c:v>30.18689968782213</c:v>
                </c:pt>
                <c:pt idx="372">
                  <c:v>30.207156177601409</c:v>
                </c:pt>
                <c:pt idx="373">
                  <c:v>30.227412667380683</c:v>
                </c:pt>
                <c:pt idx="374">
                  <c:v>30.247669157159965</c:v>
                </c:pt>
                <c:pt idx="375">
                  <c:v>30.267925646939243</c:v>
                </c:pt>
                <c:pt idx="376">
                  <c:v>30.288182136718518</c:v>
                </c:pt>
                <c:pt idx="377">
                  <c:v>30.308438626497797</c:v>
                </c:pt>
                <c:pt idx="378">
                  <c:v>30.328695116277075</c:v>
                </c:pt>
                <c:pt idx="379">
                  <c:v>30.34895160605635</c:v>
                </c:pt>
                <c:pt idx="380">
                  <c:v>30.369208095835628</c:v>
                </c:pt>
                <c:pt idx="381">
                  <c:v>30.389464585614906</c:v>
                </c:pt>
                <c:pt idx="382">
                  <c:v>30.409721075394184</c:v>
                </c:pt>
                <c:pt idx="383">
                  <c:v>30.429977565173463</c:v>
                </c:pt>
                <c:pt idx="384">
                  <c:v>30.450234054952741</c:v>
                </c:pt>
                <c:pt idx="385">
                  <c:v>30.470490544732016</c:v>
                </c:pt>
                <c:pt idx="386">
                  <c:v>30.490747034511294</c:v>
                </c:pt>
                <c:pt idx="387">
                  <c:v>30.511003524290572</c:v>
                </c:pt>
                <c:pt idx="388">
                  <c:v>30.531260014069847</c:v>
                </c:pt>
                <c:pt idx="389">
                  <c:v>30.551516503849125</c:v>
                </c:pt>
                <c:pt idx="390">
                  <c:v>30.571772993628407</c:v>
                </c:pt>
                <c:pt idx="391">
                  <c:v>30.592029483407682</c:v>
                </c:pt>
                <c:pt idx="392">
                  <c:v>30.61228597318696</c:v>
                </c:pt>
                <c:pt idx="393">
                  <c:v>30.632542462966239</c:v>
                </c:pt>
                <c:pt idx="394">
                  <c:v>30.652798952745513</c:v>
                </c:pt>
                <c:pt idx="395">
                  <c:v>30.673055442524792</c:v>
                </c:pt>
                <c:pt idx="396">
                  <c:v>30.693311932304066</c:v>
                </c:pt>
                <c:pt idx="397">
                  <c:v>30.713568422083345</c:v>
                </c:pt>
                <c:pt idx="398">
                  <c:v>30.733824911862623</c:v>
                </c:pt>
                <c:pt idx="399">
                  <c:v>30.754081401641901</c:v>
                </c:pt>
                <c:pt idx="400">
                  <c:v>30.77433789142118</c:v>
                </c:pt>
                <c:pt idx="401">
                  <c:v>30.794594381200458</c:v>
                </c:pt>
                <c:pt idx="402">
                  <c:v>30.814850870979733</c:v>
                </c:pt>
                <c:pt idx="403">
                  <c:v>30.835107360759011</c:v>
                </c:pt>
                <c:pt idx="404">
                  <c:v>30.855363850538289</c:v>
                </c:pt>
                <c:pt idx="405">
                  <c:v>30.875620340317564</c:v>
                </c:pt>
                <c:pt idx="406">
                  <c:v>30.895876830096842</c:v>
                </c:pt>
                <c:pt idx="407">
                  <c:v>30.916133319876124</c:v>
                </c:pt>
                <c:pt idx="408">
                  <c:v>30.936389809655399</c:v>
                </c:pt>
                <c:pt idx="409">
                  <c:v>30.956646299434677</c:v>
                </c:pt>
                <c:pt idx="410">
                  <c:v>30.976902789213955</c:v>
                </c:pt>
                <c:pt idx="411">
                  <c:v>30.99715927899323</c:v>
                </c:pt>
                <c:pt idx="412">
                  <c:v>31.017415768772508</c:v>
                </c:pt>
                <c:pt idx="413">
                  <c:v>31.037672258551787</c:v>
                </c:pt>
                <c:pt idx="414">
                  <c:v>31.057928748331062</c:v>
                </c:pt>
                <c:pt idx="415">
                  <c:v>31.078185238110343</c:v>
                </c:pt>
                <c:pt idx="416">
                  <c:v>31.098441727889622</c:v>
                </c:pt>
                <c:pt idx="417">
                  <c:v>31.118698217668896</c:v>
                </c:pt>
                <c:pt idx="418">
                  <c:v>31.138954707448175</c:v>
                </c:pt>
                <c:pt idx="419">
                  <c:v>31.159211197227453</c:v>
                </c:pt>
                <c:pt idx="420">
                  <c:v>31.179467687006728</c:v>
                </c:pt>
                <c:pt idx="421">
                  <c:v>31.199724176786006</c:v>
                </c:pt>
                <c:pt idx="422">
                  <c:v>31.219980666565284</c:v>
                </c:pt>
                <c:pt idx="423">
                  <c:v>31.240237156344559</c:v>
                </c:pt>
                <c:pt idx="424">
                  <c:v>31.260493646123841</c:v>
                </c:pt>
                <c:pt idx="425">
                  <c:v>31.280750135903119</c:v>
                </c:pt>
                <c:pt idx="426">
                  <c:v>31.301006625682394</c:v>
                </c:pt>
                <c:pt idx="427">
                  <c:v>31.321263115461672</c:v>
                </c:pt>
                <c:pt idx="428">
                  <c:v>31.341519605240951</c:v>
                </c:pt>
                <c:pt idx="429">
                  <c:v>31.361776095020225</c:v>
                </c:pt>
                <c:pt idx="430">
                  <c:v>31.382032584799507</c:v>
                </c:pt>
                <c:pt idx="431">
                  <c:v>31.402289074578778</c:v>
                </c:pt>
                <c:pt idx="432">
                  <c:v>31.422545564358064</c:v>
                </c:pt>
                <c:pt idx="433">
                  <c:v>31.442802054137342</c:v>
                </c:pt>
                <c:pt idx="434">
                  <c:v>31.463058543916613</c:v>
                </c:pt>
                <c:pt idx="435">
                  <c:v>31.483315033695892</c:v>
                </c:pt>
                <c:pt idx="436">
                  <c:v>31.50357152347517</c:v>
                </c:pt>
                <c:pt idx="437">
                  <c:v>31.523828013254448</c:v>
                </c:pt>
                <c:pt idx="438">
                  <c:v>31.544084503033726</c:v>
                </c:pt>
                <c:pt idx="439">
                  <c:v>31.564340992812998</c:v>
                </c:pt>
                <c:pt idx="440">
                  <c:v>31.584597482592283</c:v>
                </c:pt>
                <c:pt idx="441">
                  <c:v>31.604853972371561</c:v>
                </c:pt>
                <c:pt idx="442">
                  <c:v>31.625110462150833</c:v>
                </c:pt>
                <c:pt idx="443">
                  <c:v>31.645366951930111</c:v>
                </c:pt>
                <c:pt idx="444">
                  <c:v>31.665623441709389</c:v>
                </c:pt>
                <c:pt idx="445">
                  <c:v>31.685879931488667</c:v>
                </c:pt>
                <c:pt idx="446">
                  <c:v>31.706136421267946</c:v>
                </c:pt>
                <c:pt idx="447">
                  <c:v>31.726392911047224</c:v>
                </c:pt>
                <c:pt idx="448">
                  <c:v>31.746649400826495</c:v>
                </c:pt>
                <c:pt idx="449">
                  <c:v>31.766905890605781</c:v>
                </c:pt>
                <c:pt idx="450">
                  <c:v>31.787162380385059</c:v>
                </c:pt>
                <c:pt idx="451">
                  <c:v>31.80741887016433</c:v>
                </c:pt>
                <c:pt idx="452">
                  <c:v>31.827675359943608</c:v>
                </c:pt>
                <c:pt idx="453">
                  <c:v>31.847931849722894</c:v>
                </c:pt>
                <c:pt idx="454">
                  <c:v>31.868188339502165</c:v>
                </c:pt>
                <c:pt idx="455">
                  <c:v>31.888444829281443</c:v>
                </c:pt>
                <c:pt idx="456">
                  <c:v>31.908701319060722</c:v>
                </c:pt>
                <c:pt idx="457">
                  <c:v>31.92895780884</c:v>
                </c:pt>
                <c:pt idx="458">
                  <c:v>31.949214298619271</c:v>
                </c:pt>
                <c:pt idx="459">
                  <c:v>31.969470788398556</c:v>
                </c:pt>
                <c:pt idx="460">
                  <c:v>31.989727278177828</c:v>
                </c:pt>
                <c:pt idx="461">
                  <c:v>32.00998376795711</c:v>
                </c:pt>
                <c:pt idx="462">
                  <c:v>32.030240257736395</c:v>
                </c:pt>
                <c:pt idx="463">
                  <c:v>32.050496747515666</c:v>
                </c:pt>
                <c:pt idx="464">
                  <c:v>32.070753237294937</c:v>
                </c:pt>
                <c:pt idx="465">
                  <c:v>32.091009727074223</c:v>
                </c:pt>
                <c:pt idx="466">
                  <c:v>32.111266216853494</c:v>
                </c:pt>
                <c:pt idx="467">
                  <c:v>32.131522706632765</c:v>
                </c:pt>
                <c:pt idx="468">
                  <c:v>32.151779196412051</c:v>
                </c:pt>
                <c:pt idx="469">
                  <c:v>32.172035686191322</c:v>
                </c:pt>
                <c:pt idx="470">
                  <c:v>32.192292175970607</c:v>
                </c:pt>
                <c:pt idx="471">
                  <c:v>32.212548665749893</c:v>
                </c:pt>
                <c:pt idx="472">
                  <c:v>32.232805155529164</c:v>
                </c:pt>
                <c:pt idx="473">
                  <c:v>32.253061645308435</c:v>
                </c:pt>
                <c:pt idx="474">
                  <c:v>32.27331813508772</c:v>
                </c:pt>
                <c:pt idx="475">
                  <c:v>32.293574624866991</c:v>
                </c:pt>
                <c:pt idx="476">
                  <c:v>32.313831114646263</c:v>
                </c:pt>
                <c:pt idx="477">
                  <c:v>32.334087604425548</c:v>
                </c:pt>
                <c:pt idx="478">
                  <c:v>32.354344094204833</c:v>
                </c:pt>
                <c:pt idx="479">
                  <c:v>32.374600583984105</c:v>
                </c:pt>
                <c:pt idx="480">
                  <c:v>32.39485707376339</c:v>
                </c:pt>
                <c:pt idx="481">
                  <c:v>32.415113563542661</c:v>
                </c:pt>
                <c:pt idx="482">
                  <c:v>32.435370053321932</c:v>
                </c:pt>
                <c:pt idx="483">
                  <c:v>32.455626543101218</c:v>
                </c:pt>
                <c:pt idx="484">
                  <c:v>32.475883032880489</c:v>
                </c:pt>
                <c:pt idx="485">
                  <c:v>32.49613952265976</c:v>
                </c:pt>
                <c:pt idx="486">
                  <c:v>32.516396012439046</c:v>
                </c:pt>
                <c:pt idx="487">
                  <c:v>32.536652502218331</c:v>
                </c:pt>
                <c:pt idx="488">
                  <c:v>32.556908991997602</c:v>
                </c:pt>
                <c:pt idx="489">
                  <c:v>32.577165481776888</c:v>
                </c:pt>
                <c:pt idx="490">
                  <c:v>32.597421971556159</c:v>
                </c:pt>
                <c:pt idx="491">
                  <c:v>32.61767846133543</c:v>
                </c:pt>
                <c:pt idx="492">
                  <c:v>32.637934951114715</c:v>
                </c:pt>
                <c:pt idx="493">
                  <c:v>32.658191440893987</c:v>
                </c:pt>
                <c:pt idx="494">
                  <c:v>32.678447930673258</c:v>
                </c:pt>
                <c:pt idx="495">
                  <c:v>32.698704420452543</c:v>
                </c:pt>
                <c:pt idx="496">
                  <c:v>32.718960910231829</c:v>
                </c:pt>
                <c:pt idx="497">
                  <c:v>32.7392174000111</c:v>
                </c:pt>
                <c:pt idx="498">
                  <c:v>32.759473889790385</c:v>
                </c:pt>
                <c:pt idx="499">
                  <c:v>32.779730379569656</c:v>
                </c:pt>
                <c:pt idx="500">
                  <c:v>32.799986869348928</c:v>
                </c:pt>
              </c:numCache>
            </c:numRef>
          </c:yVal>
          <c:bubbleSize>
            <c:numRef>
              <c:f>DGP!$BJ$2:$BJ$502</c:f>
              <c:numCache>
                <c:formatCode>General</c:formatCode>
                <c:ptCount val="501"/>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10</c:v>
                </c:pt>
                <c:pt idx="39">
                  <c:v>10</c:v>
                </c:pt>
                <c:pt idx="40">
                  <c:v>10</c:v>
                </c:pt>
                <c:pt idx="41">
                  <c:v>10</c:v>
                </c:pt>
                <c:pt idx="42">
                  <c:v>10</c:v>
                </c:pt>
                <c:pt idx="43">
                  <c:v>10</c:v>
                </c:pt>
                <c:pt idx="44">
                  <c:v>10</c:v>
                </c:pt>
                <c:pt idx="45">
                  <c:v>10</c:v>
                </c:pt>
                <c:pt idx="46">
                  <c:v>10</c:v>
                </c:pt>
                <c:pt idx="47">
                  <c:v>10</c:v>
                </c:pt>
                <c:pt idx="48">
                  <c:v>10</c:v>
                </c:pt>
                <c:pt idx="49">
                  <c:v>10</c:v>
                </c:pt>
                <c:pt idx="50">
                  <c:v>10</c:v>
                </c:pt>
                <c:pt idx="51">
                  <c:v>10</c:v>
                </c:pt>
                <c:pt idx="52">
                  <c:v>10</c:v>
                </c:pt>
                <c:pt idx="53">
                  <c:v>10</c:v>
                </c:pt>
                <c:pt idx="54">
                  <c:v>10</c:v>
                </c:pt>
                <c:pt idx="55">
                  <c:v>10</c:v>
                </c:pt>
                <c:pt idx="56">
                  <c:v>10</c:v>
                </c:pt>
                <c:pt idx="57">
                  <c:v>10</c:v>
                </c:pt>
                <c:pt idx="58">
                  <c:v>10</c:v>
                </c:pt>
                <c:pt idx="59">
                  <c:v>10</c:v>
                </c:pt>
                <c:pt idx="60">
                  <c:v>10</c:v>
                </c:pt>
                <c:pt idx="61">
                  <c:v>10</c:v>
                </c:pt>
                <c:pt idx="62">
                  <c:v>10</c:v>
                </c:pt>
                <c:pt idx="63">
                  <c:v>10</c:v>
                </c:pt>
                <c:pt idx="64">
                  <c:v>10</c:v>
                </c:pt>
                <c:pt idx="65">
                  <c:v>10</c:v>
                </c:pt>
                <c:pt idx="66">
                  <c:v>10</c:v>
                </c:pt>
                <c:pt idx="67">
                  <c:v>10</c:v>
                </c:pt>
                <c:pt idx="68">
                  <c:v>10</c:v>
                </c:pt>
                <c:pt idx="69">
                  <c:v>10</c:v>
                </c:pt>
                <c:pt idx="70">
                  <c:v>10</c:v>
                </c:pt>
                <c:pt idx="71">
                  <c:v>10</c:v>
                </c:pt>
                <c:pt idx="72">
                  <c:v>10</c:v>
                </c:pt>
                <c:pt idx="73">
                  <c:v>10</c:v>
                </c:pt>
                <c:pt idx="74">
                  <c:v>10</c:v>
                </c:pt>
                <c:pt idx="75">
                  <c:v>10</c:v>
                </c:pt>
                <c:pt idx="76">
                  <c:v>10</c:v>
                </c:pt>
                <c:pt idx="77">
                  <c:v>10</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pt idx="101">
                  <c:v>10</c:v>
                </c:pt>
                <c:pt idx="102">
                  <c:v>10</c:v>
                </c:pt>
                <c:pt idx="103">
                  <c:v>10</c:v>
                </c:pt>
                <c:pt idx="104">
                  <c:v>10</c:v>
                </c:pt>
                <c:pt idx="105">
                  <c:v>10</c:v>
                </c:pt>
                <c:pt idx="106">
                  <c:v>10</c:v>
                </c:pt>
                <c:pt idx="107">
                  <c:v>10</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10</c:v>
                </c:pt>
                <c:pt idx="121">
                  <c:v>10</c:v>
                </c:pt>
                <c:pt idx="122">
                  <c:v>10</c:v>
                </c:pt>
                <c:pt idx="123">
                  <c:v>10</c:v>
                </c:pt>
                <c:pt idx="124">
                  <c:v>10</c:v>
                </c:pt>
                <c:pt idx="125">
                  <c:v>10</c:v>
                </c:pt>
                <c:pt idx="126">
                  <c:v>10</c:v>
                </c:pt>
                <c:pt idx="127">
                  <c:v>10</c:v>
                </c:pt>
                <c:pt idx="128">
                  <c:v>10</c:v>
                </c:pt>
                <c:pt idx="129">
                  <c:v>10</c:v>
                </c:pt>
                <c:pt idx="130">
                  <c:v>10</c:v>
                </c:pt>
                <c:pt idx="131">
                  <c:v>10</c:v>
                </c:pt>
                <c:pt idx="132">
                  <c:v>10</c:v>
                </c:pt>
                <c:pt idx="133">
                  <c:v>10</c:v>
                </c:pt>
                <c:pt idx="134">
                  <c:v>10</c:v>
                </c:pt>
                <c:pt idx="135">
                  <c:v>10</c:v>
                </c:pt>
                <c:pt idx="136">
                  <c:v>10</c:v>
                </c:pt>
                <c:pt idx="137">
                  <c:v>10</c:v>
                </c:pt>
                <c:pt idx="138">
                  <c:v>10</c:v>
                </c:pt>
                <c:pt idx="139">
                  <c:v>10</c:v>
                </c:pt>
                <c:pt idx="140">
                  <c:v>10</c:v>
                </c:pt>
                <c:pt idx="141">
                  <c:v>10</c:v>
                </c:pt>
                <c:pt idx="142">
                  <c:v>10</c:v>
                </c:pt>
                <c:pt idx="143">
                  <c:v>10</c:v>
                </c:pt>
                <c:pt idx="144">
                  <c:v>10</c:v>
                </c:pt>
                <c:pt idx="145">
                  <c:v>10</c:v>
                </c:pt>
                <c:pt idx="146">
                  <c:v>10</c:v>
                </c:pt>
                <c:pt idx="147">
                  <c:v>10</c:v>
                </c:pt>
                <c:pt idx="148">
                  <c:v>10</c:v>
                </c:pt>
                <c:pt idx="149">
                  <c:v>10</c:v>
                </c:pt>
                <c:pt idx="150">
                  <c:v>10</c:v>
                </c:pt>
                <c:pt idx="151">
                  <c:v>10</c:v>
                </c:pt>
                <c:pt idx="152">
                  <c:v>10</c:v>
                </c:pt>
                <c:pt idx="153">
                  <c:v>10</c:v>
                </c:pt>
                <c:pt idx="154">
                  <c:v>10</c:v>
                </c:pt>
                <c:pt idx="155">
                  <c:v>10</c:v>
                </c:pt>
                <c:pt idx="156">
                  <c:v>10</c:v>
                </c:pt>
                <c:pt idx="157">
                  <c:v>10</c:v>
                </c:pt>
                <c:pt idx="158">
                  <c:v>10</c:v>
                </c:pt>
                <c:pt idx="159">
                  <c:v>10</c:v>
                </c:pt>
                <c:pt idx="160">
                  <c:v>10</c:v>
                </c:pt>
                <c:pt idx="161">
                  <c:v>10</c:v>
                </c:pt>
                <c:pt idx="162">
                  <c:v>10</c:v>
                </c:pt>
                <c:pt idx="163">
                  <c:v>10</c:v>
                </c:pt>
                <c:pt idx="164">
                  <c:v>10</c:v>
                </c:pt>
                <c:pt idx="165">
                  <c:v>10</c:v>
                </c:pt>
                <c:pt idx="166">
                  <c:v>10</c:v>
                </c:pt>
                <c:pt idx="167">
                  <c:v>10</c:v>
                </c:pt>
                <c:pt idx="168">
                  <c:v>10</c:v>
                </c:pt>
                <c:pt idx="169">
                  <c:v>10</c:v>
                </c:pt>
                <c:pt idx="170">
                  <c:v>10</c:v>
                </c:pt>
                <c:pt idx="171">
                  <c:v>10</c:v>
                </c:pt>
                <c:pt idx="172">
                  <c:v>10</c:v>
                </c:pt>
                <c:pt idx="173">
                  <c:v>10</c:v>
                </c:pt>
                <c:pt idx="174">
                  <c:v>10</c:v>
                </c:pt>
                <c:pt idx="175">
                  <c:v>10</c:v>
                </c:pt>
                <c:pt idx="176">
                  <c:v>10</c:v>
                </c:pt>
                <c:pt idx="177">
                  <c:v>10</c:v>
                </c:pt>
                <c:pt idx="178">
                  <c:v>10</c:v>
                </c:pt>
                <c:pt idx="179">
                  <c:v>10</c:v>
                </c:pt>
                <c:pt idx="180">
                  <c:v>10</c:v>
                </c:pt>
                <c:pt idx="181">
                  <c:v>10</c:v>
                </c:pt>
                <c:pt idx="182">
                  <c:v>10</c:v>
                </c:pt>
                <c:pt idx="183">
                  <c:v>10</c:v>
                </c:pt>
                <c:pt idx="184">
                  <c:v>10</c:v>
                </c:pt>
                <c:pt idx="185">
                  <c:v>10</c:v>
                </c:pt>
                <c:pt idx="186">
                  <c:v>10</c:v>
                </c:pt>
                <c:pt idx="187">
                  <c:v>10</c:v>
                </c:pt>
                <c:pt idx="188">
                  <c:v>10</c:v>
                </c:pt>
                <c:pt idx="189">
                  <c:v>10</c:v>
                </c:pt>
                <c:pt idx="190">
                  <c:v>10</c:v>
                </c:pt>
                <c:pt idx="191">
                  <c:v>10</c:v>
                </c:pt>
                <c:pt idx="192">
                  <c:v>10</c:v>
                </c:pt>
                <c:pt idx="193">
                  <c:v>10</c:v>
                </c:pt>
                <c:pt idx="194">
                  <c:v>10</c:v>
                </c:pt>
                <c:pt idx="195">
                  <c:v>10</c:v>
                </c:pt>
                <c:pt idx="196">
                  <c:v>10</c:v>
                </c:pt>
                <c:pt idx="197">
                  <c:v>10</c:v>
                </c:pt>
                <c:pt idx="198">
                  <c:v>10</c:v>
                </c:pt>
                <c:pt idx="199">
                  <c:v>10</c:v>
                </c:pt>
                <c:pt idx="200">
                  <c:v>10</c:v>
                </c:pt>
                <c:pt idx="201">
                  <c:v>10</c:v>
                </c:pt>
                <c:pt idx="202">
                  <c:v>10</c:v>
                </c:pt>
                <c:pt idx="203">
                  <c:v>10</c:v>
                </c:pt>
                <c:pt idx="204">
                  <c:v>10</c:v>
                </c:pt>
                <c:pt idx="205">
                  <c:v>10</c:v>
                </c:pt>
                <c:pt idx="206">
                  <c:v>10</c:v>
                </c:pt>
                <c:pt idx="207">
                  <c:v>10</c:v>
                </c:pt>
                <c:pt idx="208">
                  <c:v>10</c:v>
                </c:pt>
                <c:pt idx="209">
                  <c:v>10</c:v>
                </c:pt>
                <c:pt idx="210">
                  <c:v>10</c:v>
                </c:pt>
                <c:pt idx="211">
                  <c:v>10</c:v>
                </c:pt>
                <c:pt idx="212">
                  <c:v>10</c:v>
                </c:pt>
                <c:pt idx="213">
                  <c:v>10</c:v>
                </c:pt>
                <c:pt idx="214">
                  <c:v>10</c:v>
                </c:pt>
                <c:pt idx="215">
                  <c:v>10</c:v>
                </c:pt>
                <c:pt idx="216">
                  <c:v>10</c:v>
                </c:pt>
                <c:pt idx="217">
                  <c:v>10</c:v>
                </c:pt>
                <c:pt idx="218">
                  <c:v>10</c:v>
                </c:pt>
                <c:pt idx="219">
                  <c:v>10</c:v>
                </c:pt>
                <c:pt idx="220">
                  <c:v>10</c:v>
                </c:pt>
                <c:pt idx="221">
                  <c:v>10</c:v>
                </c:pt>
                <c:pt idx="222">
                  <c:v>10</c:v>
                </c:pt>
                <c:pt idx="223">
                  <c:v>10</c:v>
                </c:pt>
                <c:pt idx="224">
                  <c:v>10</c:v>
                </c:pt>
                <c:pt idx="225">
                  <c:v>10</c:v>
                </c:pt>
                <c:pt idx="226">
                  <c:v>10</c:v>
                </c:pt>
                <c:pt idx="227">
                  <c:v>10</c:v>
                </c:pt>
                <c:pt idx="228">
                  <c:v>10</c:v>
                </c:pt>
                <c:pt idx="229">
                  <c:v>10</c:v>
                </c:pt>
                <c:pt idx="230">
                  <c:v>10</c:v>
                </c:pt>
                <c:pt idx="231">
                  <c:v>10</c:v>
                </c:pt>
                <c:pt idx="232">
                  <c:v>10</c:v>
                </c:pt>
                <c:pt idx="233">
                  <c:v>10</c:v>
                </c:pt>
                <c:pt idx="234">
                  <c:v>10</c:v>
                </c:pt>
                <c:pt idx="235">
                  <c:v>10</c:v>
                </c:pt>
                <c:pt idx="236">
                  <c:v>10</c:v>
                </c:pt>
                <c:pt idx="237">
                  <c:v>10</c:v>
                </c:pt>
                <c:pt idx="238">
                  <c:v>10</c:v>
                </c:pt>
                <c:pt idx="239">
                  <c:v>10</c:v>
                </c:pt>
                <c:pt idx="240">
                  <c:v>10</c:v>
                </c:pt>
                <c:pt idx="241">
                  <c:v>10</c:v>
                </c:pt>
                <c:pt idx="242">
                  <c:v>10</c:v>
                </c:pt>
                <c:pt idx="243">
                  <c:v>10</c:v>
                </c:pt>
                <c:pt idx="244">
                  <c:v>10</c:v>
                </c:pt>
                <c:pt idx="245">
                  <c:v>10</c:v>
                </c:pt>
                <c:pt idx="246">
                  <c:v>10</c:v>
                </c:pt>
                <c:pt idx="247">
                  <c:v>10</c:v>
                </c:pt>
                <c:pt idx="248">
                  <c:v>10</c:v>
                </c:pt>
                <c:pt idx="249">
                  <c:v>10</c:v>
                </c:pt>
                <c:pt idx="250">
                  <c:v>10</c:v>
                </c:pt>
                <c:pt idx="251">
                  <c:v>10</c:v>
                </c:pt>
                <c:pt idx="252">
                  <c:v>10</c:v>
                </c:pt>
                <c:pt idx="253">
                  <c:v>10</c:v>
                </c:pt>
                <c:pt idx="254">
                  <c:v>10</c:v>
                </c:pt>
                <c:pt idx="255">
                  <c:v>10</c:v>
                </c:pt>
                <c:pt idx="256">
                  <c:v>10</c:v>
                </c:pt>
                <c:pt idx="257">
                  <c:v>10</c:v>
                </c:pt>
                <c:pt idx="258">
                  <c:v>10</c:v>
                </c:pt>
                <c:pt idx="259">
                  <c:v>10</c:v>
                </c:pt>
                <c:pt idx="260">
                  <c:v>10</c:v>
                </c:pt>
                <c:pt idx="261">
                  <c:v>10</c:v>
                </c:pt>
                <c:pt idx="262">
                  <c:v>10</c:v>
                </c:pt>
                <c:pt idx="263">
                  <c:v>10</c:v>
                </c:pt>
                <c:pt idx="264">
                  <c:v>10</c:v>
                </c:pt>
                <c:pt idx="265">
                  <c:v>10</c:v>
                </c:pt>
                <c:pt idx="266">
                  <c:v>10</c:v>
                </c:pt>
                <c:pt idx="267">
                  <c:v>10</c:v>
                </c:pt>
                <c:pt idx="268">
                  <c:v>10</c:v>
                </c:pt>
                <c:pt idx="269">
                  <c:v>10</c:v>
                </c:pt>
                <c:pt idx="270">
                  <c:v>10</c:v>
                </c:pt>
                <c:pt idx="271">
                  <c:v>10</c:v>
                </c:pt>
                <c:pt idx="272">
                  <c:v>10</c:v>
                </c:pt>
                <c:pt idx="273">
                  <c:v>10</c:v>
                </c:pt>
                <c:pt idx="274">
                  <c:v>10</c:v>
                </c:pt>
                <c:pt idx="275">
                  <c:v>10</c:v>
                </c:pt>
                <c:pt idx="276">
                  <c:v>10</c:v>
                </c:pt>
                <c:pt idx="277">
                  <c:v>10</c:v>
                </c:pt>
                <c:pt idx="278">
                  <c:v>10</c:v>
                </c:pt>
                <c:pt idx="279">
                  <c:v>10</c:v>
                </c:pt>
                <c:pt idx="280">
                  <c:v>10</c:v>
                </c:pt>
                <c:pt idx="281">
                  <c:v>10</c:v>
                </c:pt>
                <c:pt idx="282">
                  <c:v>10</c:v>
                </c:pt>
                <c:pt idx="283">
                  <c:v>10</c:v>
                </c:pt>
                <c:pt idx="284">
                  <c:v>10</c:v>
                </c:pt>
                <c:pt idx="285">
                  <c:v>10</c:v>
                </c:pt>
                <c:pt idx="286">
                  <c:v>10</c:v>
                </c:pt>
                <c:pt idx="287">
                  <c:v>10</c:v>
                </c:pt>
                <c:pt idx="288">
                  <c:v>10</c:v>
                </c:pt>
                <c:pt idx="289">
                  <c:v>10</c:v>
                </c:pt>
                <c:pt idx="290">
                  <c:v>10</c:v>
                </c:pt>
                <c:pt idx="291">
                  <c:v>10</c:v>
                </c:pt>
                <c:pt idx="292">
                  <c:v>10</c:v>
                </c:pt>
                <c:pt idx="293">
                  <c:v>10</c:v>
                </c:pt>
                <c:pt idx="294">
                  <c:v>10</c:v>
                </c:pt>
                <c:pt idx="295">
                  <c:v>10</c:v>
                </c:pt>
                <c:pt idx="296">
                  <c:v>10</c:v>
                </c:pt>
                <c:pt idx="297">
                  <c:v>10</c:v>
                </c:pt>
                <c:pt idx="298">
                  <c:v>10</c:v>
                </c:pt>
                <c:pt idx="299">
                  <c:v>10</c:v>
                </c:pt>
                <c:pt idx="300">
                  <c:v>10</c:v>
                </c:pt>
                <c:pt idx="301">
                  <c:v>10</c:v>
                </c:pt>
                <c:pt idx="302">
                  <c:v>10</c:v>
                </c:pt>
                <c:pt idx="303">
                  <c:v>10</c:v>
                </c:pt>
                <c:pt idx="304">
                  <c:v>10</c:v>
                </c:pt>
                <c:pt idx="305">
                  <c:v>10</c:v>
                </c:pt>
                <c:pt idx="306">
                  <c:v>10</c:v>
                </c:pt>
                <c:pt idx="307">
                  <c:v>10</c:v>
                </c:pt>
                <c:pt idx="308">
                  <c:v>10</c:v>
                </c:pt>
                <c:pt idx="309">
                  <c:v>10</c:v>
                </c:pt>
                <c:pt idx="310">
                  <c:v>10</c:v>
                </c:pt>
                <c:pt idx="311">
                  <c:v>10</c:v>
                </c:pt>
                <c:pt idx="312">
                  <c:v>10</c:v>
                </c:pt>
                <c:pt idx="313">
                  <c:v>10</c:v>
                </c:pt>
                <c:pt idx="314">
                  <c:v>10</c:v>
                </c:pt>
                <c:pt idx="315">
                  <c:v>10</c:v>
                </c:pt>
                <c:pt idx="316">
                  <c:v>10</c:v>
                </c:pt>
                <c:pt idx="317">
                  <c:v>10</c:v>
                </c:pt>
                <c:pt idx="318">
                  <c:v>10</c:v>
                </c:pt>
                <c:pt idx="319">
                  <c:v>10</c:v>
                </c:pt>
                <c:pt idx="320">
                  <c:v>10</c:v>
                </c:pt>
                <c:pt idx="321">
                  <c:v>10</c:v>
                </c:pt>
                <c:pt idx="322">
                  <c:v>10</c:v>
                </c:pt>
                <c:pt idx="323">
                  <c:v>10</c:v>
                </c:pt>
                <c:pt idx="324">
                  <c:v>10</c:v>
                </c:pt>
                <c:pt idx="325">
                  <c:v>10</c:v>
                </c:pt>
                <c:pt idx="326">
                  <c:v>10</c:v>
                </c:pt>
                <c:pt idx="327">
                  <c:v>10</c:v>
                </c:pt>
                <c:pt idx="328">
                  <c:v>10</c:v>
                </c:pt>
                <c:pt idx="329">
                  <c:v>10</c:v>
                </c:pt>
                <c:pt idx="330">
                  <c:v>10</c:v>
                </c:pt>
                <c:pt idx="331">
                  <c:v>10</c:v>
                </c:pt>
                <c:pt idx="332">
                  <c:v>10</c:v>
                </c:pt>
                <c:pt idx="333">
                  <c:v>10</c:v>
                </c:pt>
                <c:pt idx="334">
                  <c:v>10</c:v>
                </c:pt>
                <c:pt idx="335">
                  <c:v>10</c:v>
                </c:pt>
                <c:pt idx="336">
                  <c:v>10</c:v>
                </c:pt>
                <c:pt idx="337">
                  <c:v>10</c:v>
                </c:pt>
                <c:pt idx="338">
                  <c:v>10</c:v>
                </c:pt>
                <c:pt idx="339">
                  <c:v>10</c:v>
                </c:pt>
                <c:pt idx="340">
                  <c:v>10</c:v>
                </c:pt>
                <c:pt idx="341">
                  <c:v>10</c:v>
                </c:pt>
                <c:pt idx="342">
                  <c:v>10</c:v>
                </c:pt>
                <c:pt idx="343">
                  <c:v>10</c:v>
                </c:pt>
                <c:pt idx="344">
                  <c:v>10</c:v>
                </c:pt>
                <c:pt idx="345">
                  <c:v>10</c:v>
                </c:pt>
                <c:pt idx="346">
                  <c:v>10</c:v>
                </c:pt>
                <c:pt idx="347">
                  <c:v>10</c:v>
                </c:pt>
                <c:pt idx="348">
                  <c:v>10</c:v>
                </c:pt>
                <c:pt idx="349">
                  <c:v>10</c:v>
                </c:pt>
                <c:pt idx="350">
                  <c:v>10</c:v>
                </c:pt>
                <c:pt idx="351">
                  <c:v>10</c:v>
                </c:pt>
                <c:pt idx="352">
                  <c:v>10</c:v>
                </c:pt>
                <c:pt idx="353">
                  <c:v>10</c:v>
                </c:pt>
                <c:pt idx="354">
                  <c:v>10</c:v>
                </c:pt>
                <c:pt idx="355">
                  <c:v>10</c:v>
                </c:pt>
                <c:pt idx="356">
                  <c:v>10</c:v>
                </c:pt>
                <c:pt idx="357">
                  <c:v>10</c:v>
                </c:pt>
                <c:pt idx="358">
                  <c:v>10</c:v>
                </c:pt>
                <c:pt idx="359">
                  <c:v>10</c:v>
                </c:pt>
                <c:pt idx="360">
                  <c:v>10</c:v>
                </c:pt>
                <c:pt idx="361">
                  <c:v>10</c:v>
                </c:pt>
                <c:pt idx="362">
                  <c:v>10</c:v>
                </c:pt>
                <c:pt idx="363">
                  <c:v>10</c:v>
                </c:pt>
                <c:pt idx="364">
                  <c:v>10</c:v>
                </c:pt>
                <c:pt idx="365">
                  <c:v>10</c:v>
                </c:pt>
                <c:pt idx="366">
                  <c:v>10</c:v>
                </c:pt>
                <c:pt idx="367">
                  <c:v>10</c:v>
                </c:pt>
                <c:pt idx="368">
                  <c:v>10</c:v>
                </c:pt>
                <c:pt idx="369">
                  <c:v>10</c:v>
                </c:pt>
                <c:pt idx="370">
                  <c:v>10</c:v>
                </c:pt>
                <c:pt idx="371">
                  <c:v>10</c:v>
                </c:pt>
                <c:pt idx="372">
                  <c:v>10</c:v>
                </c:pt>
                <c:pt idx="373">
                  <c:v>10</c:v>
                </c:pt>
                <c:pt idx="374">
                  <c:v>10</c:v>
                </c:pt>
                <c:pt idx="375">
                  <c:v>10</c:v>
                </c:pt>
                <c:pt idx="376">
                  <c:v>10</c:v>
                </c:pt>
                <c:pt idx="377">
                  <c:v>10</c:v>
                </c:pt>
                <c:pt idx="378">
                  <c:v>10</c:v>
                </c:pt>
                <c:pt idx="379">
                  <c:v>10</c:v>
                </c:pt>
                <c:pt idx="380">
                  <c:v>10</c:v>
                </c:pt>
                <c:pt idx="381">
                  <c:v>10</c:v>
                </c:pt>
                <c:pt idx="382">
                  <c:v>10</c:v>
                </c:pt>
                <c:pt idx="383">
                  <c:v>10</c:v>
                </c:pt>
                <c:pt idx="384">
                  <c:v>10</c:v>
                </c:pt>
                <c:pt idx="385">
                  <c:v>10</c:v>
                </c:pt>
                <c:pt idx="386">
                  <c:v>10</c:v>
                </c:pt>
                <c:pt idx="387">
                  <c:v>10</c:v>
                </c:pt>
                <c:pt idx="388">
                  <c:v>10</c:v>
                </c:pt>
                <c:pt idx="389">
                  <c:v>10</c:v>
                </c:pt>
                <c:pt idx="390">
                  <c:v>10</c:v>
                </c:pt>
                <c:pt idx="391">
                  <c:v>10</c:v>
                </c:pt>
                <c:pt idx="392">
                  <c:v>10</c:v>
                </c:pt>
                <c:pt idx="393">
                  <c:v>10</c:v>
                </c:pt>
                <c:pt idx="394">
                  <c:v>10</c:v>
                </c:pt>
                <c:pt idx="395">
                  <c:v>10</c:v>
                </c:pt>
                <c:pt idx="396">
                  <c:v>10</c:v>
                </c:pt>
                <c:pt idx="397">
                  <c:v>10</c:v>
                </c:pt>
                <c:pt idx="398">
                  <c:v>10</c:v>
                </c:pt>
                <c:pt idx="399">
                  <c:v>10</c:v>
                </c:pt>
                <c:pt idx="400">
                  <c:v>10</c:v>
                </c:pt>
                <c:pt idx="401">
                  <c:v>10</c:v>
                </c:pt>
                <c:pt idx="402">
                  <c:v>10</c:v>
                </c:pt>
                <c:pt idx="403">
                  <c:v>10</c:v>
                </c:pt>
                <c:pt idx="404">
                  <c:v>10</c:v>
                </c:pt>
                <c:pt idx="405">
                  <c:v>10</c:v>
                </c:pt>
                <c:pt idx="406">
                  <c:v>10</c:v>
                </c:pt>
                <c:pt idx="407">
                  <c:v>10</c:v>
                </c:pt>
                <c:pt idx="408">
                  <c:v>10</c:v>
                </c:pt>
                <c:pt idx="409">
                  <c:v>10</c:v>
                </c:pt>
                <c:pt idx="410">
                  <c:v>10</c:v>
                </c:pt>
                <c:pt idx="411">
                  <c:v>10</c:v>
                </c:pt>
                <c:pt idx="412">
                  <c:v>10</c:v>
                </c:pt>
                <c:pt idx="413">
                  <c:v>10</c:v>
                </c:pt>
                <c:pt idx="414">
                  <c:v>10</c:v>
                </c:pt>
                <c:pt idx="415">
                  <c:v>10</c:v>
                </c:pt>
                <c:pt idx="416">
                  <c:v>10</c:v>
                </c:pt>
                <c:pt idx="417">
                  <c:v>10</c:v>
                </c:pt>
                <c:pt idx="418">
                  <c:v>10</c:v>
                </c:pt>
                <c:pt idx="419">
                  <c:v>10</c:v>
                </c:pt>
                <c:pt idx="420">
                  <c:v>10</c:v>
                </c:pt>
                <c:pt idx="421">
                  <c:v>10</c:v>
                </c:pt>
                <c:pt idx="422">
                  <c:v>10</c:v>
                </c:pt>
                <c:pt idx="423">
                  <c:v>10</c:v>
                </c:pt>
                <c:pt idx="424">
                  <c:v>10</c:v>
                </c:pt>
                <c:pt idx="425">
                  <c:v>10</c:v>
                </c:pt>
                <c:pt idx="426">
                  <c:v>10</c:v>
                </c:pt>
                <c:pt idx="427">
                  <c:v>10</c:v>
                </c:pt>
                <c:pt idx="428">
                  <c:v>10</c:v>
                </c:pt>
                <c:pt idx="429">
                  <c:v>10</c:v>
                </c:pt>
                <c:pt idx="430">
                  <c:v>10</c:v>
                </c:pt>
                <c:pt idx="431">
                  <c:v>10</c:v>
                </c:pt>
                <c:pt idx="432">
                  <c:v>10</c:v>
                </c:pt>
                <c:pt idx="433">
                  <c:v>10</c:v>
                </c:pt>
                <c:pt idx="434">
                  <c:v>10</c:v>
                </c:pt>
                <c:pt idx="435">
                  <c:v>10</c:v>
                </c:pt>
                <c:pt idx="436">
                  <c:v>10</c:v>
                </c:pt>
                <c:pt idx="437">
                  <c:v>10</c:v>
                </c:pt>
                <c:pt idx="438">
                  <c:v>10</c:v>
                </c:pt>
                <c:pt idx="439">
                  <c:v>10</c:v>
                </c:pt>
                <c:pt idx="440">
                  <c:v>10</c:v>
                </c:pt>
                <c:pt idx="441">
                  <c:v>10</c:v>
                </c:pt>
                <c:pt idx="442">
                  <c:v>10</c:v>
                </c:pt>
                <c:pt idx="443">
                  <c:v>10</c:v>
                </c:pt>
                <c:pt idx="444">
                  <c:v>10</c:v>
                </c:pt>
                <c:pt idx="445">
                  <c:v>10</c:v>
                </c:pt>
                <c:pt idx="446">
                  <c:v>10</c:v>
                </c:pt>
                <c:pt idx="447">
                  <c:v>10</c:v>
                </c:pt>
                <c:pt idx="448">
                  <c:v>10</c:v>
                </c:pt>
                <c:pt idx="449">
                  <c:v>10</c:v>
                </c:pt>
                <c:pt idx="450">
                  <c:v>10</c:v>
                </c:pt>
                <c:pt idx="451">
                  <c:v>10</c:v>
                </c:pt>
                <c:pt idx="452">
                  <c:v>10</c:v>
                </c:pt>
                <c:pt idx="453">
                  <c:v>10</c:v>
                </c:pt>
                <c:pt idx="454">
                  <c:v>10</c:v>
                </c:pt>
                <c:pt idx="455">
                  <c:v>10</c:v>
                </c:pt>
                <c:pt idx="456">
                  <c:v>10</c:v>
                </c:pt>
                <c:pt idx="457">
                  <c:v>10</c:v>
                </c:pt>
                <c:pt idx="458">
                  <c:v>10</c:v>
                </c:pt>
                <c:pt idx="459">
                  <c:v>10</c:v>
                </c:pt>
                <c:pt idx="460">
                  <c:v>10</c:v>
                </c:pt>
                <c:pt idx="461">
                  <c:v>10</c:v>
                </c:pt>
                <c:pt idx="462">
                  <c:v>10</c:v>
                </c:pt>
                <c:pt idx="463">
                  <c:v>10</c:v>
                </c:pt>
                <c:pt idx="464">
                  <c:v>10</c:v>
                </c:pt>
                <c:pt idx="465">
                  <c:v>10</c:v>
                </c:pt>
                <c:pt idx="466">
                  <c:v>10</c:v>
                </c:pt>
                <c:pt idx="467">
                  <c:v>10</c:v>
                </c:pt>
                <c:pt idx="468">
                  <c:v>10</c:v>
                </c:pt>
                <c:pt idx="469">
                  <c:v>10</c:v>
                </c:pt>
                <c:pt idx="470">
                  <c:v>10</c:v>
                </c:pt>
                <c:pt idx="471">
                  <c:v>10</c:v>
                </c:pt>
                <c:pt idx="472">
                  <c:v>10</c:v>
                </c:pt>
                <c:pt idx="473">
                  <c:v>10</c:v>
                </c:pt>
                <c:pt idx="474">
                  <c:v>10</c:v>
                </c:pt>
                <c:pt idx="475">
                  <c:v>10</c:v>
                </c:pt>
                <c:pt idx="476">
                  <c:v>10</c:v>
                </c:pt>
                <c:pt idx="477">
                  <c:v>10</c:v>
                </c:pt>
                <c:pt idx="478">
                  <c:v>10</c:v>
                </c:pt>
                <c:pt idx="479">
                  <c:v>10</c:v>
                </c:pt>
                <c:pt idx="480">
                  <c:v>10</c:v>
                </c:pt>
                <c:pt idx="481">
                  <c:v>10</c:v>
                </c:pt>
                <c:pt idx="482">
                  <c:v>10</c:v>
                </c:pt>
                <c:pt idx="483">
                  <c:v>10</c:v>
                </c:pt>
                <c:pt idx="484">
                  <c:v>10</c:v>
                </c:pt>
                <c:pt idx="485">
                  <c:v>10</c:v>
                </c:pt>
                <c:pt idx="486">
                  <c:v>10</c:v>
                </c:pt>
                <c:pt idx="487">
                  <c:v>10</c:v>
                </c:pt>
                <c:pt idx="488">
                  <c:v>10</c:v>
                </c:pt>
                <c:pt idx="489">
                  <c:v>10</c:v>
                </c:pt>
                <c:pt idx="490">
                  <c:v>10</c:v>
                </c:pt>
                <c:pt idx="491">
                  <c:v>10</c:v>
                </c:pt>
                <c:pt idx="492">
                  <c:v>10</c:v>
                </c:pt>
                <c:pt idx="493">
                  <c:v>10</c:v>
                </c:pt>
                <c:pt idx="494">
                  <c:v>10</c:v>
                </c:pt>
                <c:pt idx="495">
                  <c:v>10</c:v>
                </c:pt>
                <c:pt idx="496">
                  <c:v>10</c:v>
                </c:pt>
                <c:pt idx="497">
                  <c:v>10</c:v>
                </c:pt>
                <c:pt idx="498">
                  <c:v>10</c:v>
                </c:pt>
                <c:pt idx="499">
                  <c:v>10</c:v>
                </c:pt>
                <c:pt idx="500">
                  <c:v>10</c:v>
                </c:pt>
              </c:numCache>
            </c:numRef>
          </c:bubbleSize>
          <c:bubble3D val="0"/>
          <c:extLst>
            <c:ext xmlns:c16="http://schemas.microsoft.com/office/drawing/2014/chart" uri="{C3380CC4-5D6E-409C-BE32-E72D297353CC}">
              <c16:uniqueId val="{00000002-7CA4-4A3E-8AD1-AC1F175386FF}"/>
            </c:ext>
          </c:extLst>
        </c:ser>
        <c:ser>
          <c:idx val="3"/>
          <c:order val="2"/>
          <c:spPr>
            <a:solidFill>
              <a:srgbClr val="00B050"/>
            </a:solidFill>
            <a:ln w="25400">
              <a:solidFill>
                <a:srgbClr val="00FF00"/>
              </a:solidFill>
            </a:ln>
          </c:spPr>
          <c:invertIfNegative val="0"/>
          <c:dLbls>
            <c:dLbl>
              <c:idx val="500"/>
              <c:layout>
                <c:manualLayout>
                  <c:x val="0"/>
                  <c:y val="-9.3567251461988306E-3"/>
                </c:manualLayout>
              </c:layout>
              <c:tx>
                <c:rich>
                  <a:bodyPr/>
                  <a:lstStyle/>
                  <a:p>
                    <a:pPr>
                      <a:defRPr sz="1000" b="1" i="0" u="none" strike="noStrike" baseline="0">
                        <a:solidFill>
                          <a:srgbClr val="92D050"/>
                        </a:solidFill>
                        <a:latin typeface="Calibri"/>
                        <a:ea typeface="Calibri"/>
                        <a:cs typeface="Calibri"/>
                      </a:defRPr>
                    </a:pPr>
                    <a:r>
                      <a:rPr lang="en-US" b="1">
                        <a:solidFill>
                          <a:srgbClr val="92D050"/>
                        </a:solidFill>
                      </a:rPr>
                      <a:t>probWLS</a:t>
                    </a:r>
                    <a:endParaRPr lang="en-US"/>
                  </a:p>
                </c:rich>
              </c:tx>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CA4-4A3E-8AD1-AC1F175386FF}"/>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DGP!$BF$2:$BF$502</c:f>
              <c:numCache>
                <c:formatCode>General</c:formatCode>
                <c:ptCount val="501"/>
                <c:pt idx="0">
                  <c:v>11.5</c:v>
                </c:pt>
                <c:pt idx="1">
                  <c:v>11.51</c:v>
                </c:pt>
                <c:pt idx="2">
                  <c:v>11.52</c:v>
                </c:pt>
                <c:pt idx="3">
                  <c:v>11.53</c:v>
                </c:pt>
                <c:pt idx="4">
                  <c:v>11.54</c:v>
                </c:pt>
                <c:pt idx="5">
                  <c:v>11.55</c:v>
                </c:pt>
                <c:pt idx="6">
                  <c:v>11.56</c:v>
                </c:pt>
                <c:pt idx="7">
                  <c:v>11.57</c:v>
                </c:pt>
                <c:pt idx="8">
                  <c:v>11.58</c:v>
                </c:pt>
                <c:pt idx="9">
                  <c:v>11.59</c:v>
                </c:pt>
                <c:pt idx="10">
                  <c:v>11.6</c:v>
                </c:pt>
                <c:pt idx="11">
                  <c:v>11.61</c:v>
                </c:pt>
                <c:pt idx="12">
                  <c:v>11.62</c:v>
                </c:pt>
                <c:pt idx="13">
                  <c:v>11.63</c:v>
                </c:pt>
                <c:pt idx="14">
                  <c:v>11.64</c:v>
                </c:pt>
                <c:pt idx="15">
                  <c:v>11.65</c:v>
                </c:pt>
                <c:pt idx="16">
                  <c:v>11.66</c:v>
                </c:pt>
                <c:pt idx="17">
                  <c:v>11.67</c:v>
                </c:pt>
                <c:pt idx="18">
                  <c:v>11.68</c:v>
                </c:pt>
                <c:pt idx="19">
                  <c:v>11.69</c:v>
                </c:pt>
                <c:pt idx="20">
                  <c:v>11.7</c:v>
                </c:pt>
                <c:pt idx="21">
                  <c:v>11.71</c:v>
                </c:pt>
                <c:pt idx="22">
                  <c:v>11.72</c:v>
                </c:pt>
                <c:pt idx="23">
                  <c:v>11.73</c:v>
                </c:pt>
                <c:pt idx="24">
                  <c:v>11.74</c:v>
                </c:pt>
                <c:pt idx="25">
                  <c:v>11.75</c:v>
                </c:pt>
                <c:pt idx="26">
                  <c:v>11.76</c:v>
                </c:pt>
                <c:pt idx="27">
                  <c:v>11.77</c:v>
                </c:pt>
                <c:pt idx="28">
                  <c:v>11.78</c:v>
                </c:pt>
                <c:pt idx="29">
                  <c:v>11.79</c:v>
                </c:pt>
                <c:pt idx="30">
                  <c:v>11.8</c:v>
                </c:pt>
                <c:pt idx="31">
                  <c:v>11.81</c:v>
                </c:pt>
                <c:pt idx="32">
                  <c:v>11.82</c:v>
                </c:pt>
                <c:pt idx="33">
                  <c:v>11.83</c:v>
                </c:pt>
                <c:pt idx="34">
                  <c:v>11.84</c:v>
                </c:pt>
                <c:pt idx="35">
                  <c:v>11.85</c:v>
                </c:pt>
                <c:pt idx="36">
                  <c:v>11.86</c:v>
                </c:pt>
                <c:pt idx="37">
                  <c:v>11.87</c:v>
                </c:pt>
                <c:pt idx="38">
                  <c:v>11.88</c:v>
                </c:pt>
                <c:pt idx="39">
                  <c:v>11.89</c:v>
                </c:pt>
                <c:pt idx="40">
                  <c:v>11.9</c:v>
                </c:pt>
                <c:pt idx="41">
                  <c:v>11.91</c:v>
                </c:pt>
                <c:pt idx="42">
                  <c:v>11.92</c:v>
                </c:pt>
                <c:pt idx="43">
                  <c:v>11.93</c:v>
                </c:pt>
                <c:pt idx="44">
                  <c:v>11.94</c:v>
                </c:pt>
                <c:pt idx="45">
                  <c:v>11.95</c:v>
                </c:pt>
                <c:pt idx="46">
                  <c:v>11.96</c:v>
                </c:pt>
                <c:pt idx="47">
                  <c:v>11.97</c:v>
                </c:pt>
                <c:pt idx="48">
                  <c:v>11.98</c:v>
                </c:pt>
                <c:pt idx="49">
                  <c:v>11.99</c:v>
                </c:pt>
                <c:pt idx="50">
                  <c:v>12</c:v>
                </c:pt>
                <c:pt idx="51">
                  <c:v>12.01</c:v>
                </c:pt>
                <c:pt idx="52">
                  <c:v>12.02</c:v>
                </c:pt>
                <c:pt idx="53">
                  <c:v>12.03</c:v>
                </c:pt>
                <c:pt idx="54">
                  <c:v>12.04</c:v>
                </c:pt>
                <c:pt idx="55">
                  <c:v>12.05</c:v>
                </c:pt>
                <c:pt idx="56">
                  <c:v>12.06</c:v>
                </c:pt>
                <c:pt idx="57">
                  <c:v>12.07</c:v>
                </c:pt>
                <c:pt idx="58">
                  <c:v>12.08</c:v>
                </c:pt>
                <c:pt idx="59">
                  <c:v>12.09</c:v>
                </c:pt>
                <c:pt idx="60">
                  <c:v>12.1</c:v>
                </c:pt>
                <c:pt idx="61">
                  <c:v>12.11</c:v>
                </c:pt>
                <c:pt idx="62">
                  <c:v>12.12</c:v>
                </c:pt>
                <c:pt idx="63">
                  <c:v>12.13</c:v>
                </c:pt>
                <c:pt idx="64">
                  <c:v>12.14</c:v>
                </c:pt>
                <c:pt idx="65">
                  <c:v>12.15</c:v>
                </c:pt>
                <c:pt idx="66">
                  <c:v>12.16</c:v>
                </c:pt>
                <c:pt idx="67">
                  <c:v>12.17</c:v>
                </c:pt>
                <c:pt idx="68">
                  <c:v>12.18</c:v>
                </c:pt>
                <c:pt idx="69">
                  <c:v>12.19</c:v>
                </c:pt>
                <c:pt idx="70">
                  <c:v>12.2</c:v>
                </c:pt>
                <c:pt idx="71">
                  <c:v>12.21</c:v>
                </c:pt>
                <c:pt idx="72">
                  <c:v>12.22</c:v>
                </c:pt>
                <c:pt idx="73">
                  <c:v>12.23</c:v>
                </c:pt>
                <c:pt idx="74">
                  <c:v>12.24</c:v>
                </c:pt>
                <c:pt idx="75">
                  <c:v>12.25</c:v>
                </c:pt>
                <c:pt idx="76">
                  <c:v>12.26</c:v>
                </c:pt>
                <c:pt idx="77">
                  <c:v>12.27</c:v>
                </c:pt>
                <c:pt idx="78">
                  <c:v>12.28</c:v>
                </c:pt>
                <c:pt idx="79">
                  <c:v>12.29</c:v>
                </c:pt>
                <c:pt idx="80">
                  <c:v>12.3</c:v>
                </c:pt>
                <c:pt idx="81">
                  <c:v>12.31</c:v>
                </c:pt>
                <c:pt idx="82">
                  <c:v>12.32</c:v>
                </c:pt>
                <c:pt idx="83">
                  <c:v>12.33</c:v>
                </c:pt>
                <c:pt idx="84">
                  <c:v>12.34</c:v>
                </c:pt>
                <c:pt idx="85">
                  <c:v>12.35</c:v>
                </c:pt>
                <c:pt idx="86">
                  <c:v>12.36</c:v>
                </c:pt>
                <c:pt idx="87">
                  <c:v>12.37</c:v>
                </c:pt>
                <c:pt idx="88">
                  <c:v>12.38</c:v>
                </c:pt>
                <c:pt idx="89">
                  <c:v>12.39</c:v>
                </c:pt>
                <c:pt idx="90">
                  <c:v>12.4</c:v>
                </c:pt>
                <c:pt idx="91">
                  <c:v>12.41</c:v>
                </c:pt>
                <c:pt idx="92">
                  <c:v>12.42</c:v>
                </c:pt>
                <c:pt idx="93">
                  <c:v>12.43</c:v>
                </c:pt>
                <c:pt idx="94">
                  <c:v>12.44</c:v>
                </c:pt>
                <c:pt idx="95">
                  <c:v>12.45</c:v>
                </c:pt>
                <c:pt idx="96">
                  <c:v>12.46</c:v>
                </c:pt>
                <c:pt idx="97">
                  <c:v>12.47</c:v>
                </c:pt>
                <c:pt idx="98">
                  <c:v>12.48</c:v>
                </c:pt>
                <c:pt idx="99">
                  <c:v>12.49</c:v>
                </c:pt>
                <c:pt idx="100">
                  <c:v>12.5</c:v>
                </c:pt>
                <c:pt idx="101">
                  <c:v>12.51</c:v>
                </c:pt>
                <c:pt idx="102">
                  <c:v>12.52</c:v>
                </c:pt>
                <c:pt idx="103">
                  <c:v>12.53</c:v>
                </c:pt>
                <c:pt idx="104">
                  <c:v>12.54</c:v>
                </c:pt>
                <c:pt idx="105">
                  <c:v>12.55</c:v>
                </c:pt>
                <c:pt idx="106">
                  <c:v>12.56</c:v>
                </c:pt>
                <c:pt idx="107">
                  <c:v>12.57</c:v>
                </c:pt>
                <c:pt idx="108">
                  <c:v>12.58</c:v>
                </c:pt>
                <c:pt idx="109">
                  <c:v>12.59</c:v>
                </c:pt>
                <c:pt idx="110">
                  <c:v>12.6</c:v>
                </c:pt>
                <c:pt idx="111">
                  <c:v>12.61</c:v>
                </c:pt>
                <c:pt idx="112">
                  <c:v>12.62</c:v>
                </c:pt>
                <c:pt idx="113">
                  <c:v>12.63</c:v>
                </c:pt>
                <c:pt idx="114">
                  <c:v>12.64</c:v>
                </c:pt>
                <c:pt idx="115">
                  <c:v>12.65</c:v>
                </c:pt>
                <c:pt idx="116">
                  <c:v>12.66</c:v>
                </c:pt>
                <c:pt idx="117">
                  <c:v>12.67</c:v>
                </c:pt>
                <c:pt idx="118">
                  <c:v>12.68</c:v>
                </c:pt>
                <c:pt idx="119">
                  <c:v>12.69</c:v>
                </c:pt>
                <c:pt idx="120">
                  <c:v>12.7</c:v>
                </c:pt>
                <c:pt idx="121">
                  <c:v>12.71</c:v>
                </c:pt>
                <c:pt idx="122">
                  <c:v>12.72</c:v>
                </c:pt>
                <c:pt idx="123">
                  <c:v>12.73</c:v>
                </c:pt>
                <c:pt idx="124">
                  <c:v>12.74</c:v>
                </c:pt>
                <c:pt idx="125">
                  <c:v>12.75</c:v>
                </c:pt>
                <c:pt idx="126">
                  <c:v>12.76</c:v>
                </c:pt>
                <c:pt idx="127">
                  <c:v>12.77</c:v>
                </c:pt>
                <c:pt idx="128">
                  <c:v>12.78</c:v>
                </c:pt>
                <c:pt idx="129">
                  <c:v>12.79</c:v>
                </c:pt>
                <c:pt idx="130">
                  <c:v>12.8</c:v>
                </c:pt>
                <c:pt idx="131">
                  <c:v>12.81</c:v>
                </c:pt>
                <c:pt idx="132">
                  <c:v>12.82</c:v>
                </c:pt>
                <c:pt idx="133">
                  <c:v>12.83</c:v>
                </c:pt>
                <c:pt idx="134">
                  <c:v>12.84</c:v>
                </c:pt>
                <c:pt idx="135">
                  <c:v>12.85</c:v>
                </c:pt>
                <c:pt idx="136">
                  <c:v>12.86</c:v>
                </c:pt>
                <c:pt idx="137">
                  <c:v>12.87</c:v>
                </c:pt>
                <c:pt idx="138">
                  <c:v>12.88</c:v>
                </c:pt>
                <c:pt idx="139">
                  <c:v>12.89</c:v>
                </c:pt>
                <c:pt idx="140">
                  <c:v>12.9</c:v>
                </c:pt>
                <c:pt idx="141">
                  <c:v>12.91</c:v>
                </c:pt>
                <c:pt idx="142">
                  <c:v>12.92</c:v>
                </c:pt>
                <c:pt idx="143">
                  <c:v>12.93</c:v>
                </c:pt>
                <c:pt idx="144">
                  <c:v>12.94</c:v>
                </c:pt>
                <c:pt idx="145">
                  <c:v>12.95</c:v>
                </c:pt>
                <c:pt idx="146">
                  <c:v>12.96</c:v>
                </c:pt>
                <c:pt idx="147">
                  <c:v>12.97</c:v>
                </c:pt>
                <c:pt idx="148">
                  <c:v>12.98</c:v>
                </c:pt>
                <c:pt idx="149">
                  <c:v>12.99</c:v>
                </c:pt>
                <c:pt idx="150">
                  <c:v>13</c:v>
                </c:pt>
                <c:pt idx="151">
                  <c:v>13.01</c:v>
                </c:pt>
                <c:pt idx="152">
                  <c:v>13.02</c:v>
                </c:pt>
                <c:pt idx="153">
                  <c:v>13.03</c:v>
                </c:pt>
                <c:pt idx="154">
                  <c:v>13.04</c:v>
                </c:pt>
                <c:pt idx="155">
                  <c:v>13.05</c:v>
                </c:pt>
                <c:pt idx="156">
                  <c:v>13.06</c:v>
                </c:pt>
                <c:pt idx="157">
                  <c:v>13.07</c:v>
                </c:pt>
                <c:pt idx="158">
                  <c:v>13.08</c:v>
                </c:pt>
                <c:pt idx="159">
                  <c:v>13.09</c:v>
                </c:pt>
                <c:pt idx="160">
                  <c:v>13.1</c:v>
                </c:pt>
                <c:pt idx="161">
                  <c:v>13.11</c:v>
                </c:pt>
                <c:pt idx="162">
                  <c:v>13.12</c:v>
                </c:pt>
                <c:pt idx="163">
                  <c:v>13.13</c:v>
                </c:pt>
                <c:pt idx="164">
                  <c:v>13.14</c:v>
                </c:pt>
                <c:pt idx="165">
                  <c:v>13.15</c:v>
                </c:pt>
                <c:pt idx="166">
                  <c:v>13.16</c:v>
                </c:pt>
                <c:pt idx="167">
                  <c:v>13.17</c:v>
                </c:pt>
                <c:pt idx="168">
                  <c:v>13.18</c:v>
                </c:pt>
                <c:pt idx="169">
                  <c:v>13.19</c:v>
                </c:pt>
                <c:pt idx="170">
                  <c:v>13.2</c:v>
                </c:pt>
                <c:pt idx="171">
                  <c:v>13.21</c:v>
                </c:pt>
                <c:pt idx="172">
                  <c:v>13.22</c:v>
                </c:pt>
                <c:pt idx="173">
                  <c:v>13.23</c:v>
                </c:pt>
                <c:pt idx="174">
                  <c:v>13.24</c:v>
                </c:pt>
                <c:pt idx="175">
                  <c:v>13.25</c:v>
                </c:pt>
                <c:pt idx="176">
                  <c:v>13.26</c:v>
                </c:pt>
                <c:pt idx="177">
                  <c:v>13.27</c:v>
                </c:pt>
                <c:pt idx="178">
                  <c:v>13.28</c:v>
                </c:pt>
                <c:pt idx="179">
                  <c:v>13.29</c:v>
                </c:pt>
                <c:pt idx="180">
                  <c:v>13.3</c:v>
                </c:pt>
                <c:pt idx="181">
                  <c:v>13.31</c:v>
                </c:pt>
                <c:pt idx="182">
                  <c:v>13.32</c:v>
                </c:pt>
                <c:pt idx="183">
                  <c:v>13.33</c:v>
                </c:pt>
                <c:pt idx="184">
                  <c:v>13.34</c:v>
                </c:pt>
                <c:pt idx="185">
                  <c:v>13.35</c:v>
                </c:pt>
                <c:pt idx="186">
                  <c:v>13.36</c:v>
                </c:pt>
                <c:pt idx="187">
                  <c:v>13.37</c:v>
                </c:pt>
                <c:pt idx="188">
                  <c:v>13.38</c:v>
                </c:pt>
                <c:pt idx="189">
                  <c:v>13.39</c:v>
                </c:pt>
                <c:pt idx="190">
                  <c:v>13.4</c:v>
                </c:pt>
                <c:pt idx="191">
                  <c:v>13.41</c:v>
                </c:pt>
                <c:pt idx="192">
                  <c:v>13.42</c:v>
                </c:pt>
                <c:pt idx="193">
                  <c:v>13.43</c:v>
                </c:pt>
                <c:pt idx="194">
                  <c:v>13.44</c:v>
                </c:pt>
                <c:pt idx="195">
                  <c:v>13.45</c:v>
                </c:pt>
                <c:pt idx="196">
                  <c:v>13.46</c:v>
                </c:pt>
                <c:pt idx="197">
                  <c:v>13.47</c:v>
                </c:pt>
                <c:pt idx="198">
                  <c:v>13.48</c:v>
                </c:pt>
                <c:pt idx="199">
                  <c:v>13.49</c:v>
                </c:pt>
                <c:pt idx="200">
                  <c:v>13.5</c:v>
                </c:pt>
                <c:pt idx="201">
                  <c:v>13.51</c:v>
                </c:pt>
                <c:pt idx="202">
                  <c:v>13.52</c:v>
                </c:pt>
                <c:pt idx="203">
                  <c:v>13.53</c:v>
                </c:pt>
                <c:pt idx="204">
                  <c:v>13.54</c:v>
                </c:pt>
                <c:pt idx="205">
                  <c:v>13.55</c:v>
                </c:pt>
                <c:pt idx="206">
                  <c:v>13.56</c:v>
                </c:pt>
                <c:pt idx="207">
                  <c:v>13.57</c:v>
                </c:pt>
                <c:pt idx="208">
                  <c:v>13.58</c:v>
                </c:pt>
                <c:pt idx="209">
                  <c:v>13.59</c:v>
                </c:pt>
                <c:pt idx="210">
                  <c:v>13.6</c:v>
                </c:pt>
                <c:pt idx="211">
                  <c:v>13.61</c:v>
                </c:pt>
                <c:pt idx="212">
                  <c:v>13.62</c:v>
                </c:pt>
                <c:pt idx="213">
                  <c:v>13.63</c:v>
                </c:pt>
                <c:pt idx="214">
                  <c:v>13.64</c:v>
                </c:pt>
                <c:pt idx="215">
                  <c:v>13.65</c:v>
                </c:pt>
                <c:pt idx="216">
                  <c:v>13.66</c:v>
                </c:pt>
                <c:pt idx="217">
                  <c:v>13.67</c:v>
                </c:pt>
                <c:pt idx="218">
                  <c:v>13.68</c:v>
                </c:pt>
                <c:pt idx="219">
                  <c:v>13.69</c:v>
                </c:pt>
                <c:pt idx="220">
                  <c:v>13.7</c:v>
                </c:pt>
                <c:pt idx="221">
                  <c:v>13.71</c:v>
                </c:pt>
                <c:pt idx="222">
                  <c:v>13.72</c:v>
                </c:pt>
                <c:pt idx="223">
                  <c:v>13.73</c:v>
                </c:pt>
                <c:pt idx="224">
                  <c:v>13.74</c:v>
                </c:pt>
                <c:pt idx="225">
                  <c:v>13.75</c:v>
                </c:pt>
                <c:pt idx="226">
                  <c:v>13.76</c:v>
                </c:pt>
                <c:pt idx="227">
                  <c:v>13.77</c:v>
                </c:pt>
                <c:pt idx="228">
                  <c:v>13.78</c:v>
                </c:pt>
                <c:pt idx="229">
                  <c:v>13.79</c:v>
                </c:pt>
                <c:pt idx="230">
                  <c:v>13.8</c:v>
                </c:pt>
                <c:pt idx="231">
                  <c:v>13.81</c:v>
                </c:pt>
                <c:pt idx="232">
                  <c:v>13.82</c:v>
                </c:pt>
                <c:pt idx="233">
                  <c:v>13.83</c:v>
                </c:pt>
                <c:pt idx="234">
                  <c:v>13.84</c:v>
                </c:pt>
                <c:pt idx="235">
                  <c:v>13.85</c:v>
                </c:pt>
                <c:pt idx="236">
                  <c:v>13.86</c:v>
                </c:pt>
                <c:pt idx="237">
                  <c:v>13.87</c:v>
                </c:pt>
                <c:pt idx="238">
                  <c:v>13.88</c:v>
                </c:pt>
                <c:pt idx="239">
                  <c:v>13.889999999999899</c:v>
                </c:pt>
                <c:pt idx="240">
                  <c:v>13.899999999999901</c:v>
                </c:pt>
                <c:pt idx="241">
                  <c:v>13.91</c:v>
                </c:pt>
                <c:pt idx="242">
                  <c:v>13.92</c:v>
                </c:pt>
                <c:pt idx="243">
                  <c:v>13.9299999999999</c:v>
                </c:pt>
                <c:pt idx="244">
                  <c:v>13.9399999999999</c:v>
                </c:pt>
                <c:pt idx="245">
                  <c:v>13.9499999999999</c:v>
                </c:pt>
                <c:pt idx="246">
                  <c:v>13.9599999999999</c:v>
                </c:pt>
                <c:pt idx="247">
                  <c:v>13.969999999999899</c:v>
                </c:pt>
                <c:pt idx="248">
                  <c:v>13.979999999999899</c:v>
                </c:pt>
                <c:pt idx="249">
                  <c:v>13.989999999999901</c:v>
                </c:pt>
                <c:pt idx="250">
                  <c:v>14</c:v>
                </c:pt>
                <c:pt idx="251">
                  <c:v>14.01</c:v>
                </c:pt>
                <c:pt idx="252">
                  <c:v>14.0199999999999</c:v>
                </c:pt>
                <c:pt idx="253">
                  <c:v>14.0299999999999</c:v>
                </c:pt>
                <c:pt idx="254">
                  <c:v>14.0399999999999</c:v>
                </c:pt>
                <c:pt idx="255">
                  <c:v>14.049999999999899</c:v>
                </c:pt>
                <c:pt idx="256">
                  <c:v>14.059999999999899</c:v>
                </c:pt>
                <c:pt idx="257">
                  <c:v>14.07</c:v>
                </c:pt>
                <c:pt idx="258">
                  <c:v>14.079999999999901</c:v>
                </c:pt>
                <c:pt idx="259">
                  <c:v>14.09</c:v>
                </c:pt>
                <c:pt idx="260">
                  <c:v>14.0999999999999</c:v>
                </c:pt>
                <c:pt idx="261">
                  <c:v>14.1099999999999</c:v>
                </c:pt>
                <c:pt idx="262">
                  <c:v>14.1199999999999</c:v>
                </c:pt>
                <c:pt idx="263">
                  <c:v>14.1299999999999</c:v>
                </c:pt>
                <c:pt idx="264">
                  <c:v>14.139999999999899</c:v>
                </c:pt>
                <c:pt idx="265">
                  <c:v>14.149999999999901</c:v>
                </c:pt>
                <c:pt idx="266">
                  <c:v>14.16</c:v>
                </c:pt>
                <c:pt idx="267">
                  <c:v>14.17</c:v>
                </c:pt>
                <c:pt idx="268">
                  <c:v>14.1799999999999</c:v>
                </c:pt>
                <c:pt idx="269">
                  <c:v>14.1899999999999</c:v>
                </c:pt>
                <c:pt idx="270">
                  <c:v>14.1999999999999</c:v>
                </c:pt>
                <c:pt idx="271">
                  <c:v>14.2099999999999</c:v>
                </c:pt>
                <c:pt idx="272">
                  <c:v>14.219999999999899</c:v>
                </c:pt>
                <c:pt idx="273">
                  <c:v>14.229999999999899</c:v>
                </c:pt>
                <c:pt idx="274">
                  <c:v>14.239999999999901</c:v>
                </c:pt>
                <c:pt idx="275">
                  <c:v>14.25</c:v>
                </c:pt>
                <c:pt idx="276">
                  <c:v>14.26</c:v>
                </c:pt>
                <c:pt idx="277">
                  <c:v>14.2699999999999</c:v>
                </c:pt>
                <c:pt idx="278">
                  <c:v>14.2799999999999</c:v>
                </c:pt>
                <c:pt idx="279">
                  <c:v>14.2899999999999</c:v>
                </c:pt>
                <c:pt idx="280">
                  <c:v>14.299999999999899</c:v>
                </c:pt>
                <c:pt idx="281">
                  <c:v>14.309999999999899</c:v>
                </c:pt>
                <c:pt idx="282">
                  <c:v>14.32</c:v>
                </c:pt>
                <c:pt idx="283">
                  <c:v>14.329999999999901</c:v>
                </c:pt>
                <c:pt idx="284">
                  <c:v>14.34</c:v>
                </c:pt>
                <c:pt idx="285">
                  <c:v>14.3499999999999</c:v>
                </c:pt>
                <c:pt idx="286">
                  <c:v>14.3599999999999</c:v>
                </c:pt>
                <c:pt idx="287">
                  <c:v>14.3699999999999</c:v>
                </c:pt>
                <c:pt idx="288">
                  <c:v>14.3799999999999</c:v>
                </c:pt>
                <c:pt idx="289">
                  <c:v>14.389999999999899</c:v>
                </c:pt>
                <c:pt idx="290">
                  <c:v>14.399999999999901</c:v>
                </c:pt>
                <c:pt idx="291">
                  <c:v>14.409999999999901</c:v>
                </c:pt>
                <c:pt idx="292">
                  <c:v>14.4199999999999</c:v>
                </c:pt>
                <c:pt idx="293">
                  <c:v>14.4299999999999</c:v>
                </c:pt>
                <c:pt idx="294">
                  <c:v>14.4399999999999</c:v>
                </c:pt>
                <c:pt idx="295">
                  <c:v>14.4499999999999</c:v>
                </c:pt>
                <c:pt idx="296">
                  <c:v>14.4599999999999</c:v>
                </c:pt>
                <c:pt idx="297">
                  <c:v>14.469999999999899</c:v>
                </c:pt>
                <c:pt idx="298">
                  <c:v>14.479999999999899</c:v>
                </c:pt>
                <c:pt idx="299">
                  <c:v>14.489999999999901</c:v>
                </c:pt>
                <c:pt idx="300">
                  <c:v>14.499999999999901</c:v>
                </c:pt>
                <c:pt idx="301">
                  <c:v>14.5099999999999</c:v>
                </c:pt>
                <c:pt idx="302">
                  <c:v>14.5199999999999</c:v>
                </c:pt>
                <c:pt idx="303">
                  <c:v>14.5299999999999</c:v>
                </c:pt>
                <c:pt idx="304">
                  <c:v>14.5399999999999</c:v>
                </c:pt>
                <c:pt idx="305">
                  <c:v>14.549999999999899</c:v>
                </c:pt>
                <c:pt idx="306">
                  <c:v>14.559999999999899</c:v>
                </c:pt>
                <c:pt idx="307">
                  <c:v>14.569999999999901</c:v>
                </c:pt>
                <c:pt idx="308">
                  <c:v>14.579999999999901</c:v>
                </c:pt>
                <c:pt idx="309">
                  <c:v>14.5899999999999</c:v>
                </c:pt>
                <c:pt idx="310">
                  <c:v>14.5999999999999</c:v>
                </c:pt>
                <c:pt idx="311">
                  <c:v>14.6099999999999</c:v>
                </c:pt>
                <c:pt idx="312">
                  <c:v>14.6199999999999</c:v>
                </c:pt>
                <c:pt idx="313">
                  <c:v>14.6299999999999</c:v>
                </c:pt>
                <c:pt idx="314">
                  <c:v>14.639999999999899</c:v>
                </c:pt>
                <c:pt idx="315">
                  <c:v>14.649999999999901</c:v>
                </c:pt>
                <c:pt idx="316">
                  <c:v>14.659999999999901</c:v>
                </c:pt>
                <c:pt idx="317">
                  <c:v>14.6699999999999</c:v>
                </c:pt>
                <c:pt idx="318">
                  <c:v>14.6799999999999</c:v>
                </c:pt>
                <c:pt idx="319">
                  <c:v>14.6899999999999</c:v>
                </c:pt>
                <c:pt idx="320">
                  <c:v>14.6999999999999</c:v>
                </c:pt>
                <c:pt idx="321">
                  <c:v>14.7099999999999</c:v>
                </c:pt>
                <c:pt idx="322">
                  <c:v>14.719999999999899</c:v>
                </c:pt>
                <c:pt idx="323">
                  <c:v>14.729999999999899</c:v>
                </c:pt>
                <c:pt idx="324">
                  <c:v>14.739999999999901</c:v>
                </c:pt>
                <c:pt idx="325">
                  <c:v>14.749999999999901</c:v>
                </c:pt>
                <c:pt idx="326">
                  <c:v>14.7599999999999</c:v>
                </c:pt>
                <c:pt idx="327">
                  <c:v>14.7699999999999</c:v>
                </c:pt>
                <c:pt idx="328">
                  <c:v>14.7799999999999</c:v>
                </c:pt>
                <c:pt idx="329">
                  <c:v>14.7899999999999</c:v>
                </c:pt>
                <c:pt idx="330">
                  <c:v>14.799999999999899</c:v>
                </c:pt>
                <c:pt idx="331">
                  <c:v>14.809999999999899</c:v>
                </c:pt>
                <c:pt idx="332">
                  <c:v>14.819999999999901</c:v>
                </c:pt>
                <c:pt idx="333">
                  <c:v>14.829999999999901</c:v>
                </c:pt>
                <c:pt idx="334">
                  <c:v>14.8399999999999</c:v>
                </c:pt>
                <c:pt idx="335">
                  <c:v>14.8499999999999</c:v>
                </c:pt>
                <c:pt idx="336">
                  <c:v>14.8599999999999</c:v>
                </c:pt>
                <c:pt idx="337">
                  <c:v>14.8699999999999</c:v>
                </c:pt>
                <c:pt idx="338">
                  <c:v>14.8799999999999</c:v>
                </c:pt>
                <c:pt idx="339">
                  <c:v>14.889999999999899</c:v>
                </c:pt>
                <c:pt idx="340">
                  <c:v>14.899999999999901</c:v>
                </c:pt>
                <c:pt idx="341">
                  <c:v>14.909999999999901</c:v>
                </c:pt>
                <c:pt idx="342">
                  <c:v>14.9199999999999</c:v>
                </c:pt>
                <c:pt idx="343">
                  <c:v>14.9299999999999</c:v>
                </c:pt>
                <c:pt idx="344">
                  <c:v>14.9399999999999</c:v>
                </c:pt>
                <c:pt idx="345">
                  <c:v>14.9499999999999</c:v>
                </c:pt>
                <c:pt idx="346">
                  <c:v>14.9599999999999</c:v>
                </c:pt>
                <c:pt idx="347">
                  <c:v>14.969999999999899</c:v>
                </c:pt>
                <c:pt idx="348">
                  <c:v>14.979999999999899</c:v>
                </c:pt>
                <c:pt idx="349">
                  <c:v>14.989999999999901</c:v>
                </c:pt>
                <c:pt idx="350">
                  <c:v>14.999999999999901</c:v>
                </c:pt>
                <c:pt idx="351">
                  <c:v>15.0099999999999</c:v>
                </c:pt>
                <c:pt idx="352">
                  <c:v>15.0199999999999</c:v>
                </c:pt>
                <c:pt idx="353">
                  <c:v>15.0299999999999</c:v>
                </c:pt>
                <c:pt idx="354">
                  <c:v>15.0399999999999</c:v>
                </c:pt>
                <c:pt idx="355">
                  <c:v>15.049999999999899</c:v>
                </c:pt>
                <c:pt idx="356">
                  <c:v>15.059999999999899</c:v>
                </c:pt>
                <c:pt idx="357">
                  <c:v>15.069999999999901</c:v>
                </c:pt>
                <c:pt idx="358">
                  <c:v>15.079999999999901</c:v>
                </c:pt>
                <c:pt idx="359">
                  <c:v>15.0899999999999</c:v>
                </c:pt>
                <c:pt idx="360">
                  <c:v>15.0999999999999</c:v>
                </c:pt>
                <c:pt idx="361">
                  <c:v>15.1099999999999</c:v>
                </c:pt>
                <c:pt idx="362">
                  <c:v>15.1199999999999</c:v>
                </c:pt>
                <c:pt idx="363">
                  <c:v>15.1299999999999</c:v>
                </c:pt>
                <c:pt idx="364">
                  <c:v>15.139999999999899</c:v>
                </c:pt>
                <c:pt idx="365">
                  <c:v>15.149999999999901</c:v>
                </c:pt>
                <c:pt idx="366">
                  <c:v>15.159999999999901</c:v>
                </c:pt>
                <c:pt idx="367">
                  <c:v>15.1699999999999</c:v>
                </c:pt>
                <c:pt idx="368">
                  <c:v>15.1799999999999</c:v>
                </c:pt>
                <c:pt idx="369">
                  <c:v>15.1899999999999</c:v>
                </c:pt>
                <c:pt idx="370">
                  <c:v>15.1999999999999</c:v>
                </c:pt>
                <c:pt idx="371">
                  <c:v>15.2099999999999</c:v>
                </c:pt>
                <c:pt idx="372">
                  <c:v>15.219999999999899</c:v>
                </c:pt>
                <c:pt idx="373">
                  <c:v>15.229999999999899</c:v>
                </c:pt>
                <c:pt idx="374">
                  <c:v>15.239999999999901</c:v>
                </c:pt>
                <c:pt idx="375">
                  <c:v>15.249999999999901</c:v>
                </c:pt>
                <c:pt idx="376">
                  <c:v>15.2599999999999</c:v>
                </c:pt>
                <c:pt idx="377">
                  <c:v>15.2699999999999</c:v>
                </c:pt>
                <c:pt idx="378">
                  <c:v>15.2799999999999</c:v>
                </c:pt>
                <c:pt idx="379">
                  <c:v>15.2899999999999</c:v>
                </c:pt>
                <c:pt idx="380">
                  <c:v>15.299999999999899</c:v>
                </c:pt>
                <c:pt idx="381">
                  <c:v>15.309999999999899</c:v>
                </c:pt>
                <c:pt idx="382">
                  <c:v>15.319999999999901</c:v>
                </c:pt>
                <c:pt idx="383">
                  <c:v>15.329999999999901</c:v>
                </c:pt>
                <c:pt idx="384">
                  <c:v>15.3399999999999</c:v>
                </c:pt>
                <c:pt idx="385">
                  <c:v>15.3499999999999</c:v>
                </c:pt>
                <c:pt idx="386">
                  <c:v>15.3599999999999</c:v>
                </c:pt>
                <c:pt idx="387">
                  <c:v>15.3699999999999</c:v>
                </c:pt>
                <c:pt idx="388">
                  <c:v>15.3799999999999</c:v>
                </c:pt>
                <c:pt idx="389">
                  <c:v>15.389999999999899</c:v>
                </c:pt>
                <c:pt idx="390">
                  <c:v>15.399999999999901</c:v>
                </c:pt>
                <c:pt idx="391">
                  <c:v>15.409999999999901</c:v>
                </c:pt>
                <c:pt idx="392">
                  <c:v>15.4199999999999</c:v>
                </c:pt>
                <c:pt idx="393">
                  <c:v>15.4299999999999</c:v>
                </c:pt>
                <c:pt idx="394">
                  <c:v>15.4399999999999</c:v>
                </c:pt>
                <c:pt idx="395">
                  <c:v>15.4499999999999</c:v>
                </c:pt>
                <c:pt idx="396">
                  <c:v>15.4599999999999</c:v>
                </c:pt>
                <c:pt idx="397">
                  <c:v>15.469999999999899</c:v>
                </c:pt>
                <c:pt idx="398">
                  <c:v>15.479999999999899</c:v>
                </c:pt>
                <c:pt idx="399">
                  <c:v>15.489999999999901</c:v>
                </c:pt>
                <c:pt idx="400">
                  <c:v>15.499999999999901</c:v>
                </c:pt>
                <c:pt idx="401">
                  <c:v>15.5099999999999</c:v>
                </c:pt>
                <c:pt idx="402">
                  <c:v>15.5199999999999</c:v>
                </c:pt>
                <c:pt idx="403">
                  <c:v>15.5299999999999</c:v>
                </c:pt>
                <c:pt idx="404">
                  <c:v>15.5399999999999</c:v>
                </c:pt>
                <c:pt idx="405">
                  <c:v>15.549999999999899</c:v>
                </c:pt>
                <c:pt idx="406">
                  <c:v>15.559999999999899</c:v>
                </c:pt>
                <c:pt idx="407">
                  <c:v>15.569999999999901</c:v>
                </c:pt>
                <c:pt idx="408">
                  <c:v>15.579999999999901</c:v>
                </c:pt>
                <c:pt idx="409">
                  <c:v>15.5899999999999</c:v>
                </c:pt>
                <c:pt idx="410">
                  <c:v>15.5999999999999</c:v>
                </c:pt>
                <c:pt idx="411">
                  <c:v>15.6099999999999</c:v>
                </c:pt>
                <c:pt idx="412">
                  <c:v>15.6199999999999</c:v>
                </c:pt>
                <c:pt idx="413">
                  <c:v>15.6299999999999</c:v>
                </c:pt>
                <c:pt idx="414">
                  <c:v>15.639999999999899</c:v>
                </c:pt>
                <c:pt idx="415">
                  <c:v>15.649999999999901</c:v>
                </c:pt>
                <c:pt idx="416">
                  <c:v>15.659999999999901</c:v>
                </c:pt>
                <c:pt idx="417">
                  <c:v>15.6699999999999</c:v>
                </c:pt>
                <c:pt idx="418">
                  <c:v>15.6799999999999</c:v>
                </c:pt>
                <c:pt idx="419">
                  <c:v>15.6899999999999</c:v>
                </c:pt>
                <c:pt idx="420">
                  <c:v>15.6999999999999</c:v>
                </c:pt>
                <c:pt idx="421">
                  <c:v>15.7099999999999</c:v>
                </c:pt>
                <c:pt idx="422">
                  <c:v>15.719999999999899</c:v>
                </c:pt>
                <c:pt idx="423">
                  <c:v>15.729999999999899</c:v>
                </c:pt>
                <c:pt idx="424">
                  <c:v>15.739999999999901</c:v>
                </c:pt>
                <c:pt idx="425">
                  <c:v>15.749999999999901</c:v>
                </c:pt>
                <c:pt idx="426">
                  <c:v>15.7599999999999</c:v>
                </c:pt>
                <c:pt idx="427">
                  <c:v>15.7699999999999</c:v>
                </c:pt>
                <c:pt idx="428">
                  <c:v>15.7799999999999</c:v>
                </c:pt>
                <c:pt idx="429">
                  <c:v>15.7899999999999</c:v>
                </c:pt>
                <c:pt idx="430">
                  <c:v>15.799999999999899</c:v>
                </c:pt>
                <c:pt idx="431">
                  <c:v>15.809999999999899</c:v>
                </c:pt>
                <c:pt idx="432">
                  <c:v>15.819999999999901</c:v>
                </c:pt>
                <c:pt idx="433">
                  <c:v>15.829999999999901</c:v>
                </c:pt>
                <c:pt idx="434">
                  <c:v>15.8399999999999</c:v>
                </c:pt>
                <c:pt idx="435">
                  <c:v>15.8499999999999</c:v>
                </c:pt>
                <c:pt idx="436">
                  <c:v>15.8599999999999</c:v>
                </c:pt>
                <c:pt idx="437">
                  <c:v>15.8699999999999</c:v>
                </c:pt>
                <c:pt idx="438">
                  <c:v>15.8799999999999</c:v>
                </c:pt>
                <c:pt idx="439">
                  <c:v>15.889999999999899</c:v>
                </c:pt>
                <c:pt idx="440">
                  <c:v>15.899999999999901</c:v>
                </c:pt>
                <c:pt idx="441">
                  <c:v>15.909999999999901</c:v>
                </c:pt>
                <c:pt idx="442">
                  <c:v>15.9199999999999</c:v>
                </c:pt>
                <c:pt idx="443">
                  <c:v>15.9299999999999</c:v>
                </c:pt>
                <c:pt idx="444">
                  <c:v>15.9399999999999</c:v>
                </c:pt>
                <c:pt idx="445">
                  <c:v>15.9499999999999</c:v>
                </c:pt>
                <c:pt idx="446">
                  <c:v>15.9599999999999</c:v>
                </c:pt>
                <c:pt idx="447">
                  <c:v>15.969999999999899</c:v>
                </c:pt>
                <c:pt idx="448">
                  <c:v>15.979999999999899</c:v>
                </c:pt>
                <c:pt idx="449">
                  <c:v>15.989999999999901</c:v>
                </c:pt>
                <c:pt idx="450">
                  <c:v>15.999999999999901</c:v>
                </c:pt>
                <c:pt idx="451">
                  <c:v>16.009999999999899</c:v>
                </c:pt>
                <c:pt idx="452">
                  <c:v>16.0199999999999</c:v>
                </c:pt>
                <c:pt idx="453">
                  <c:v>16.029999999999902</c:v>
                </c:pt>
                <c:pt idx="454">
                  <c:v>16.0399999999999</c:v>
                </c:pt>
                <c:pt idx="455">
                  <c:v>16.049999999999901</c:v>
                </c:pt>
                <c:pt idx="456">
                  <c:v>16.059999999999899</c:v>
                </c:pt>
                <c:pt idx="457">
                  <c:v>16.069999999999901</c:v>
                </c:pt>
                <c:pt idx="458">
                  <c:v>16.079999999999899</c:v>
                </c:pt>
                <c:pt idx="459">
                  <c:v>16.0899999999999</c:v>
                </c:pt>
                <c:pt idx="460">
                  <c:v>16.099999999999898</c:v>
                </c:pt>
                <c:pt idx="461">
                  <c:v>16.1099999999999</c:v>
                </c:pt>
                <c:pt idx="462">
                  <c:v>16.119999999999902</c:v>
                </c:pt>
                <c:pt idx="463">
                  <c:v>16.1299999999999</c:v>
                </c:pt>
                <c:pt idx="464">
                  <c:v>16.139999999999901</c:v>
                </c:pt>
                <c:pt idx="465">
                  <c:v>16.149999999999899</c:v>
                </c:pt>
                <c:pt idx="466">
                  <c:v>16.159999999999901</c:v>
                </c:pt>
                <c:pt idx="467">
                  <c:v>16.169999999999899</c:v>
                </c:pt>
                <c:pt idx="468">
                  <c:v>16.1799999999999</c:v>
                </c:pt>
                <c:pt idx="469">
                  <c:v>16.189999999999898</c:v>
                </c:pt>
                <c:pt idx="470">
                  <c:v>16.1999999999999</c:v>
                </c:pt>
                <c:pt idx="471">
                  <c:v>16.209999999999901</c:v>
                </c:pt>
                <c:pt idx="472">
                  <c:v>16.219999999999899</c:v>
                </c:pt>
                <c:pt idx="473">
                  <c:v>16.229999999999901</c:v>
                </c:pt>
                <c:pt idx="474">
                  <c:v>16.239999999999899</c:v>
                </c:pt>
                <c:pt idx="475">
                  <c:v>16.249999999999901</c:v>
                </c:pt>
                <c:pt idx="476">
                  <c:v>16.259999999999899</c:v>
                </c:pt>
                <c:pt idx="477">
                  <c:v>16.2699999999999</c:v>
                </c:pt>
                <c:pt idx="478">
                  <c:v>16.279999999999902</c:v>
                </c:pt>
                <c:pt idx="479">
                  <c:v>16.2899999999999</c:v>
                </c:pt>
                <c:pt idx="480">
                  <c:v>16.299999999999901</c:v>
                </c:pt>
                <c:pt idx="481">
                  <c:v>16.309999999999899</c:v>
                </c:pt>
                <c:pt idx="482">
                  <c:v>16.319999999999901</c:v>
                </c:pt>
                <c:pt idx="483">
                  <c:v>16.329999999999899</c:v>
                </c:pt>
                <c:pt idx="484">
                  <c:v>16.3399999999999</c:v>
                </c:pt>
                <c:pt idx="485">
                  <c:v>16.349999999999898</c:v>
                </c:pt>
                <c:pt idx="486">
                  <c:v>16.3599999999999</c:v>
                </c:pt>
                <c:pt idx="487">
                  <c:v>16.369999999999902</c:v>
                </c:pt>
                <c:pt idx="488">
                  <c:v>16.3799999999999</c:v>
                </c:pt>
                <c:pt idx="489">
                  <c:v>16.389999999999901</c:v>
                </c:pt>
                <c:pt idx="490">
                  <c:v>16.399999999999899</c:v>
                </c:pt>
                <c:pt idx="491">
                  <c:v>16.409999999999901</c:v>
                </c:pt>
                <c:pt idx="492">
                  <c:v>16.419999999999899</c:v>
                </c:pt>
                <c:pt idx="493">
                  <c:v>16.4299999999999</c:v>
                </c:pt>
                <c:pt idx="494">
                  <c:v>16.439999999999898</c:v>
                </c:pt>
                <c:pt idx="495">
                  <c:v>16.4499999999999</c:v>
                </c:pt>
                <c:pt idx="496">
                  <c:v>16.459999999999901</c:v>
                </c:pt>
                <c:pt idx="497">
                  <c:v>16.469999999999899</c:v>
                </c:pt>
                <c:pt idx="498">
                  <c:v>16.479999999999901</c:v>
                </c:pt>
                <c:pt idx="499">
                  <c:v>16.489999999999899</c:v>
                </c:pt>
                <c:pt idx="500">
                  <c:v>16.499999999999901</c:v>
                </c:pt>
              </c:numCache>
            </c:numRef>
          </c:xVal>
          <c:yVal>
            <c:numRef>
              <c:f>DGP!$BI$2:$BI$502</c:f>
              <c:numCache>
                <c:formatCode>General</c:formatCode>
                <c:ptCount val="5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numCache>
            </c:numRef>
          </c:yVal>
          <c:bubbleSize>
            <c:numRef>
              <c:f>DGP!$BJ$2:$BJ$502</c:f>
              <c:numCache>
                <c:formatCode>General</c:formatCode>
                <c:ptCount val="501"/>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10</c:v>
                </c:pt>
                <c:pt idx="39">
                  <c:v>10</c:v>
                </c:pt>
                <c:pt idx="40">
                  <c:v>10</c:v>
                </c:pt>
                <c:pt idx="41">
                  <c:v>10</c:v>
                </c:pt>
                <c:pt idx="42">
                  <c:v>10</c:v>
                </c:pt>
                <c:pt idx="43">
                  <c:v>10</c:v>
                </c:pt>
                <c:pt idx="44">
                  <c:v>10</c:v>
                </c:pt>
                <c:pt idx="45">
                  <c:v>10</c:v>
                </c:pt>
                <c:pt idx="46">
                  <c:v>10</c:v>
                </c:pt>
                <c:pt idx="47">
                  <c:v>10</c:v>
                </c:pt>
                <c:pt idx="48">
                  <c:v>10</c:v>
                </c:pt>
                <c:pt idx="49">
                  <c:v>10</c:v>
                </c:pt>
                <c:pt idx="50">
                  <c:v>10</c:v>
                </c:pt>
                <c:pt idx="51">
                  <c:v>10</c:v>
                </c:pt>
                <c:pt idx="52">
                  <c:v>10</c:v>
                </c:pt>
                <c:pt idx="53">
                  <c:v>10</c:v>
                </c:pt>
                <c:pt idx="54">
                  <c:v>10</c:v>
                </c:pt>
                <c:pt idx="55">
                  <c:v>10</c:v>
                </c:pt>
                <c:pt idx="56">
                  <c:v>10</c:v>
                </c:pt>
                <c:pt idx="57">
                  <c:v>10</c:v>
                </c:pt>
                <c:pt idx="58">
                  <c:v>10</c:v>
                </c:pt>
                <c:pt idx="59">
                  <c:v>10</c:v>
                </c:pt>
                <c:pt idx="60">
                  <c:v>10</c:v>
                </c:pt>
                <c:pt idx="61">
                  <c:v>10</c:v>
                </c:pt>
                <c:pt idx="62">
                  <c:v>10</c:v>
                </c:pt>
                <c:pt idx="63">
                  <c:v>10</c:v>
                </c:pt>
                <c:pt idx="64">
                  <c:v>10</c:v>
                </c:pt>
                <c:pt idx="65">
                  <c:v>10</c:v>
                </c:pt>
                <c:pt idx="66">
                  <c:v>10</c:v>
                </c:pt>
                <c:pt idx="67">
                  <c:v>10</c:v>
                </c:pt>
                <c:pt idx="68">
                  <c:v>10</c:v>
                </c:pt>
                <c:pt idx="69">
                  <c:v>10</c:v>
                </c:pt>
                <c:pt idx="70">
                  <c:v>10</c:v>
                </c:pt>
                <c:pt idx="71">
                  <c:v>10</c:v>
                </c:pt>
                <c:pt idx="72">
                  <c:v>10</c:v>
                </c:pt>
                <c:pt idx="73">
                  <c:v>10</c:v>
                </c:pt>
                <c:pt idx="74">
                  <c:v>10</c:v>
                </c:pt>
                <c:pt idx="75">
                  <c:v>10</c:v>
                </c:pt>
                <c:pt idx="76">
                  <c:v>10</c:v>
                </c:pt>
                <c:pt idx="77">
                  <c:v>10</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pt idx="101">
                  <c:v>10</c:v>
                </c:pt>
                <c:pt idx="102">
                  <c:v>10</c:v>
                </c:pt>
                <c:pt idx="103">
                  <c:v>10</c:v>
                </c:pt>
                <c:pt idx="104">
                  <c:v>10</c:v>
                </c:pt>
                <c:pt idx="105">
                  <c:v>10</c:v>
                </c:pt>
                <c:pt idx="106">
                  <c:v>10</c:v>
                </c:pt>
                <c:pt idx="107">
                  <c:v>10</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10</c:v>
                </c:pt>
                <c:pt idx="121">
                  <c:v>10</c:v>
                </c:pt>
                <c:pt idx="122">
                  <c:v>10</c:v>
                </c:pt>
                <c:pt idx="123">
                  <c:v>10</c:v>
                </c:pt>
                <c:pt idx="124">
                  <c:v>10</c:v>
                </c:pt>
                <c:pt idx="125">
                  <c:v>10</c:v>
                </c:pt>
                <c:pt idx="126">
                  <c:v>10</c:v>
                </c:pt>
                <c:pt idx="127">
                  <c:v>10</c:v>
                </c:pt>
                <c:pt idx="128">
                  <c:v>10</c:v>
                </c:pt>
                <c:pt idx="129">
                  <c:v>10</c:v>
                </c:pt>
                <c:pt idx="130">
                  <c:v>10</c:v>
                </c:pt>
                <c:pt idx="131">
                  <c:v>10</c:v>
                </c:pt>
                <c:pt idx="132">
                  <c:v>10</c:v>
                </c:pt>
                <c:pt idx="133">
                  <c:v>10</c:v>
                </c:pt>
                <c:pt idx="134">
                  <c:v>10</c:v>
                </c:pt>
                <c:pt idx="135">
                  <c:v>10</c:v>
                </c:pt>
                <c:pt idx="136">
                  <c:v>10</c:v>
                </c:pt>
                <c:pt idx="137">
                  <c:v>10</c:v>
                </c:pt>
                <c:pt idx="138">
                  <c:v>10</c:v>
                </c:pt>
                <c:pt idx="139">
                  <c:v>10</c:v>
                </c:pt>
                <c:pt idx="140">
                  <c:v>10</c:v>
                </c:pt>
                <c:pt idx="141">
                  <c:v>10</c:v>
                </c:pt>
                <c:pt idx="142">
                  <c:v>10</c:v>
                </c:pt>
                <c:pt idx="143">
                  <c:v>10</c:v>
                </c:pt>
                <c:pt idx="144">
                  <c:v>10</c:v>
                </c:pt>
                <c:pt idx="145">
                  <c:v>10</c:v>
                </c:pt>
                <c:pt idx="146">
                  <c:v>10</c:v>
                </c:pt>
                <c:pt idx="147">
                  <c:v>10</c:v>
                </c:pt>
                <c:pt idx="148">
                  <c:v>10</c:v>
                </c:pt>
                <c:pt idx="149">
                  <c:v>10</c:v>
                </c:pt>
                <c:pt idx="150">
                  <c:v>10</c:v>
                </c:pt>
                <c:pt idx="151">
                  <c:v>10</c:v>
                </c:pt>
                <c:pt idx="152">
                  <c:v>10</c:v>
                </c:pt>
                <c:pt idx="153">
                  <c:v>10</c:v>
                </c:pt>
                <c:pt idx="154">
                  <c:v>10</c:v>
                </c:pt>
                <c:pt idx="155">
                  <c:v>10</c:v>
                </c:pt>
                <c:pt idx="156">
                  <c:v>10</c:v>
                </c:pt>
                <c:pt idx="157">
                  <c:v>10</c:v>
                </c:pt>
                <c:pt idx="158">
                  <c:v>10</c:v>
                </c:pt>
                <c:pt idx="159">
                  <c:v>10</c:v>
                </c:pt>
                <c:pt idx="160">
                  <c:v>10</c:v>
                </c:pt>
                <c:pt idx="161">
                  <c:v>10</c:v>
                </c:pt>
                <c:pt idx="162">
                  <c:v>10</c:v>
                </c:pt>
                <c:pt idx="163">
                  <c:v>10</c:v>
                </c:pt>
                <c:pt idx="164">
                  <c:v>10</c:v>
                </c:pt>
                <c:pt idx="165">
                  <c:v>10</c:v>
                </c:pt>
                <c:pt idx="166">
                  <c:v>10</c:v>
                </c:pt>
                <c:pt idx="167">
                  <c:v>10</c:v>
                </c:pt>
                <c:pt idx="168">
                  <c:v>10</c:v>
                </c:pt>
                <c:pt idx="169">
                  <c:v>10</c:v>
                </c:pt>
                <c:pt idx="170">
                  <c:v>10</c:v>
                </c:pt>
                <c:pt idx="171">
                  <c:v>10</c:v>
                </c:pt>
                <c:pt idx="172">
                  <c:v>10</c:v>
                </c:pt>
                <c:pt idx="173">
                  <c:v>10</c:v>
                </c:pt>
                <c:pt idx="174">
                  <c:v>10</c:v>
                </c:pt>
                <c:pt idx="175">
                  <c:v>10</c:v>
                </c:pt>
                <c:pt idx="176">
                  <c:v>10</c:v>
                </c:pt>
                <c:pt idx="177">
                  <c:v>10</c:v>
                </c:pt>
                <c:pt idx="178">
                  <c:v>10</c:v>
                </c:pt>
                <c:pt idx="179">
                  <c:v>10</c:v>
                </c:pt>
                <c:pt idx="180">
                  <c:v>10</c:v>
                </c:pt>
                <c:pt idx="181">
                  <c:v>10</c:v>
                </c:pt>
                <c:pt idx="182">
                  <c:v>10</c:v>
                </c:pt>
                <c:pt idx="183">
                  <c:v>10</c:v>
                </c:pt>
                <c:pt idx="184">
                  <c:v>10</c:v>
                </c:pt>
                <c:pt idx="185">
                  <c:v>10</c:v>
                </c:pt>
                <c:pt idx="186">
                  <c:v>10</c:v>
                </c:pt>
                <c:pt idx="187">
                  <c:v>10</c:v>
                </c:pt>
                <c:pt idx="188">
                  <c:v>10</c:v>
                </c:pt>
                <c:pt idx="189">
                  <c:v>10</c:v>
                </c:pt>
                <c:pt idx="190">
                  <c:v>10</c:v>
                </c:pt>
                <c:pt idx="191">
                  <c:v>10</c:v>
                </c:pt>
                <c:pt idx="192">
                  <c:v>10</c:v>
                </c:pt>
                <c:pt idx="193">
                  <c:v>10</c:v>
                </c:pt>
                <c:pt idx="194">
                  <c:v>10</c:v>
                </c:pt>
                <c:pt idx="195">
                  <c:v>10</c:v>
                </c:pt>
                <c:pt idx="196">
                  <c:v>10</c:v>
                </c:pt>
                <c:pt idx="197">
                  <c:v>10</c:v>
                </c:pt>
                <c:pt idx="198">
                  <c:v>10</c:v>
                </c:pt>
                <c:pt idx="199">
                  <c:v>10</c:v>
                </c:pt>
                <c:pt idx="200">
                  <c:v>10</c:v>
                </c:pt>
                <c:pt idx="201">
                  <c:v>10</c:v>
                </c:pt>
                <c:pt idx="202">
                  <c:v>10</c:v>
                </c:pt>
                <c:pt idx="203">
                  <c:v>10</c:v>
                </c:pt>
                <c:pt idx="204">
                  <c:v>10</c:v>
                </c:pt>
                <c:pt idx="205">
                  <c:v>10</c:v>
                </c:pt>
                <c:pt idx="206">
                  <c:v>10</c:v>
                </c:pt>
                <c:pt idx="207">
                  <c:v>10</c:v>
                </c:pt>
                <c:pt idx="208">
                  <c:v>10</c:v>
                </c:pt>
                <c:pt idx="209">
                  <c:v>10</c:v>
                </c:pt>
                <c:pt idx="210">
                  <c:v>10</c:v>
                </c:pt>
                <c:pt idx="211">
                  <c:v>10</c:v>
                </c:pt>
                <c:pt idx="212">
                  <c:v>10</c:v>
                </c:pt>
                <c:pt idx="213">
                  <c:v>10</c:v>
                </c:pt>
                <c:pt idx="214">
                  <c:v>10</c:v>
                </c:pt>
                <c:pt idx="215">
                  <c:v>10</c:v>
                </c:pt>
                <c:pt idx="216">
                  <c:v>10</c:v>
                </c:pt>
                <c:pt idx="217">
                  <c:v>10</c:v>
                </c:pt>
                <c:pt idx="218">
                  <c:v>10</c:v>
                </c:pt>
                <c:pt idx="219">
                  <c:v>10</c:v>
                </c:pt>
                <c:pt idx="220">
                  <c:v>10</c:v>
                </c:pt>
                <c:pt idx="221">
                  <c:v>10</c:v>
                </c:pt>
                <c:pt idx="222">
                  <c:v>10</c:v>
                </c:pt>
                <c:pt idx="223">
                  <c:v>10</c:v>
                </c:pt>
                <c:pt idx="224">
                  <c:v>10</c:v>
                </c:pt>
                <c:pt idx="225">
                  <c:v>10</c:v>
                </c:pt>
                <c:pt idx="226">
                  <c:v>10</c:v>
                </c:pt>
                <c:pt idx="227">
                  <c:v>10</c:v>
                </c:pt>
                <c:pt idx="228">
                  <c:v>10</c:v>
                </c:pt>
                <c:pt idx="229">
                  <c:v>10</c:v>
                </c:pt>
                <c:pt idx="230">
                  <c:v>10</c:v>
                </c:pt>
                <c:pt idx="231">
                  <c:v>10</c:v>
                </c:pt>
                <c:pt idx="232">
                  <c:v>10</c:v>
                </c:pt>
                <c:pt idx="233">
                  <c:v>10</c:v>
                </c:pt>
                <c:pt idx="234">
                  <c:v>10</c:v>
                </c:pt>
                <c:pt idx="235">
                  <c:v>10</c:v>
                </c:pt>
                <c:pt idx="236">
                  <c:v>10</c:v>
                </c:pt>
                <c:pt idx="237">
                  <c:v>10</c:v>
                </c:pt>
                <c:pt idx="238">
                  <c:v>10</c:v>
                </c:pt>
                <c:pt idx="239">
                  <c:v>10</c:v>
                </c:pt>
                <c:pt idx="240">
                  <c:v>10</c:v>
                </c:pt>
                <c:pt idx="241">
                  <c:v>10</c:v>
                </c:pt>
                <c:pt idx="242">
                  <c:v>10</c:v>
                </c:pt>
                <c:pt idx="243">
                  <c:v>10</c:v>
                </c:pt>
                <c:pt idx="244">
                  <c:v>10</c:v>
                </c:pt>
                <c:pt idx="245">
                  <c:v>10</c:v>
                </c:pt>
                <c:pt idx="246">
                  <c:v>10</c:v>
                </c:pt>
                <c:pt idx="247">
                  <c:v>10</c:v>
                </c:pt>
                <c:pt idx="248">
                  <c:v>10</c:v>
                </c:pt>
                <c:pt idx="249">
                  <c:v>10</c:v>
                </c:pt>
                <c:pt idx="250">
                  <c:v>10</c:v>
                </c:pt>
                <c:pt idx="251">
                  <c:v>10</c:v>
                </c:pt>
                <c:pt idx="252">
                  <c:v>10</c:v>
                </c:pt>
                <c:pt idx="253">
                  <c:v>10</c:v>
                </c:pt>
                <c:pt idx="254">
                  <c:v>10</c:v>
                </c:pt>
                <c:pt idx="255">
                  <c:v>10</c:v>
                </c:pt>
                <c:pt idx="256">
                  <c:v>10</c:v>
                </c:pt>
                <c:pt idx="257">
                  <c:v>10</c:v>
                </c:pt>
                <c:pt idx="258">
                  <c:v>10</c:v>
                </c:pt>
                <c:pt idx="259">
                  <c:v>10</c:v>
                </c:pt>
                <c:pt idx="260">
                  <c:v>10</c:v>
                </c:pt>
                <c:pt idx="261">
                  <c:v>10</c:v>
                </c:pt>
                <c:pt idx="262">
                  <c:v>10</c:v>
                </c:pt>
                <c:pt idx="263">
                  <c:v>10</c:v>
                </c:pt>
                <c:pt idx="264">
                  <c:v>10</c:v>
                </c:pt>
                <c:pt idx="265">
                  <c:v>10</c:v>
                </c:pt>
                <c:pt idx="266">
                  <c:v>10</c:v>
                </c:pt>
                <c:pt idx="267">
                  <c:v>10</c:v>
                </c:pt>
                <c:pt idx="268">
                  <c:v>10</c:v>
                </c:pt>
                <c:pt idx="269">
                  <c:v>10</c:v>
                </c:pt>
                <c:pt idx="270">
                  <c:v>10</c:v>
                </c:pt>
                <c:pt idx="271">
                  <c:v>10</c:v>
                </c:pt>
                <c:pt idx="272">
                  <c:v>10</c:v>
                </c:pt>
                <c:pt idx="273">
                  <c:v>10</c:v>
                </c:pt>
                <c:pt idx="274">
                  <c:v>10</c:v>
                </c:pt>
                <c:pt idx="275">
                  <c:v>10</c:v>
                </c:pt>
                <c:pt idx="276">
                  <c:v>10</c:v>
                </c:pt>
                <c:pt idx="277">
                  <c:v>10</c:v>
                </c:pt>
                <c:pt idx="278">
                  <c:v>10</c:v>
                </c:pt>
                <c:pt idx="279">
                  <c:v>10</c:v>
                </c:pt>
                <c:pt idx="280">
                  <c:v>10</c:v>
                </c:pt>
                <c:pt idx="281">
                  <c:v>10</c:v>
                </c:pt>
                <c:pt idx="282">
                  <c:v>10</c:v>
                </c:pt>
                <c:pt idx="283">
                  <c:v>10</c:v>
                </c:pt>
                <c:pt idx="284">
                  <c:v>10</c:v>
                </c:pt>
                <c:pt idx="285">
                  <c:v>10</c:v>
                </c:pt>
                <c:pt idx="286">
                  <c:v>10</c:v>
                </c:pt>
                <c:pt idx="287">
                  <c:v>10</c:v>
                </c:pt>
                <c:pt idx="288">
                  <c:v>10</c:v>
                </c:pt>
                <c:pt idx="289">
                  <c:v>10</c:v>
                </c:pt>
                <c:pt idx="290">
                  <c:v>10</c:v>
                </c:pt>
                <c:pt idx="291">
                  <c:v>10</c:v>
                </c:pt>
                <c:pt idx="292">
                  <c:v>10</c:v>
                </c:pt>
                <c:pt idx="293">
                  <c:v>10</c:v>
                </c:pt>
                <c:pt idx="294">
                  <c:v>10</c:v>
                </c:pt>
                <c:pt idx="295">
                  <c:v>10</c:v>
                </c:pt>
                <c:pt idx="296">
                  <c:v>10</c:v>
                </c:pt>
                <c:pt idx="297">
                  <c:v>10</c:v>
                </c:pt>
                <c:pt idx="298">
                  <c:v>10</c:v>
                </c:pt>
                <c:pt idx="299">
                  <c:v>10</c:v>
                </c:pt>
                <c:pt idx="300">
                  <c:v>10</c:v>
                </c:pt>
                <c:pt idx="301">
                  <c:v>10</c:v>
                </c:pt>
                <c:pt idx="302">
                  <c:v>10</c:v>
                </c:pt>
                <c:pt idx="303">
                  <c:v>10</c:v>
                </c:pt>
                <c:pt idx="304">
                  <c:v>10</c:v>
                </c:pt>
                <c:pt idx="305">
                  <c:v>10</c:v>
                </c:pt>
                <c:pt idx="306">
                  <c:v>10</c:v>
                </c:pt>
                <c:pt idx="307">
                  <c:v>10</c:v>
                </c:pt>
                <c:pt idx="308">
                  <c:v>10</c:v>
                </c:pt>
                <c:pt idx="309">
                  <c:v>10</c:v>
                </c:pt>
                <c:pt idx="310">
                  <c:v>10</c:v>
                </c:pt>
                <c:pt idx="311">
                  <c:v>10</c:v>
                </c:pt>
                <c:pt idx="312">
                  <c:v>10</c:v>
                </c:pt>
                <c:pt idx="313">
                  <c:v>10</c:v>
                </c:pt>
                <c:pt idx="314">
                  <c:v>10</c:v>
                </c:pt>
                <c:pt idx="315">
                  <c:v>10</c:v>
                </c:pt>
                <c:pt idx="316">
                  <c:v>10</c:v>
                </c:pt>
                <c:pt idx="317">
                  <c:v>10</c:v>
                </c:pt>
                <c:pt idx="318">
                  <c:v>10</c:v>
                </c:pt>
                <c:pt idx="319">
                  <c:v>10</c:v>
                </c:pt>
                <c:pt idx="320">
                  <c:v>10</c:v>
                </c:pt>
                <c:pt idx="321">
                  <c:v>10</c:v>
                </c:pt>
                <c:pt idx="322">
                  <c:v>10</c:v>
                </c:pt>
                <c:pt idx="323">
                  <c:v>10</c:v>
                </c:pt>
                <c:pt idx="324">
                  <c:v>10</c:v>
                </c:pt>
                <c:pt idx="325">
                  <c:v>10</c:v>
                </c:pt>
                <c:pt idx="326">
                  <c:v>10</c:v>
                </c:pt>
                <c:pt idx="327">
                  <c:v>10</c:v>
                </c:pt>
                <c:pt idx="328">
                  <c:v>10</c:v>
                </c:pt>
                <c:pt idx="329">
                  <c:v>10</c:v>
                </c:pt>
                <c:pt idx="330">
                  <c:v>10</c:v>
                </c:pt>
                <c:pt idx="331">
                  <c:v>10</c:v>
                </c:pt>
                <c:pt idx="332">
                  <c:v>10</c:v>
                </c:pt>
                <c:pt idx="333">
                  <c:v>10</c:v>
                </c:pt>
                <c:pt idx="334">
                  <c:v>10</c:v>
                </c:pt>
                <c:pt idx="335">
                  <c:v>10</c:v>
                </c:pt>
                <c:pt idx="336">
                  <c:v>10</c:v>
                </c:pt>
                <c:pt idx="337">
                  <c:v>10</c:v>
                </c:pt>
                <c:pt idx="338">
                  <c:v>10</c:v>
                </c:pt>
                <c:pt idx="339">
                  <c:v>10</c:v>
                </c:pt>
                <c:pt idx="340">
                  <c:v>10</c:v>
                </c:pt>
                <c:pt idx="341">
                  <c:v>10</c:v>
                </c:pt>
                <c:pt idx="342">
                  <c:v>10</c:v>
                </c:pt>
                <c:pt idx="343">
                  <c:v>10</c:v>
                </c:pt>
                <c:pt idx="344">
                  <c:v>10</c:v>
                </c:pt>
                <c:pt idx="345">
                  <c:v>10</c:v>
                </c:pt>
                <c:pt idx="346">
                  <c:v>10</c:v>
                </c:pt>
                <c:pt idx="347">
                  <c:v>10</c:v>
                </c:pt>
                <c:pt idx="348">
                  <c:v>10</c:v>
                </c:pt>
                <c:pt idx="349">
                  <c:v>10</c:v>
                </c:pt>
                <c:pt idx="350">
                  <c:v>10</c:v>
                </c:pt>
                <c:pt idx="351">
                  <c:v>10</c:v>
                </c:pt>
                <c:pt idx="352">
                  <c:v>10</c:v>
                </c:pt>
                <c:pt idx="353">
                  <c:v>10</c:v>
                </c:pt>
                <c:pt idx="354">
                  <c:v>10</c:v>
                </c:pt>
                <c:pt idx="355">
                  <c:v>10</c:v>
                </c:pt>
                <c:pt idx="356">
                  <c:v>10</c:v>
                </c:pt>
                <c:pt idx="357">
                  <c:v>10</c:v>
                </c:pt>
                <c:pt idx="358">
                  <c:v>10</c:v>
                </c:pt>
                <c:pt idx="359">
                  <c:v>10</c:v>
                </c:pt>
                <c:pt idx="360">
                  <c:v>10</c:v>
                </c:pt>
                <c:pt idx="361">
                  <c:v>10</c:v>
                </c:pt>
                <c:pt idx="362">
                  <c:v>10</c:v>
                </c:pt>
                <c:pt idx="363">
                  <c:v>10</c:v>
                </c:pt>
                <c:pt idx="364">
                  <c:v>10</c:v>
                </c:pt>
                <c:pt idx="365">
                  <c:v>10</c:v>
                </c:pt>
                <c:pt idx="366">
                  <c:v>10</c:v>
                </c:pt>
                <c:pt idx="367">
                  <c:v>10</c:v>
                </c:pt>
                <c:pt idx="368">
                  <c:v>10</c:v>
                </c:pt>
                <c:pt idx="369">
                  <c:v>10</c:v>
                </c:pt>
                <c:pt idx="370">
                  <c:v>10</c:v>
                </c:pt>
                <c:pt idx="371">
                  <c:v>10</c:v>
                </c:pt>
                <c:pt idx="372">
                  <c:v>10</c:v>
                </c:pt>
                <c:pt idx="373">
                  <c:v>10</c:v>
                </c:pt>
                <c:pt idx="374">
                  <c:v>10</c:v>
                </c:pt>
                <c:pt idx="375">
                  <c:v>10</c:v>
                </c:pt>
                <c:pt idx="376">
                  <c:v>10</c:v>
                </c:pt>
                <c:pt idx="377">
                  <c:v>10</c:v>
                </c:pt>
                <c:pt idx="378">
                  <c:v>10</c:v>
                </c:pt>
                <c:pt idx="379">
                  <c:v>10</c:v>
                </c:pt>
                <c:pt idx="380">
                  <c:v>10</c:v>
                </c:pt>
                <c:pt idx="381">
                  <c:v>10</c:v>
                </c:pt>
                <c:pt idx="382">
                  <c:v>10</c:v>
                </c:pt>
                <c:pt idx="383">
                  <c:v>10</c:v>
                </c:pt>
                <c:pt idx="384">
                  <c:v>10</c:v>
                </c:pt>
                <c:pt idx="385">
                  <c:v>10</c:v>
                </c:pt>
                <c:pt idx="386">
                  <c:v>10</c:v>
                </c:pt>
                <c:pt idx="387">
                  <c:v>10</c:v>
                </c:pt>
                <c:pt idx="388">
                  <c:v>10</c:v>
                </c:pt>
                <c:pt idx="389">
                  <c:v>10</c:v>
                </c:pt>
                <c:pt idx="390">
                  <c:v>10</c:v>
                </c:pt>
                <c:pt idx="391">
                  <c:v>10</c:v>
                </c:pt>
                <c:pt idx="392">
                  <c:v>10</c:v>
                </c:pt>
                <c:pt idx="393">
                  <c:v>10</c:v>
                </c:pt>
                <c:pt idx="394">
                  <c:v>10</c:v>
                </c:pt>
                <c:pt idx="395">
                  <c:v>10</c:v>
                </c:pt>
                <c:pt idx="396">
                  <c:v>10</c:v>
                </c:pt>
                <c:pt idx="397">
                  <c:v>10</c:v>
                </c:pt>
                <c:pt idx="398">
                  <c:v>10</c:v>
                </c:pt>
                <c:pt idx="399">
                  <c:v>10</c:v>
                </c:pt>
                <c:pt idx="400">
                  <c:v>10</c:v>
                </c:pt>
                <c:pt idx="401">
                  <c:v>10</c:v>
                </c:pt>
                <c:pt idx="402">
                  <c:v>10</c:v>
                </c:pt>
                <c:pt idx="403">
                  <c:v>10</c:v>
                </c:pt>
                <c:pt idx="404">
                  <c:v>10</c:v>
                </c:pt>
                <c:pt idx="405">
                  <c:v>10</c:v>
                </c:pt>
                <c:pt idx="406">
                  <c:v>10</c:v>
                </c:pt>
                <c:pt idx="407">
                  <c:v>10</c:v>
                </c:pt>
                <c:pt idx="408">
                  <c:v>10</c:v>
                </c:pt>
                <c:pt idx="409">
                  <c:v>10</c:v>
                </c:pt>
                <c:pt idx="410">
                  <c:v>10</c:v>
                </c:pt>
                <c:pt idx="411">
                  <c:v>10</c:v>
                </c:pt>
                <c:pt idx="412">
                  <c:v>10</c:v>
                </c:pt>
                <c:pt idx="413">
                  <c:v>10</c:v>
                </c:pt>
                <c:pt idx="414">
                  <c:v>10</c:v>
                </c:pt>
                <c:pt idx="415">
                  <c:v>10</c:v>
                </c:pt>
                <c:pt idx="416">
                  <c:v>10</c:v>
                </c:pt>
                <c:pt idx="417">
                  <c:v>10</c:v>
                </c:pt>
                <c:pt idx="418">
                  <c:v>10</c:v>
                </c:pt>
                <c:pt idx="419">
                  <c:v>10</c:v>
                </c:pt>
                <c:pt idx="420">
                  <c:v>10</c:v>
                </c:pt>
                <c:pt idx="421">
                  <c:v>10</c:v>
                </c:pt>
                <c:pt idx="422">
                  <c:v>10</c:v>
                </c:pt>
                <c:pt idx="423">
                  <c:v>10</c:v>
                </c:pt>
                <c:pt idx="424">
                  <c:v>10</c:v>
                </c:pt>
                <c:pt idx="425">
                  <c:v>10</c:v>
                </c:pt>
                <c:pt idx="426">
                  <c:v>10</c:v>
                </c:pt>
                <c:pt idx="427">
                  <c:v>10</c:v>
                </c:pt>
                <c:pt idx="428">
                  <c:v>10</c:v>
                </c:pt>
                <c:pt idx="429">
                  <c:v>10</c:v>
                </c:pt>
                <c:pt idx="430">
                  <c:v>10</c:v>
                </c:pt>
                <c:pt idx="431">
                  <c:v>10</c:v>
                </c:pt>
                <c:pt idx="432">
                  <c:v>10</c:v>
                </c:pt>
                <c:pt idx="433">
                  <c:v>10</c:v>
                </c:pt>
                <c:pt idx="434">
                  <c:v>10</c:v>
                </c:pt>
                <c:pt idx="435">
                  <c:v>10</c:v>
                </c:pt>
                <c:pt idx="436">
                  <c:v>10</c:v>
                </c:pt>
                <c:pt idx="437">
                  <c:v>10</c:v>
                </c:pt>
                <c:pt idx="438">
                  <c:v>10</c:v>
                </c:pt>
                <c:pt idx="439">
                  <c:v>10</c:v>
                </c:pt>
                <c:pt idx="440">
                  <c:v>10</c:v>
                </c:pt>
                <c:pt idx="441">
                  <c:v>10</c:v>
                </c:pt>
                <c:pt idx="442">
                  <c:v>10</c:v>
                </c:pt>
                <c:pt idx="443">
                  <c:v>10</c:v>
                </c:pt>
                <c:pt idx="444">
                  <c:v>10</c:v>
                </c:pt>
                <c:pt idx="445">
                  <c:v>10</c:v>
                </c:pt>
                <c:pt idx="446">
                  <c:v>10</c:v>
                </c:pt>
                <c:pt idx="447">
                  <c:v>10</c:v>
                </c:pt>
                <c:pt idx="448">
                  <c:v>10</c:v>
                </c:pt>
                <c:pt idx="449">
                  <c:v>10</c:v>
                </c:pt>
                <c:pt idx="450">
                  <c:v>10</c:v>
                </c:pt>
                <c:pt idx="451">
                  <c:v>10</c:v>
                </c:pt>
                <c:pt idx="452">
                  <c:v>10</c:v>
                </c:pt>
                <c:pt idx="453">
                  <c:v>10</c:v>
                </c:pt>
                <c:pt idx="454">
                  <c:v>10</c:v>
                </c:pt>
                <c:pt idx="455">
                  <c:v>10</c:v>
                </c:pt>
                <c:pt idx="456">
                  <c:v>10</c:v>
                </c:pt>
                <c:pt idx="457">
                  <c:v>10</c:v>
                </c:pt>
                <c:pt idx="458">
                  <c:v>10</c:v>
                </c:pt>
                <c:pt idx="459">
                  <c:v>10</c:v>
                </c:pt>
                <c:pt idx="460">
                  <c:v>10</c:v>
                </c:pt>
                <c:pt idx="461">
                  <c:v>10</c:v>
                </c:pt>
                <c:pt idx="462">
                  <c:v>10</c:v>
                </c:pt>
                <c:pt idx="463">
                  <c:v>10</c:v>
                </c:pt>
                <c:pt idx="464">
                  <c:v>10</c:v>
                </c:pt>
                <c:pt idx="465">
                  <c:v>10</c:v>
                </c:pt>
                <c:pt idx="466">
                  <c:v>10</c:v>
                </c:pt>
                <c:pt idx="467">
                  <c:v>10</c:v>
                </c:pt>
                <c:pt idx="468">
                  <c:v>10</c:v>
                </c:pt>
                <c:pt idx="469">
                  <c:v>10</c:v>
                </c:pt>
                <c:pt idx="470">
                  <c:v>10</c:v>
                </c:pt>
                <c:pt idx="471">
                  <c:v>10</c:v>
                </c:pt>
                <c:pt idx="472">
                  <c:v>10</c:v>
                </c:pt>
                <c:pt idx="473">
                  <c:v>10</c:v>
                </c:pt>
                <c:pt idx="474">
                  <c:v>10</c:v>
                </c:pt>
                <c:pt idx="475">
                  <c:v>10</c:v>
                </c:pt>
                <c:pt idx="476">
                  <c:v>10</c:v>
                </c:pt>
                <c:pt idx="477">
                  <c:v>10</c:v>
                </c:pt>
                <c:pt idx="478">
                  <c:v>10</c:v>
                </c:pt>
                <c:pt idx="479">
                  <c:v>10</c:v>
                </c:pt>
                <c:pt idx="480">
                  <c:v>10</c:v>
                </c:pt>
                <c:pt idx="481">
                  <c:v>10</c:v>
                </c:pt>
                <c:pt idx="482">
                  <c:v>10</c:v>
                </c:pt>
                <c:pt idx="483">
                  <c:v>10</c:v>
                </c:pt>
                <c:pt idx="484">
                  <c:v>10</c:v>
                </c:pt>
                <c:pt idx="485">
                  <c:v>10</c:v>
                </c:pt>
                <c:pt idx="486">
                  <c:v>10</c:v>
                </c:pt>
                <c:pt idx="487">
                  <c:v>10</c:v>
                </c:pt>
                <c:pt idx="488">
                  <c:v>10</c:v>
                </c:pt>
                <c:pt idx="489">
                  <c:v>10</c:v>
                </c:pt>
                <c:pt idx="490">
                  <c:v>10</c:v>
                </c:pt>
                <c:pt idx="491">
                  <c:v>10</c:v>
                </c:pt>
                <c:pt idx="492">
                  <c:v>10</c:v>
                </c:pt>
                <c:pt idx="493">
                  <c:v>10</c:v>
                </c:pt>
                <c:pt idx="494">
                  <c:v>10</c:v>
                </c:pt>
                <c:pt idx="495">
                  <c:v>10</c:v>
                </c:pt>
                <c:pt idx="496">
                  <c:v>10</c:v>
                </c:pt>
                <c:pt idx="497">
                  <c:v>10</c:v>
                </c:pt>
                <c:pt idx="498">
                  <c:v>10</c:v>
                </c:pt>
                <c:pt idx="499">
                  <c:v>10</c:v>
                </c:pt>
                <c:pt idx="500">
                  <c:v>10</c:v>
                </c:pt>
              </c:numCache>
            </c:numRef>
          </c:bubbleSize>
          <c:bubble3D val="0"/>
          <c:extLst>
            <c:ext xmlns:c16="http://schemas.microsoft.com/office/drawing/2014/chart" uri="{C3380CC4-5D6E-409C-BE32-E72D297353CC}">
              <c16:uniqueId val="{00000004-7CA4-4A3E-8AD1-AC1F175386FF}"/>
            </c:ext>
          </c:extLst>
        </c:ser>
        <c:ser>
          <c:idx val="2"/>
          <c:order val="3"/>
          <c:spPr>
            <a:solidFill>
              <a:schemeClr val="tx1"/>
            </a:solidFill>
            <a:ln w="25400">
              <a:solidFill>
                <a:srgbClr val="000000"/>
              </a:solidFill>
            </a:ln>
          </c:spPr>
          <c:invertIfNegative val="0"/>
          <c:dLbls>
            <c:dLbl>
              <c:idx val="500"/>
              <c:tx>
                <c:rich>
                  <a:bodyPr/>
                  <a:lstStyle/>
                  <a:p>
                    <a:pPr>
                      <a:defRPr sz="1000" b="0" i="0" u="none" strike="noStrike" baseline="0">
                        <a:solidFill>
                          <a:srgbClr val="000000"/>
                        </a:solidFill>
                        <a:latin typeface="Calibri"/>
                        <a:ea typeface="Calibri"/>
                        <a:cs typeface="Calibri"/>
                      </a:defRPr>
                    </a:pPr>
                    <a:r>
                      <a:rPr lang="en-US"/>
                      <a:t>OLS</a:t>
                    </a:r>
                  </a:p>
                </c:rich>
              </c:tx>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CA4-4A3E-8AD1-AC1F175386FF}"/>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DGP!$BF$2:$BF$502</c:f>
              <c:numCache>
                <c:formatCode>General</c:formatCode>
                <c:ptCount val="501"/>
                <c:pt idx="0">
                  <c:v>11.5</c:v>
                </c:pt>
                <c:pt idx="1">
                  <c:v>11.51</c:v>
                </c:pt>
                <c:pt idx="2">
                  <c:v>11.52</c:v>
                </c:pt>
                <c:pt idx="3">
                  <c:v>11.53</c:v>
                </c:pt>
                <c:pt idx="4">
                  <c:v>11.54</c:v>
                </c:pt>
                <c:pt idx="5">
                  <c:v>11.55</c:v>
                </c:pt>
                <c:pt idx="6">
                  <c:v>11.56</c:v>
                </c:pt>
                <c:pt idx="7">
                  <c:v>11.57</c:v>
                </c:pt>
                <c:pt idx="8">
                  <c:v>11.58</c:v>
                </c:pt>
                <c:pt idx="9">
                  <c:v>11.59</c:v>
                </c:pt>
                <c:pt idx="10">
                  <c:v>11.6</c:v>
                </c:pt>
                <c:pt idx="11">
                  <c:v>11.61</c:v>
                </c:pt>
                <c:pt idx="12">
                  <c:v>11.62</c:v>
                </c:pt>
                <c:pt idx="13">
                  <c:v>11.63</c:v>
                </c:pt>
                <c:pt idx="14">
                  <c:v>11.64</c:v>
                </c:pt>
                <c:pt idx="15">
                  <c:v>11.65</c:v>
                </c:pt>
                <c:pt idx="16">
                  <c:v>11.66</c:v>
                </c:pt>
                <c:pt idx="17">
                  <c:v>11.67</c:v>
                </c:pt>
                <c:pt idx="18">
                  <c:v>11.68</c:v>
                </c:pt>
                <c:pt idx="19">
                  <c:v>11.69</c:v>
                </c:pt>
                <c:pt idx="20">
                  <c:v>11.7</c:v>
                </c:pt>
                <c:pt idx="21">
                  <c:v>11.71</c:v>
                </c:pt>
                <c:pt idx="22">
                  <c:v>11.72</c:v>
                </c:pt>
                <c:pt idx="23">
                  <c:v>11.73</c:v>
                </c:pt>
                <c:pt idx="24">
                  <c:v>11.74</c:v>
                </c:pt>
                <c:pt idx="25">
                  <c:v>11.75</c:v>
                </c:pt>
                <c:pt idx="26">
                  <c:v>11.76</c:v>
                </c:pt>
                <c:pt idx="27">
                  <c:v>11.77</c:v>
                </c:pt>
                <c:pt idx="28">
                  <c:v>11.78</c:v>
                </c:pt>
                <c:pt idx="29">
                  <c:v>11.79</c:v>
                </c:pt>
                <c:pt idx="30">
                  <c:v>11.8</c:v>
                </c:pt>
                <c:pt idx="31">
                  <c:v>11.81</c:v>
                </c:pt>
                <c:pt idx="32">
                  <c:v>11.82</c:v>
                </c:pt>
                <c:pt idx="33">
                  <c:v>11.83</c:v>
                </c:pt>
                <c:pt idx="34">
                  <c:v>11.84</c:v>
                </c:pt>
                <c:pt idx="35">
                  <c:v>11.85</c:v>
                </c:pt>
                <c:pt idx="36">
                  <c:v>11.86</c:v>
                </c:pt>
                <c:pt idx="37">
                  <c:v>11.87</c:v>
                </c:pt>
                <c:pt idx="38">
                  <c:v>11.88</c:v>
                </c:pt>
                <c:pt idx="39">
                  <c:v>11.89</c:v>
                </c:pt>
                <c:pt idx="40">
                  <c:v>11.9</c:v>
                </c:pt>
                <c:pt idx="41">
                  <c:v>11.91</c:v>
                </c:pt>
                <c:pt idx="42">
                  <c:v>11.92</c:v>
                </c:pt>
                <c:pt idx="43">
                  <c:v>11.93</c:v>
                </c:pt>
                <c:pt idx="44">
                  <c:v>11.94</c:v>
                </c:pt>
                <c:pt idx="45">
                  <c:v>11.95</c:v>
                </c:pt>
                <c:pt idx="46">
                  <c:v>11.96</c:v>
                </c:pt>
                <c:pt idx="47">
                  <c:v>11.97</c:v>
                </c:pt>
                <c:pt idx="48">
                  <c:v>11.98</c:v>
                </c:pt>
                <c:pt idx="49">
                  <c:v>11.99</c:v>
                </c:pt>
                <c:pt idx="50">
                  <c:v>12</c:v>
                </c:pt>
                <c:pt idx="51">
                  <c:v>12.01</c:v>
                </c:pt>
                <c:pt idx="52">
                  <c:v>12.02</c:v>
                </c:pt>
                <c:pt idx="53">
                  <c:v>12.03</c:v>
                </c:pt>
                <c:pt idx="54">
                  <c:v>12.04</c:v>
                </c:pt>
                <c:pt idx="55">
                  <c:v>12.05</c:v>
                </c:pt>
                <c:pt idx="56">
                  <c:v>12.06</c:v>
                </c:pt>
                <c:pt idx="57">
                  <c:v>12.07</c:v>
                </c:pt>
                <c:pt idx="58">
                  <c:v>12.08</c:v>
                </c:pt>
                <c:pt idx="59">
                  <c:v>12.09</c:v>
                </c:pt>
                <c:pt idx="60">
                  <c:v>12.1</c:v>
                </c:pt>
                <c:pt idx="61">
                  <c:v>12.11</c:v>
                </c:pt>
                <c:pt idx="62">
                  <c:v>12.12</c:v>
                </c:pt>
                <c:pt idx="63">
                  <c:v>12.13</c:v>
                </c:pt>
                <c:pt idx="64">
                  <c:v>12.14</c:v>
                </c:pt>
                <c:pt idx="65">
                  <c:v>12.15</c:v>
                </c:pt>
                <c:pt idx="66">
                  <c:v>12.16</c:v>
                </c:pt>
                <c:pt idx="67">
                  <c:v>12.17</c:v>
                </c:pt>
                <c:pt idx="68">
                  <c:v>12.18</c:v>
                </c:pt>
                <c:pt idx="69">
                  <c:v>12.19</c:v>
                </c:pt>
                <c:pt idx="70">
                  <c:v>12.2</c:v>
                </c:pt>
                <c:pt idx="71">
                  <c:v>12.21</c:v>
                </c:pt>
                <c:pt idx="72">
                  <c:v>12.22</c:v>
                </c:pt>
                <c:pt idx="73">
                  <c:v>12.23</c:v>
                </c:pt>
                <c:pt idx="74">
                  <c:v>12.24</c:v>
                </c:pt>
                <c:pt idx="75">
                  <c:v>12.25</c:v>
                </c:pt>
                <c:pt idx="76">
                  <c:v>12.26</c:v>
                </c:pt>
                <c:pt idx="77">
                  <c:v>12.27</c:v>
                </c:pt>
                <c:pt idx="78">
                  <c:v>12.28</c:v>
                </c:pt>
                <c:pt idx="79">
                  <c:v>12.29</c:v>
                </c:pt>
                <c:pt idx="80">
                  <c:v>12.3</c:v>
                </c:pt>
                <c:pt idx="81">
                  <c:v>12.31</c:v>
                </c:pt>
                <c:pt idx="82">
                  <c:v>12.32</c:v>
                </c:pt>
                <c:pt idx="83">
                  <c:v>12.33</c:v>
                </c:pt>
                <c:pt idx="84">
                  <c:v>12.34</c:v>
                </c:pt>
                <c:pt idx="85">
                  <c:v>12.35</c:v>
                </c:pt>
                <c:pt idx="86">
                  <c:v>12.36</c:v>
                </c:pt>
                <c:pt idx="87">
                  <c:v>12.37</c:v>
                </c:pt>
                <c:pt idx="88">
                  <c:v>12.38</c:v>
                </c:pt>
                <c:pt idx="89">
                  <c:v>12.39</c:v>
                </c:pt>
                <c:pt idx="90">
                  <c:v>12.4</c:v>
                </c:pt>
                <c:pt idx="91">
                  <c:v>12.41</c:v>
                </c:pt>
                <c:pt idx="92">
                  <c:v>12.42</c:v>
                </c:pt>
                <c:pt idx="93">
                  <c:v>12.43</c:v>
                </c:pt>
                <c:pt idx="94">
                  <c:v>12.44</c:v>
                </c:pt>
                <c:pt idx="95">
                  <c:v>12.45</c:v>
                </c:pt>
                <c:pt idx="96">
                  <c:v>12.46</c:v>
                </c:pt>
                <c:pt idx="97">
                  <c:v>12.47</c:v>
                </c:pt>
                <c:pt idx="98">
                  <c:v>12.48</c:v>
                </c:pt>
                <c:pt idx="99">
                  <c:v>12.49</c:v>
                </c:pt>
                <c:pt idx="100">
                  <c:v>12.5</c:v>
                </c:pt>
                <c:pt idx="101">
                  <c:v>12.51</c:v>
                </c:pt>
                <c:pt idx="102">
                  <c:v>12.52</c:v>
                </c:pt>
                <c:pt idx="103">
                  <c:v>12.53</c:v>
                </c:pt>
                <c:pt idx="104">
                  <c:v>12.54</c:v>
                </c:pt>
                <c:pt idx="105">
                  <c:v>12.55</c:v>
                </c:pt>
                <c:pt idx="106">
                  <c:v>12.56</c:v>
                </c:pt>
                <c:pt idx="107">
                  <c:v>12.57</c:v>
                </c:pt>
                <c:pt idx="108">
                  <c:v>12.58</c:v>
                </c:pt>
                <c:pt idx="109">
                  <c:v>12.59</c:v>
                </c:pt>
                <c:pt idx="110">
                  <c:v>12.6</c:v>
                </c:pt>
                <c:pt idx="111">
                  <c:v>12.61</c:v>
                </c:pt>
                <c:pt idx="112">
                  <c:v>12.62</c:v>
                </c:pt>
                <c:pt idx="113">
                  <c:v>12.63</c:v>
                </c:pt>
                <c:pt idx="114">
                  <c:v>12.64</c:v>
                </c:pt>
                <c:pt idx="115">
                  <c:v>12.65</c:v>
                </c:pt>
                <c:pt idx="116">
                  <c:v>12.66</c:v>
                </c:pt>
                <c:pt idx="117">
                  <c:v>12.67</c:v>
                </c:pt>
                <c:pt idx="118">
                  <c:v>12.68</c:v>
                </c:pt>
                <c:pt idx="119">
                  <c:v>12.69</c:v>
                </c:pt>
                <c:pt idx="120">
                  <c:v>12.7</c:v>
                </c:pt>
                <c:pt idx="121">
                  <c:v>12.71</c:v>
                </c:pt>
                <c:pt idx="122">
                  <c:v>12.72</c:v>
                </c:pt>
                <c:pt idx="123">
                  <c:v>12.73</c:v>
                </c:pt>
                <c:pt idx="124">
                  <c:v>12.74</c:v>
                </c:pt>
                <c:pt idx="125">
                  <c:v>12.75</c:v>
                </c:pt>
                <c:pt idx="126">
                  <c:v>12.76</c:v>
                </c:pt>
                <c:pt idx="127">
                  <c:v>12.77</c:v>
                </c:pt>
                <c:pt idx="128">
                  <c:v>12.78</c:v>
                </c:pt>
                <c:pt idx="129">
                  <c:v>12.79</c:v>
                </c:pt>
                <c:pt idx="130">
                  <c:v>12.8</c:v>
                </c:pt>
                <c:pt idx="131">
                  <c:v>12.81</c:v>
                </c:pt>
                <c:pt idx="132">
                  <c:v>12.82</c:v>
                </c:pt>
                <c:pt idx="133">
                  <c:v>12.83</c:v>
                </c:pt>
                <c:pt idx="134">
                  <c:v>12.84</c:v>
                </c:pt>
                <c:pt idx="135">
                  <c:v>12.85</c:v>
                </c:pt>
                <c:pt idx="136">
                  <c:v>12.86</c:v>
                </c:pt>
                <c:pt idx="137">
                  <c:v>12.87</c:v>
                </c:pt>
                <c:pt idx="138">
                  <c:v>12.88</c:v>
                </c:pt>
                <c:pt idx="139">
                  <c:v>12.89</c:v>
                </c:pt>
                <c:pt idx="140">
                  <c:v>12.9</c:v>
                </c:pt>
                <c:pt idx="141">
                  <c:v>12.91</c:v>
                </c:pt>
                <c:pt idx="142">
                  <c:v>12.92</c:v>
                </c:pt>
                <c:pt idx="143">
                  <c:v>12.93</c:v>
                </c:pt>
                <c:pt idx="144">
                  <c:v>12.94</c:v>
                </c:pt>
                <c:pt idx="145">
                  <c:v>12.95</c:v>
                </c:pt>
                <c:pt idx="146">
                  <c:v>12.96</c:v>
                </c:pt>
                <c:pt idx="147">
                  <c:v>12.97</c:v>
                </c:pt>
                <c:pt idx="148">
                  <c:v>12.98</c:v>
                </c:pt>
                <c:pt idx="149">
                  <c:v>12.99</c:v>
                </c:pt>
                <c:pt idx="150">
                  <c:v>13</c:v>
                </c:pt>
                <c:pt idx="151">
                  <c:v>13.01</c:v>
                </c:pt>
                <c:pt idx="152">
                  <c:v>13.02</c:v>
                </c:pt>
                <c:pt idx="153">
                  <c:v>13.03</c:v>
                </c:pt>
                <c:pt idx="154">
                  <c:v>13.04</c:v>
                </c:pt>
                <c:pt idx="155">
                  <c:v>13.05</c:v>
                </c:pt>
                <c:pt idx="156">
                  <c:v>13.06</c:v>
                </c:pt>
                <c:pt idx="157">
                  <c:v>13.07</c:v>
                </c:pt>
                <c:pt idx="158">
                  <c:v>13.08</c:v>
                </c:pt>
                <c:pt idx="159">
                  <c:v>13.09</c:v>
                </c:pt>
                <c:pt idx="160">
                  <c:v>13.1</c:v>
                </c:pt>
                <c:pt idx="161">
                  <c:v>13.11</c:v>
                </c:pt>
                <c:pt idx="162">
                  <c:v>13.12</c:v>
                </c:pt>
                <c:pt idx="163">
                  <c:v>13.13</c:v>
                </c:pt>
                <c:pt idx="164">
                  <c:v>13.14</c:v>
                </c:pt>
                <c:pt idx="165">
                  <c:v>13.15</c:v>
                </c:pt>
                <c:pt idx="166">
                  <c:v>13.16</c:v>
                </c:pt>
                <c:pt idx="167">
                  <c:v>13.17</c:v>
                </c:pt>
                <c:pt idx="168">
                  <c:v>13.18</c:v>
                </c:pt>
                <c:pt idx="169">
                  <c:v>13.19</c:v>
                </c:pt>
                <c:pt idx="170">
                  <c:v>13.2</c:v>
                </c:pt>
                <c:pt idx="171">
                  <c:v>13.21</c:v>
                </c:pt>
                <c:pt idx="172">
                  <c:v>13.22</c:v>
                </c:pt>
                <c:pt idx="173">
                  <c:v>13.23</c:v>
                </c:pt>
                <c:pt idx="174">
                  <c:v>13.24</c:v>
                </c:pt>
                <c:pt idx="175">
                  <c:v>13.25</c:v>
                </c:pt>
                <c:pt idx="176">
                  <c:v>13.26</c:v>
                </c:pt>
                <c:pt idx="177">
                  <c:v>13.27</c:v>
                </c:pt>
                <c:pt idx="178">
                  <c:v>13.28</c:v>
                </c:pt>
                <c:pt idx="179">
                  <c:v>13.29</c:v>
                </c:pt>
                <c:pt idx="180">
                  <c:v>13.3</c:v>
                </c:pt>
                <c:pt idx="181">
                  <c:v>13.31</c:v>
                </c:pt>
                <c:pt idx="182">
                  <c:v>13.32</c:v>
                </c:pt>
                <c:pt idx="183">
                  <c:v>13.33</c:v>
                </c:pt>
                <c:pt idx="184">
                  <c:v>13.34</c:v>
                </c:pt>
                <c:pt idx="185">
                  <c:v>13.35</c:v>
                </c:pt>
                <c:pt idx="186">
                  <c:v>13.36</c:v>
                </c:pt>
                <c:pt idx="187">
                  <c:v>13.37</c:v>
                </c:pt>
                <c:pt idx="188">
                  <c:v>13.38</c:v>
                </c:pt>
                <c:pt idx="189">
                  <c:v>13.39</c:v>
                </c:pt>
                <c:pt idx="190">
                  <c:v>13.4</c:v>
                </c:pt>
                <c:pt idx="191">
                  <c:v>13.41</c:v>
                </c:pt>
                <c:pt idx="192">
                  <c:v>13.42</c:v>
                </c:pt>
                <c:pt idx="193">
                  <c:v>13.43</c:v>
                </c:pt>
                <c:pt idx="194">
                  <c:v>13.44</c:v>
                </c:pt>
                <c:pt idx="195">
                  <c:v>13.45</c:v>
                </c:pt>
                <c:pt idx="196">
                  <c:v>13.46</c:v>
                </c:pt>
                <c:pt idx="197">
                  <c:v>13.47</c:v>
                </c:pt>
                <c:pt idx="198">
                  <c:v>13.48</c:v>
                </c:pt>
                <c:pt idx="199">
                  <c:v>13.49</c:v>
                </c:pt>
                <c:pt idx="200">
                  <c:v>13.5</c:v>
                </c:pt>
                <c:pt idx="201">
                  <c:v>13.51</c:v>
                </c:pt>
                <c:pt idx="202">
                  <c:v>13.52</c:v>
                </c:pt>
                <c:pt idx="203">
                  <c:v>13.53</c:v>
                </c:pt>
                <c:pt idx="204">
                  <c:v>13.54</c:v>
                </c:pt>
                <c:pt idx="205">
                  <c:v>13.55</c:v>
                </c:pt>
                <c:pt idx="206">
                  <c:v>13.56</c:v>
                </c:pt>
                <c:pt idx="207">
                  <c:v>13.57</c:v>
                </c:pt>
                <c:pt idx="208">
                  <c:v>13.58</c:v>
                </c:pt>
                <c:pt idx="209">
                  <c:v>13.59</c:v>
                </c:pt>
                <c:pt idx="210">
                  <c:v>13.6</c:v>
                </c:pt>
                <c:pt idx="211">
                  <c:v>13.61</c:v>
                </c:pt>
                <c:pt idx="212">
                  <c:v>13.62</c:v>
                </c:pt>
                <c:pt idx="213">
                  <c:v>13.63</c:v>
                </c:pt>
                <c:pt idx="214">
                  <c:v>13.64</c:v>
                </c:pt>
                <c:pt idx="215">
                  <c:v>13.65</c:v>
                </c:pt>
                <c:pt idx="216">
                  <c:v>13.66</c:v>
                </c:pt>
                <c:pt idx="217">
                  <c:v>13.67</c:v>
                </c:pt>
                <c:pt idx="218">
                  <c:v>13.68</c:v>
                </c:pt>
                <c:pt idx="219">
                  <c:v>13.69</c:v>
                </c:pt>
                <c:pt idx="220">
                  <c:v>13.7</c:v>
                </c:pt>
                <c:pt idx="221">
                  <c:v>13.71</c:v>
                </c:pt>
                <c:pt idx="222">
                  <c:v>13.72</c:v>
                </c:pt>
                <c:pt idx="223">
                  <c:v>13.73</c:v>
                </c:pt>
                <c:pt idx="224">
                  <c:v>13.74</c:v>
                </c:pt>
                <c:pt idx="225">
                  <c:v>13.75</c:v>
                </c:pt>
                <c:pt idx="226">
                  <c:v>13.76</c:v>
                </c:pt>
                <c:pt idx="227">
                  <c:v>13.77</c:v>
                </c:pt>
                <c:pt idx="228">
                  <c:v>13.78</c:v>
                </c:pt>
                <c:pt idx="229">
                  <c:v>13.79</c:v>
                </c:pt>
                <c:pt idx="230">
                  <c:v>13.8</c:v>
                </c:pt>
                <c:pt idx="231">
                  <c:v>13.81</c:v>
                </c:pt>
                <c:pt idx="232">
                  <c:v>13.82</c:v>
                </c:pt>
                <c:pt idx="233">
                  <c:v>13.83</c:v>
                </c:pt>
                <c:pt idx="234">
                  <c:v>13.84</c:v>
                </c:pt>
                <c:pt idx="235">
                  <c:v>13.85</c:v>
                </c:pt>
                <c:pt idx="236">
                  <c:v>13.86</c:v>
                </c:pt>
                <c:pt idx="237">
                  <c:v>13.87</c:v>
                </c:pt>
                <c:pt idx="238">
                  <c:v>13.88</c:v>
                </c:pt>
                <c:pt idx="239">
                  <c:v>13.889999999999899</c:v>
                </c:pt>
                <c:pt idx="240">
                  <c:v>13.899999999999901</c:v>
                </c:pt>
                <c:pt idx="241">
                  <c:v>13.91</c:v>
                </c:pt>
                <c:pt idx="242">
                  <c:v>13.92</c:v>
                </c:pt>
                <c:pt idx="243">
                  <c:v>13.9299999999999</c:v>
                </c:pt>
                <c:pt idx="244">
                  <c:v>13.9399999999999</c:v>
                </c:pt>
                <c:pt idx="245">
                  <c:v>13.9499999999999</c:v>
                </c:pt>
                <c:pt idx="246">
                  <c:v>13.9599999999999</c:v>
                </c:pt>
                <c:pt idx="247">
                  <c:v>13.969999999999899</c:v>
                </c:pt>
                <c:pt idx="248">
                  <c:v>13.979999999999899</c:v>
                </c:pt>
                <c:pt idx="249">
                  <c:v>13.989999999999901</c:v>
                </c:pt>
                <c:pt idx="250">
                  <c:v>14</c:v>
                </c:pt>
                <c:pt idx="251">
                  <c:v>14.01</c:v>
                </c:pt>
                <c:pt idx="252">
                  <c:v>14.0199999999999</c:v>
                </c:pt>
                <c:pt idx="253">
                  <c:v>14.0299999999999</c:v>
                </c:pt>
                <c:pt idx="254">
                  <c:v>14.0399999999999</c:v>
                </c:pt>
                <c:pt idx="255">
                  <c:v>14.049999999999899</c:v>
                </c:pt>
                <c:pt idx="256">
                  <c:v>14.059999999999899</c:v>
                </c:pt>
                <c:pt idx="257">
                  <c:v>14.07</c:v>
                </c:pt>
                <c:pt idx="258">
                  <c:v>14.079999999999901</c:v>
                </c:pt>
                <c:pt idx="259">
                  <c:v>14.09</c:v>
                </c:pt>
                <c:pt idx="260">
                  <c:v>14.0999999999999</c:v>
                </c:pt>
                <c:pt idx="261">
                  <c:v>14.1099999999999</c:v>
                </c:pt>
                <c:pt idx="262">
                  <c:v>14.1199999999999</c:v>
                </c:pt>
                <c:pt idx="263">
                  <c:v>14.1299999999999</c:v>
                </c:pt>
                <c:pt idx="264">
                  <c:v>14.139999999999899</c:v>
                </c:pt>
                <c:pt idx="265">
                  <c:v>14.149999999999901</c:v>
                </c:pt>
                <c:pt idx="266">
                  <c:v>14.16</c:v>
                </c:pt>
                <c:pt idx="267">
                  <c:v>14.17</c:v>
                </c:pt>
                <c:pt idx="268">
                  <c:v>14.1799999999999</c:v>
                </c:pt>
                <c:pt idx="269">
                  <c:v>14.1899999999999</c:v>
                </c:pt>
                <c:pt idx="270">
                  <c:v>14.1999999999999</c:v>
                </c:pt>
                <c:pt idx="271">
                  <c:v>14.2099999999999</c:v>
                </c:pt>
                <c:pt idx="272">
                  <c:v>14.219999999999899</c:v>
                </c:pt>
                <c:pt idx="273">
                  <c:v>14.229999999999899</c:v>
                </c:pt>
                <c:pt idx="274">
                  <c:v>14.239999999999901</c:v>
                </c:pt>
                <c:pt idx="275">
                  <c:v>14.25</c:v>
                </c:pt>
                <c:pt idx="276">
                  <c:v>14.26</c:v>
                </c:pt>
                <c:pt idx="277">
                  <c:v>14.2699999999999</c:v>
                </c:pt>
                <c:pt idx="278">
                  <c:v>14.2799999999999</c:v>
                </c:pt>
                <c:pt idx="279">
                  <c:v>14.2899999999999</c:v>
                </c:pt>
                <c:pt idx="280">
                  <c:v>14.299999999999899</c:v>
                </c:pt>
                <c:pt idx="281">
                  <c:v>14.309999999999899</c:v>
                </c:pt>
                <c:pt idx="282">
                  <c:v>14.32</c:v>
                </c:pt>
                <c:pt idx="283">
                  <c:v>14.329999999999901</c:v>
                </c:pt>
                <c:pt idx="284">
                  <c:v>14.34</c:v>
                </c:pt>
                <c:pt idx="285">
                  <c:v>14.3499999999999</c:v>
                </c:pt>
                <c:pt idx="286">
                  <c:v>14.3599999999999</c:v>
                </c:pt>
                <c:pt idx="287">
                  <c:v>14.3699999999999</c:v>
                </c:pt>
                <c:pt idx="288">
                  <c:v>14.3799999999999</c:v>
                </c:pt>
                <c:pt idx="289">
                  <c:v>14.389999999999899</c:v>
                </c:pt>
                <c:pt idx="290">
                  <c:v>14.399999999999901</c:v>
                </c:pt>
                <c:pt idx="291">
                  <c:v>14.409999999999901</c:v>
                </c:pt>
                <c:pt idx="292">
                  <c:v>14.4199999999999</c:v>
                </c:pt>
                <c:pt idx="293">
                  <c:v>14.4299999999999</c:v>
                </c:pt>
                <c:pt idx="294">
                  <c:v>14.4399999999999</c:v>
                </c:pt>
                <c:pt idx="295">
                  <c:v>14.4499999999999</c:v>
                </c:pt>
                <c:pt idx="296">
                  <c:v>14.4599999999999</c:v>
                </c:pt>
                <c:pt idx="297">
                  <c:v>14.469999999999899</c:v>
                </c:pt>
                <c:pt idx="298">
                  <c:v>14.479999999999899</c:v>
                </c:pt>
                <c:pt idx="299">
                  <c:v>14.489999999999901</c:v>
                </c:pt>
                <c:pt idx="300">
                  <c:v>14.499999999999901</c:v>
                </c:pt>
                <c:pt idx="301">
                  <c:v>14.5099999999999</c:v>
                </c:pt>
                <c:pt idx="302">
                  <c:v>14.5199999999999</c:v>
                </c:pt>
                <c:pt idx="303">
                  <c:v>14.5299999999999</c:v>
                </c:pt>
                <c:pt idx="304">
                  <c:v>14.5399999999999</c:v>
                </c:pt>
                <c:pt idx="305">
                  <c:v>14.549999999999899</c:v>
                </c:pt>
                <c:pt idx="306">
                  <c:v>14.559999999999899</c:v>
                </c:pt>
                <c:pt idx="307">
                  <c:v>14.569999999999901</c:v>
                </c:pt>
                <c:pt idx="308">
                  <c:v>14.579999999999901</c:v>
                </c:pt>
                <c:pt idx="309">
                  <c:v>14.5899999999999</c:v>
                </c:pt>
                <c:pt idx="310">
                  <c:v>14.5999999999999</c:v>
                </c:pt>
                <c:pt idx="311">
                  <c:v>14.6099999999999</c:v>
                </c:pt>
                <c:pt idx="312">
                  <c:v>14.6199999999999</c:v>
                </c:pt>
                <c:pt idx="313">
                  <c:v>14.6299999999999</c:v>
                </c:pt>
                <c:pt idx="314">
                  <c:v>14.639999999999899</c:v>
                </c:pt>
                <c:pt idx="315">
                  <c:v>14.649999999999901</c:v>
                </c:pt>
                <c:pt idx="316">
                  <c:v>14.659999999999901</c:v>
                </c:pt>
                <c:pt idx="317">
                  <c:v>14.6699999999999</c:v>
                </c:pt>
                <c:pt idx="318">
                  <c:v>14.6799999999999</c:v>
                </c:pt>
                <c:pt idx="319">
                  <c:v>14.6899999999999</c:v>
                </c:pt>
                <c:pt idx="320">
                  <c:v>14.6999999999999</c:v>
                </c:pt>
                <c:pt idx="321">
                  <c:v>14.7099999999999</c:v>
                </c:pt>
                <c:pt idx="322">
                  <c:v>14.719999999999899</c:v>
                </c:pt>
                <c:pt idx="323">
                  <c:v>14.729999999999899</c:v>
                </c:pt>
                <c:pt idx="324">
                  <c:v>14.739999999999901</c:v>
                </c:pt>
                <c:pt idx="325">
                  <c:v>14.749999999999901</c:v>
                </c:pt>
                <c:pt idx="326">
                  <c:v>14.7599999999999</c:v>
                </c:pt>
                <c:pt idx="327">
                  <c:v>14.7699999999999</c:v>
                </c:pt>
                <c:pt idx="328">
                  <c:v>14.7799999999999</c:v>
                </c:pt>
                <c:pt idx="329">
                  <c:v>14.7899999999999</c:v>
                </c:pt>
                <c:pt idx="330">
                  <c:v>14.799999999999899</c:v>
                </c:pt>
                <c:pt idx="331">
                  <c:v>14.809999999999899</c:v>
                </c:pt>
                <c:pt idx="332">
                  <c:v>14.819999999999901</c:v>
                </c:pt>
                <c:pt idx="333">
                  <c:v>14.829999999999901</c:v>
                </c:pt>
                <c:pt idx="334">
                  <c:v>14.8399999999999</c:v>
                </c:pt>
                <c:pt idx="335">
                  <c:v>14.8499999999999</c:v>
                </c:pt>
                <c:pt idx="336">
                  <c:v>14.8599999999999</c:v>
                </c:pt>
                <c:pt idx="337">
                  <c:v>14.8699999999999</c:v>
                </c:pt>
                <c:pt idx="338">
                  <c:v>14.8799999999999</c:v>
                </c:pt>
                <c:pt idx="339">
                  <c:v>14.889999999999899</c:v>
                </c:pt>
                <c:pt idx="340">
                  <c:v>14.899999999999901</c:v>
                </c:pt>
                <c:pt idx="341">
                  <c:v>14.909999999999901</c:v>
                </c:pt>
                <c:pt idx="342">
                  <c:v>14.9199999999999</c:v>
                </c:pt>
                <c:pt idx="343">
                  <c:v>14.9299999999999</c:v>
                </c:pt>
                <c:pt idx="344">
                  <c:v>14.9399999999999</c:v>
                </c:pt>
                <c:pt idx="345">
                  <c:v>14.9499999999999</c:v>
                </c:pt>
                <c:pt idx="346">
                  <c:v>14.9599999999999</c:v>
                </c:pt>
                <c:pt idx="347">
                  <c:v>14.969999999999899</c:v>
                </c:pt>
                <c:pt idx="348">
                  <c:v>14.979999999999899</c:v>
                </c:pt>
                <c:pt idx="349">
                  <c:v>14.989999999999901</c:v>
                </c:pt>
                <c:pt idx="350">
                  <c:v>14.999999999999901</c:v>
                </c:pt>
                <c:pt idx="351">
                  <c:v>15.0099999999999</c:v>
                </c:pt>
                <c:pt idx="352">
                  <c:v>15.0199999999999</c:v>
                </c:pt>
                <c:pt idx="353">
                  <c:v>15.0299999999999</c:v>
                </c:pt>
                <c:pt idx="354">
                  <c:v>15.0399999999999</c:v>
                </c:pt>
                <c:pt idx="355">
                  <c:v>15.049999999999899</c:v>
                </c:pt>
                <c:pt idx="356">
                  <c:v>15.059999999999899</c:v>
                </c:pt>
                <c:pt idx="357">
                  <c:v>15.069999999999901</c:v>
                </c:pt>
                <c:pt idx="358">
                  <c:v>15.079999999999901</c:v>
                </c:pt>
                <c:pt idx="359">
                  <c:v>15.0899999999999</c:v>
                </c:pt>
                <c:pt idx="360">
                  <c:v>15.0999999999999</c:v>
                </c:pt>
                <c:pt idx="361">
                  <c:v>15.1099999999999</c:v>
                </c:pt>
                <c:pt idx="362">
                  <c:v>15.1199999999999</c:v>
                </c:pt>
                <c:pt idx="363">
                  <c:v>15.1299999999999</c:v>
                </c:pt>
                <c:pt idx="364">
                  <c:v>15.139999999999899</c:v>
                </c:pt>
                <c:pt idx="365">
                  <c:v>15.149999999999901</c:v>
                </c:pt>
                <c:pt idx="366">
                  <c:v>15.159999999999901</c:v>
                </c:pt>
                <c:pt idx="367">
                  <c:v>15.1699999999999</c:v>
                </c:pt>
                <c:pt idx="368">
                  <c:v>15.1799999999999</c:v>
                </c:pt>
                <c:pt idx="369">
                  <c:v>15.1899999999999</c:v>
                </c:pt>
                <c:pt idx="370">
                  <c:v>15.1999999999999</c:v>
                </c:pt>
                <c:pt idx="371">
                  <c:v>15.2099999999999</c:v>
                </c:pt>
                <c:pt idx="372">
                  <c:v>15.219999999999899</c:v>
                </c:pt>
                <c:pt idx="373">
                  <c:v>15.229999999999899</c:v>
                </c:pt>
                <c:pt idx="374">
                  <c:v>15.239999999999901</c:v>
                </c:pt>
                <c:pt idx="375">
                  <c:v>15.249999999999901</c:v>
                </c:pt>
                <c:pt idx="376">
                  <c:v>15.2599999999999</c:v>
                </c:pt>
                <c:pt idx="377">
                  <c:v>15.2699999999999</c:v>
                </c:pt>
                <c:pt idx="378">
                  <c:v>15.2799999999999</c:v>
                </c:pt>
                <c:pt idx="379">
                  <c:v>15.2899999999999</c:v>
                </c:pt>
                <c:pt idx="380">
                  <c:v>15.299999999999899</c:v>
                </c:pt>
                <c:pt idx="381">
                  <c:v>15.309999999999899</c:v>
                </c:pt>
                <c:pt idx="382">
                  <c:v>15.319999999999901</c:v>
                </c:pt>
                <c:pt idx="383">
                  <c:v>15.329999999999901</c:v>
                </c:pt>
                <c:pt idx="384">
                  <c:v>15.3399999999999</c:v>
                </c:pt>
                <c:pt idx="385">
                  <c:v>15.3499999999999</c:v>
                </c:pt>
                <c:pt idx="386">
                  <c:v>15.3599999999999</c:v>
                </c:pt>
                <c:pt idx="387">
                  <c:v>15.3699999999999</c:v>
                </c:pt>
                <c:pt idx="388">
                  <c:v>15.3799999999999</c:v>
                </c:pt>
                <c:pt idx="389">
                  <c:v>15.389999999999899</c:v>
                </c:pt>
                <c:pt idx="390">
                  <c:v>15.399999999999901</c:v>
                </c:pt>
                <c:pt idx="391">
                  <c:v>15.409999999999901</c:v>
                </c:pt>
                <c:pt idx="392">
                  <c:v>15.4199999999999</c:v>
                </c:pt>
                <c:pt idx="393">
                  <c:v>15.4299999999999</c:v>
                </c:pt>
                <c:pt idx="394">
                  <c:v>15.4399999999999</c:v>
                </c:pt>
                <c:pt idx="395">
                  <c:v>15.4499999999999</c:v>
                </c:pt>
                <c:pt idx="396">
                  <c:v>15.4599999999999</c:v>
                </c:pt>
                <c:pt idx="397">
                  <c:v>15.469999999999899</c:v>
                </c:pt>
                <c:pt idx="398">
                  <c:v>15.479999999999899</c:v>
                </c:pt>
                <c:pt idx="399">
                  <c:v>15.489999999999901</c:v>
                </c:pt>
                <c:pt idx="400">
                  <c:v>15.499999999999901</c:v>
                </c:pt>
                <c:pt idx="401">
                  <c:v>15.5099999999999</c:v>
                </c:pt>
                <c:pt idx="402">
                  <c:v>15.5199999999999</c:v>
                </c:pt>
                <c:pt idx="403">
                  <c:v>15.5299999999999</c:v>
                </c:pt>
                <c:pt idx="404">
                  <c:v>15.5399999999999</c:v>
                </c:pt>
                <c:pt idx="405">
                  <c:v>15.549999999999899</c:v>
                </c:pt>
                <c:pt idx="406">
                  <c:v>15.559999999999899</c:v>
                </c:pt>
                <c:pt idx="407">
                  <c:v>15.569999999999901</c:v>
                </c:pt>
                <c:pt idx="408">
                  <c:v>15.579999999999901</c:v>
                </c:pt>
                <c:pt idx="409">
                  <c:v>15.5899999999999</c:v>
                </c:pt>
                <c:pt idx="410">
                  <c:v>15.5999999999999</c:v>
                </c:pt>
                <c:pt idx="411">
                  <c:v>15.6099999999999</c:v>
                </c:pt>
                <c:pt idx="412">
                  <c:v>15.6199999999999</c:v>
                </c:pt>
                <c:pt idx="413">
                  <c:v>15.6299999999999</c:v>
                </c:pt>
                <c:pt idx="414">
                  <c:v>15.639999999999899</c:v>
                </c:pt>
                <c:pt idx="415">
                  <c:v>15.649999999999901</c:v>
                </c:pt>
                <c:pt idx="416">
                  <c:v>15.659999999999901</c:v>
                </c:pt>
                <c:pt idx="417">
                  <c:v>15.6699999999999</c:v>
                </c:pt>
                <c:pt idx="418">
                  <c:v>15.6799999999999</c:v>
                </c:pt>
                <c:pt idx="419">
                  <c:v>15.6899999999999</c:v>
                </c:pt>
                <c:pt idx="420">
                  <c:v>15.6999999999999</c:v>
                </c:pt>
                <c:pt idx="421">
                  <c:v>15.7099999999999</c:v>
                </c:pt>
                <c:pt idx="422">
                  <c:v>15.719999999999899</c:v>
                </c:pt>
                <c:pt idx="423">
                  <c:v>15.729999999999899</c:v>
                </c:pt>
                <c:pt idx="424">
                  <c:v>15.739999999999901</c:v>
                </c:pt>
                <c:pt idx="425">
                  <c:v>15.749999999999901</c:v>
                </c:pt>
                <c:pt idx="426">
                  <c:v>15.7599999999999</c:v>
                </c:pt>
                <c:pt idx="427">
                  <c:v>15.7699999999999</c:v>
                </c:pt>
                <c:pt idx="428">
                  <c:v>15.7799999999999</c:v>
                </c:pt>
                <c:pt idx="429">
                  <c:v>15.7899999999999</c:v>
                </c:pt>
                <c:pt idx="430">
                  <c:v>15.799999999999899</c:v>
                </c:pt>
                <c:pt idx="431">
                  <c:v>15.809999999999899</c:v>
                </c:pt>
                <c:pt idx="432">
                  <c:v>15.819999999999901</c:v>
                </c:pt>
                <c:pt idx="433">
                  <c:v>15.829999999999901</c:v>
                </c:pt>
                <c:pt idx="434">
                  <c:v>15.8399999999999</c:v>
                </c:pt>
                <c:pt idx="435">
                  <c:v>15.8499999999999</c:v>
                </c:pt>
                <c:pt idx="436">
                  <c:v>15.8599999999999</c:v>
                </c:pt>
                <c:pt idx="437">
                  <c:v>15.8699999999999</c:v>
                </c:pt>
                <c:pt idx="438">
                  <c:v>15.8799999999999</c:v>
                </c:pt>
                <c:pt idx="439">
                  <c:v>15.889999999999899</c:v>
                </c:pt>
                <c:pt idx="440">
                  <c:v>15.899999999999901</c:v>
                </c:pt>
                <c:pt idx="441">
                  <c:v>15.909999999999901</c:v>
                </c:pt>
                <c:pt idx="442">
                  <c:v>15.9199999999999</c:v>
                </c:pt>
                <c:pt idx="443">
                  <c:v>15.9299999999999</c:v>
                </c:pt>
                <c:pt idx="444">
                  <c:v>15.9399999999999</c:v>
                </c:pt>
                <c:pt idx="445">
                  <c:v>15.9499999999999</c:v>
                </c:pt>
                <c:pt idx="446">
                  <c:v>15.9599999999999</c:v>
                </c:pt>
                <c:pt idx="447">
                  <c:v>15.969999999999899</c:v>
                </c:pt>
                <c:pt idx="448">
                  <c:v>15.979999999999899</c:v>
                </c:pt>
                <c:pt idx="449">
                  <c:v>15.989999999999901</c:v>
                </c:pt>
                <c:pt idx="450">
                  <c:v>15.999999999999901</c:v>
                </c:pt>
                <c:pt idx="451">
                  <c:v>16.009999999999899</c:v>
                </c:pt>
                <c:pt idx="452">
                  <c:v>16.0199999999999</c:v>
                </c:pt>
                <c:pt idx="453">
                  <c:v>16.029999999999902</c:v>
                </c:pt>
                <c:pt idx="454">
                  <c:v>16.0399999999999</c:v>
                </c:pt>
                <c:pt idx="455">
                  <c:v>16.049999999999901</c:v>
                </c:pt>
                <c:pt idx="456">
                  <c:v>16.059999999999899</c:v>
                </c:pt>
                <c:pt idx="457">
                  <c:v>16.069999999999901</c:v>
                </c:pt>
                <c:pt idx="458">
                  <c:v>16.079999999999899</c:v>
                </c:pt>
                <c:pt idx="459">
                  <c:v>16.0899999999999</c:v>
                </c:pt>
                <c:pt idx="460">
                  <c:v>16.099999999999898</c:v>
                </c:pt>
                <c:pt idx="461">
                  <c:v>16.1099999999999</c:v>
                </c:pt>
                <c:pt idx="462">
                  <c:v>16.119999999999902</c:v>
                </c:pt>
                <c:pt idx="463">
                  <c:v>16.1299999999999</c:v>
                </c:pt>
                <c:pt idx="464">
                  <c:v>16.139999999999901</c:v>
                </c:pt>
                <c:pt idx="465">
                  <c:v>16.149999999999899</c:v>
                </c:pt>
                <c:pt idx="466">
                  <c:v>16.159999999999901</c:v>
                </c:pt>
                <c:pt idx="467">
                  <c:v>16.169999999999899</c:v>
                </c:pt>
                <c:pt idx="468">
                  <c:v>16.1799999999999</c:v>
                </c:pt>
                <c:pt idx="469">
                  <c:v>16.189999999999898</c:v>
                </c:pt>
                <c:pt idx="470">
                  <c:v>16.1999999999999</c:v>
                </c:pt>
                <c:pt idx="471">
                  <c:v>16.209999999999901</c:v>
                </c:pt>
                <c:pt idx="472">
                  <c:v>16.219999999999899</c:v>
                </c:pt>
                <c:pt idx="473">
                  <c:v>16.229999999999901</c:v>
                </c:pt>
                <c:pt idx="474">
                  <c:v>16.239999999999899</c:v>
                </c:pt>
                <c:pt idx="475">
                  <c:v>16.249999999999901</c:v>
                </c:pt>
                <c:pt idx="476">
                  <c:v>16.259999999999899</c:v>
                </c:pt>
                <c:pt idx="477">
                  <c:v>16.2699999999999</c:v>
                </c:pt>
                <c:pt idx="478">
                  <c:v>16.279999999999902</c:v>
                </c:pt>
                <c:pt idx="479">
                  <c:v>16.2899999999999</c:v>
                </c:pt>
                <c:pt idx="480">
                  <c:v>16.299999999999901</c:v>
                </c:pt>
                <c:pt idx="481">
                  <c:v>16.309999999999899</c:v>
                </c:pt>
                <c:pt idx="482">
                  <c:v>16.319999999999901</c:v>
                </c:pt>
                <c:pt idx="483">
                  <c:v>16.329999999999899</c:v>
                </c:pt>
                <c:pt idx="484">
                  <c:v>16.3399999999999</c:v>
                </c:pt>
                <c:pt idx="485">
                  <c:v>16.349999999999898</c:v>
                </c:pt>
                <c:pt idx="486">
                  <c:v>16.3599999999999</c:v>
                </c:pt>
                <c:pt idx="487">
                  <c:v>16.369999999999902</c:v>
                </c:pt>
                <c:pt idx="488">
                  <c:v>16.3799999999999</c:v>
                </c:pt>
                <c:pt idx="489">
                  <c:v>16.389999999999901</c:v>
                </c:pt>
                <c:pt idx="490">
                  <c:v>16.399999999999899</c:v>
                </c:pt>
                <c:pt idx="491">
                  <c:v>16.409999999999901</c:v>
                </c:pt>
                <c:pt idx="492">
                  <c:v>16.419999999999899</c:v>
                </c:pt>
                <c:pt idx="493">
                  <c:v>16.4299999999999</c:v>
                </c:pt>
                <c:pt idx="494">
                  <c:v>16.439999999999898</c:v>
                </c:pt>
                <c:pt idx="495">
                  <c:v>16.4499999999999</c:v>
                </c:pt>
                <c:pt idx="496">
                  <c:v>16.459999999999901</c:v>
                </c:pt>
                <c:pt idx="497">
                  <c:v>16.469999999999899</c:v>
                </c:pt>
                <c:pt idx="498">
                  <c:v>16.479999999999901</c:v>
                </c:pt>
                <c:pt idx="499">
                  <c:v>16.489999999999899</c:v>
                </c:pt>
                <c:pt idx="500">
                  <c:v>16.499999999999901</c:v>
                </c:pt>
              </c:numCache>
            </c:numRef>
          </c:xVal>
          <c:yVal>
            <c:numRef>
              <c:f>DGP!$BH$2:$BH$502</c:f>
              <c:numCache>
                <c:formatCode>General</c:formatCode>
                <c:ptCount val="5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numCache>
            </c:numRef>
          </c:yVal>
          <c:bubbleSize>
            <c:numRef>
              <c:f>DGP!$BJ$2:$BJ$502</c:f>
              <c:numCache>
                <c:formatCode>General</c:formatCode>
                <c:ptCount val="501"/>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10</c:v>
                </c:pt>
                <c:pt idx="39">
                  <c:v>10</c:v>
                </c:pt>
                <c:pt idx="40">
                  <c:v>10</c:v>
                </c:pt>
                <c:pt idx="41">
                  <c:v>10</c:v>
                </c:pt>
                <c:pt idx="42">
                  <c:v>10</c:v>
                </c:pt>
                <c:pt idx="43">
                  <c:v>10</c:v>
                </c:pt>
                <c:pt idx="44">
                  <c:v>10</c:v>
                </c:pt>
                <c:pt idx="45">
                  <c:v>10</c:v>
                </c:pt>
                <c:pt idx="46">
                  <c:v>10</c:v>
                </c:pt>
                <c:pt idx="47">
                  <c:v>10</c:v>
                </c:pt>
                <c:pt idx="48">
                  <c:v>10</c:v>
                </c:pt>
                <c:pt idx="49">
                  <c:v>10</c:v>
                </c:pt>
                <c:pt idx="50">
                  <c:v>10</c:v>
                </c:pt>
                <c:pt idx="51">
                  <c:v>10</c:v>
                </c:pt>
                <c:pt idx="52">
                  <c:v>10</c:v>
                </c:pt>
                <c:pt idx="53">
                  <c:v>10</c:v>
                </c:pt>
                <c:pt idx="54">
                  <c:v>10</c:v>
                </c:pt>
                <c:pt idx="55">
                  <c:v>10</c:v>
                </c:pt>
                <c:pt idx="56">
                  <c:v>10</c:v>
                </c:pt>
                <c:pt idx="57">
                  <c:v>10</c:v>
                </c:pt>
                <c:pt idx="58">
                  <c:v>10</c:v>
                </c:pt>
                <c:pt idx="59">
                  <c:v>10</c:v>
                </c:pt>
                <c:pt idx="60">
                  <c:v>10</c:v>
                </c:pt>
                <c:pt idx="61">
                  <c:v>10</c:v>
                </c:pt>
                <c:pt idx="62">
                  <c:v>10</c:v>
                </c:pt>
                <c:pt idx="63">
                  <c:v>10</c:v>
                </c:pt>
                <c:pt idx="64">
                  <c:v>10</c:v>
                </c:pt>
                <c:pt idx="65">
                  <c:v>10</c:v>
                </c:pt>
                <c:pt idx="66">
                  <c:v>10</c:v>
                </c:pt>
                <c:pt idx="67">
                  <c:v>10</c:v>
                </c:pt>
                <c:pt idx="68">
                  <c:v>10</c:v>
                </c:pt>
                <c:pt idx="69">
                  <c:v>10</c:v>
                </c:pt>
                <c:pt idx="70">
                  <c:v>10</c:v>
                </c:pt>
                <c:pt idx="71">
                  <c:v>10</c:v>
                </c:pt>
                <c:pt idx="72">
                  <c:v>10</c:v>
                </c:pt>
                <c:pt idx="73">
                  <c:v>10</c:v>
                </c:pt>
                <c:pt idx="74">
                  <c:v>10</c:v>
                </c:pt>
                <c:pt idx="75">
                  <c:v>10</c:v>
                </c:pt>
                <c:pt idx="76">
                  <c:v>10</c:v>
                </c:pt>
                <c:pt idx="77">
                  <c:v>10</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pt idx="101">
                  <c:v>10</c:v>
                </c:pt>
                <c:pt idx="102">
                  <c:v>10</c:v>
                </c:pt>
                <c:pt idx="103">
                  <c:v>10</c:v>
                </c:pt>
                <c:pt idx="104">
                  <c:v>10</c:v>
                </c:pt>
                <c:pt idx="105">
                  <c:v>10</c:v>
                </c:pt>
                <c:pt idx="106">
                  <c:v>10</c:v>
                </c:pt>
                <c:pt idx="107">
                  <c:v>10</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10</c:v>
                </c:pt>
                <c:pt idx="121">
                  <c:v>10</c:v>
                </c:pt>
                <c:pt idx="122">
                  <c:v>10</c:v>
                </c:pt>
                <c:pt idx="123">
                  <c:v>10</c:v>
                </c:pt>
                <c:pt idx="124">
                  <c:v>10</c:v>
                </c:pt>
                <c:pt idx="125">
                  <c:v>10</c:v>
                </c:pt>
                <c:pt idx="126">
                  <c:v>10</c:v>
                </c:pt>
                <c:pt idx="127">
                  <c:v>10</c:v>
                </c:pt>
                <c:pt idx="128">
                  <c:v>10</c:v>
                </c:pt>
                <c:pt idx="129">
                  <c:v>10</c:v>
                </c:pt>
                <c:pt idx="130">
                  <c:v>10</c:v>
                </c:pt>
                <c:pt idx="131">
                  <c:v>10</c:v>
                </c:pt>
                <c:pt idx="132">
                  <c:v>10</c:v>
                </c:pt>
                <c:pt idx="133">
                  <c:v>10</c:v>
                </c:pt>
                <c:pt idx="134">
                  <c:v>10</c:v>
                </c:pt>
                <c:pt idx="135">
                  <c:v>10</c:v>
                </c:pt>
                <c:pt idx="136">
                  <c:v>10</c:v>
                </c:pt>
                <c:pt idx="137">
                  <c:v>10</c:v>
                </c:pt>
                <c:pt idx="138">
                  <c:v>10</c:v>
                </c:pt>
                <c:pt idx="139">
                  <c:v>10</c:v>
                </c:pt>
                <c:pt idx="140">
                  <c:v>10</c:v>
                </c:pt>
                <c:pt idx="141">
                  <c:v>10</c:v>
                </c:pt>
                <c:pt idx="142">
                  <c:v>10</c:v>
                </c:pt>
                <c:pt idx="143">
                  <c:v>10</c:v>
                </c:pt>
                <c:pt idx="144">
                  <c:v>10</c:v>
                </c:pt>
                <c:pt idx="145">
                  <c:v>10</c:v>
                </c:pt>
                <c:pt idx="146">
                  <c:v>10</c:v>
                </c:pt>
                <c:pt idx="147">
                  <c:v>10</c:v>
                </c:pt>
                <c:pt idx="148">
                  <c:v>10</c:v>
                </c:pt>
                <c:pt idx="149">
                  <c:v>10</c:v>
                </c:pt>
                <c:pt idx="150">
                  <c:v>10</c:v>
                </c:pt>
                <c:pt idx="151">
                  <c:v>10</c:v>
                </c:pt>
                <c:pt idx="152">
                  <c:v>10</c:v>
                </c:pt>
                <c:pt idx="153">
                  <c:v>10</c:v>
                </c:pt>
                <c:pt idx="154">
                  <c:v>10</c:v>
                </c:pt>
                <c:pt idx="155">
                  <c:v>10</c:v>
                </c:pt>
                <c:pt idx="156">
                  <c:v>10</c:v>
                </c:pt>
                <c:pt idx="157">
                  <c:v>10</c:v>
                </c:pt>
                <c:pt idx="158">
                  <c:v>10</c:v>
                </c:pt>
                <c:pt idx="159">
                  <c:v>10</c:v>
                </c:pt>
                <c:pt idx="160">
                  <c:v>10</c:v>
                </c:pt>
                <c:pt idx="161">
                  <c:v>10</c:v>
                </c:pt>
                <c:pt idx="162">
                  <c:v>10</c:v>
                </c:pt>
                <c:pt idx="163">
                  <c:v>10</c:v>
                </c:pt>
                <c:pt idx="164">
                  <c:v>10</c:v>
                </c:pt>
                <c:pt idx="165">
                  <c:v>10</c:v>
                </c:pt>
                <c:pt idx="166">
                  <c:v>10</c:v>
                </c:pt>
                <c:pt idx="167">
                  <c:v>10</c:v>
                </c:pt>
                <c:pt idx="168">
                  <c:v>10</c:v>
                </c:pt>
                <c:pt idx="169">
                  <c:v>10</c:v>
                </c:pt>
                <c:pt idx="170">
                  <c:v>10</c:v>
                </c:pt>
                <c:pt idx="171">
                  <c:v>10</c:v>
                </c:pt>
                <c:pt idx="172">
                  <c:v>10</c:v>
                </c:pt>
                <c:pt idx="173">
                  <c:v>10</c:v>
                </c:pt>
                <c:pt idx="174">
                  <c:v>10</c:v>
                </c:pt>
                <c:pt idx="175">
                  <c:v>10</c:v>
                </c:pt>
                <c:pt idx="176">
                  <c:v>10</c:v>
                </c:pt>
                <c:pt idx="177">
                  <c:v>10</c:v>
                </c:pt>
                <c:pt idx="178">
                  <c:v>10</c:v>
                </c:pt>
                <c:pt idx="179">
                  <c:v>10</c:v>
                </c:pt>
                <c:pt idx="180">
                  <c:v>10</c:v>
                </c:pt>
                <c:pt idx="181">
                  <c:v>10</c:v>
                </c:pt>
                <c:pt idx="182">
                  <c:v>10</c:v>
                </c:pt>
                <c:pt idx="183">
                  <c:v>10</c:v>
                </c:pt>
                <c:pt idx="184">
                  <c:v>10</c:v>
                </c:pt>
                <c:pt idx="185">
                  <c:v>10</c:v>
                </c:pt>
                <c:pt idx="186">
                  <c:v>10</c:v>
                </c:pt>
                <c:pt idx="187">
                  <c:v>10</c:v>
                </c:pt>
                <c:pt idx="188">
                  <c:v>10</c:v>
                </c:pt>
                <c:pt idx="189">
                  <c:v>10</c:v>
                </c:pt>
                <c:pt idx="190">
                  <c:v>10</c:v>
                </c:pt>
                <c:pt idx="191">
                  <c:v>10</c:v>
                </c:pt>
                <c:pt idx="192">
                  <c:v>10</c:v>
                </c:pt>
                <c:pt idx="193">
                  <c:v>10</c:v>
                </c:pt>
                <c:pt idx="194">
                  <c:v>10</c:v>
                </c:pt>
                <c:pt idx="195">
                  <c:v>10</c:v>
                </c:pt>
                <c:pt idx="196">
                  <c:v>10</c:v>
                </c:pt>
                <c:pt idx="197">
                  <c:v>10</c:v>
                </c:pt>
                <c:pt idx="198">
                  <c:v>10</c:v>
                </c:pt>
                <c:pt idx="199">
                  <c:v>10</c:v>
                </c:pt>
                <c:pt idx="200">
                  <c:v>10</c:v>
                </c:pt>
                <c:pt idx="201">
                  <c:v>10</c:v>
                </c:pt>
                <c:pt idx="202">
                  <c:v>10</c:v>
                </c:pt>
                <c:pt idx="203">
                  <c:v>10</c:v>
                </c:pt>
                <c:pt idx="204">
                  <c:v>10</c:v>
                </c:pt>
                <c:pt idx="205">
                  <c:v>10</c:v>
                </c:pt>
                <c:pt idx="206">
                  <c:v>10</c:v>
                </c:pt>
                <c:pt idx="207">
                  <c:v>10</c:v>
                </c:pt>
                <c:pt idx="208">
                  <c:v>10</c:v>
                </c:pt>
                <c:pt idx="209">
                  <c:v>10</c:v>
                </c:pt>
                <c:pt idx="210">
                  <c:v>10</c:v>
                </c:pt>
                <c:pt idx="211">
                  <c:v>10</c:v>
                </c:pt>
                <c:pt idx="212">
                  <c:v>10</c:v>
                </c:pt>
                <c:pt idx="213">
                  <c:v>10</c:v>
                </c:pt>
                <c:pt idx="214">
                  <c:v>10</c:v>
                </c:pt>
                <c:pt idx="215">
                  <c:v>10</c:v>
                </c:pt>
                <c:pt idx="216">
                  <c:v>10</c:v>
                </c:pt>
                <c:pt idx="217">
                  <c:v>10</c:v>
                </c:pt>
                <c:pt idx="218">
                  <c:v>10</c:v>
                </c:pt>
                <c:pt idx="219">
                  <c:v>10</c:v>
                </c:pt>
                <c:pt idx="220">
                  <c:v>10</c:v>
                </c:pt>
                <c:pt idx="221">
                  <c:v>10</c:v>
                </c:pt>
                <c:pt idx="222">
                  <c:v>10</c:v>
                </c:pt>
                <c:pt idx="223">
                  <c:v>10</c:v>
                </c:pt>
                <c:pt idx="224">
                  <c:v>10</c:v>
                </c:pt>
                <c:pt idx="225">
                  <c:v>10</c:v>
                </c:pt>
                <c:pt idx="226">
                  <c:v>10</c:v>
                </c:pt>
                <c:pt idx="227">
                  <c:v>10</c:v>
                </c:pt>
                <c:pt idx="228">
                  <c:v>10</c:v>
                </c:pt>
                <c:pt idx="229">
                  <c:v>10</c:v>
                </c:pt>
                <c:pt idx="230">
                  <c:v>10</c:v>
                </c:pt>
                <c:pt idx="231">
                  <c:v>10</c:v>
                </c:pt>
                <c:pt idx="232">
                  <c:v>10</c:v>
                </c:pt>
                <c:pt idx="233">
                  <c:v>10</c:v>
                </c:pt>
                <c:pt idx="234">
                  <c:v>10</c:v>
                </c:pt>
                <c:pt idx="235">
                  <c:v>10</c:v>
                </c:pt>
                <c:pt idx="236">
                  <c:v>10</c:v>
                </c:pt>
                <c:pt idx="237">
                  <c:v>10</c:v>
                </c:pt>
                <c:pt idx="238">
                  <c:v>10</c:v>
                </c:pt>
                <c:pt idx="239">
                  <c:v>10</c:v>
                </c:pt>
                <c:pt idx="240">
                  <c:v>10</c:v>
                </c:pt>
                <c:pt idx="241">
                  <c:v>10</c:v>
                </c:pt>
                <c:pt idx="242">
                  <c:v>10</c:v>
                </c:pt>
                <c:pt idx="243">
                  <c:v>10</c:v>
                </c:pt>
                <c:pt idx="244">
                  <c:v>10</c:v>
                </c:pt>
                <c:pt idx="245">
                  <c:v>10</c:v>
                </c:pt>
                <c:pt idx="246">
                  <c:v>10</c:v>
                </c:pt>
                <c:pt idx="247">
                  <c:v>10</c:v>
                </c:pt>
                <c:pt idx="248">
                  <c:v>10</c:v>
                </c:pt>
                <c:pt idx="249">
                  <c:v>10</c:v>
                </c:pt>
                <c:pt idx="250">
                  <c:v>10</c:v>
                </c:pt>
                <c:pt idx="251">
                  <c:v>10</c:v>
                </c:pt>
                <c:pt idx="252">
                  <c:v>10</c:v>
                </c:pt>
                <c:pt idx="253">
                  <c:v>10</c:v>
                </c:pt>
                <c:pt idx="254">
                  <c:v>10</c:v>
                </c:pt>
                <c:pt idx="255">
                  <c:v>10</c:v>
                </c:pt>
                <c:pt idx="256">
                  <c:v>10</c:v>
                </c:pt>
                <c:pt idx="257">
                  <c:v>10</c:v>
                </c:pt>
                <c:pt idx="258">
                  <c:v>10</c:v>
                </c:pt>
                <c:pt idx="259">
                  <c:v>10</c:v>
                </c:pt>
                <c:pt idx="260">
                  <c:v>10</c:v>
                </c:pt>
                <c:pt idx="261">
                  <c:v>10</c:v>
                </c:pt>
                <c:pt idx="262">
                  <c:v>10</c:v>
                </c:pt>
                <c:pt idx="263">
                  <c:v>10</c:v>
                </c:pt>
                <c:pt idx="264">
                  <c:v>10</c:v>
                </c:pt>
                <c:pt idx="265">
                  <c:v>10</c:v>
                </c:pt>
                <c:pt idx="266">
                  <c:v>10</c:v>
                </c:pt>
                <c:pt idx="267">
                  <c:v>10</c:v>
                </c:pt>
                <c:pt idx="268">
                  <c:v>10</c:v>
                </c:pt>
                <c:pt idx="269">
                  <c:v>10</c:v>
                </c:pt>
                <c:pt idx="270">
                  <c:v>10</c:v>
                </c:pt>
                <c:pt idx="271">
                  <c:v>10</c:v>
                </c:pt>
                <c:pt idx="272">
                  <c:v>10</c:v>
                </c:pt>
                <c:pt idx="273">
                  <c:v>10</c:v>
                </c:pt>
                <c:pt idx="274">
                  <c:v>10</c:v>
                </c:pt>
                <c:pt idx="275">
                  <c:v>10</c:v>
                </c:pt>
                <c:pt idx="276">
                  <c:v>10</c:v>
                </c:pt>
                <c:pt idx="277">
                  <c:v>10</c:v>
                </c:pt>
                <c:pt idx="278">
                  <c:v>10</c:v>
                </c:pt>
                <c:pt idx="279">
                  <c:v>10</c:v>
                </c:pt>
                <c:pt idx="280">
                  <c:v>10</c:v>
                </c:pt>
                <c:pt idx="281">
                  <c:v>10</c:v>
                </c:pt>
                <c:pt idx="282">
                  <c:v>10</c:v>
                </c:pt>
                <c:pt idx="283">
                  <c:v>10</c:v>
                </c:pt>
                <c:pt idx="284">
                  <c:v>10</c:v>
                </c:pt>
                <c:pt idx="285">
                  <c:v>10</c:v>
                </c:pt>
                <c:pt idx="286">
                  <c:v>10</c:v>
                </c:pt>
                <c:pt idx="287">
                  <c:v>10</c:v>
                </c:pt>
                <c:pt idx="288">
                  <c:v>10</c:v>
                </c:pt>
                <c:pt idx="289">
                  <c:v>10</c:v>
                </c:pt>
                <c:pt idx="290">
                  <c:v>10</c:v>
                </c:pt>
                <c:pt idx="291">
                  <c:v>10</c:v>
                </c:pt>
                <c:pt idx="292">
                  <c:v>10</c:v>
                </c:pt>
                <c:pt idx="293">
                  <c:v>10</c:v>
                </c:pt>
                <c:pt idx="294">
                  <c:v>10</c:v>
                </c:pt>
                <c:pt idx="295">
                  <c:v>10</c:v>
                </c:pt>
                <c:pt idx="296">
                  <c:v>10</c:v>
                </c:pt>
                <c:pt idx="297">
                  <c:v>10</c:v>
                </c:pt>
                <c:pt idx="298">
                  <c:v>10</c:v>
                </c:pt>
                <c:pt idx="299">
                  <c:v>10</c:v>
                </c:pt>
                <c:pt idx="300">
                  <c:v>10</c:v>
                </c:pt>
                <c:pt idx="301">
                  <c:v>10</c:v>
                </c:pt>
                <c:pt idx="302">
                  <c:v>10</c:v>
                </c:pt>
                <c:pt idx="303">
                  <c:v>10</c:v>
                </c:pt>
                <c:pt idx="304">
                  <c:v>10</c:v>
                </c:pt>
                <c:pt idx="305">
                  <c:v>10</c:v>
                </c:pt>
                <c:pt idx="306">
                  <c:v>10</c:v>
                </c:pt>
                <c:pt idx="307">
                  <c:v>10</c:v>
                </c:pt>
                <c:pt idx="308">
                  <c:v>10</c:v>
                </c:pt>
                <c:pt idx="309">
                  <c:v>10</c:v>
                </c:pt>
                <c:pt idx="310">
                  <c:v>10</c:v>
                </c:pt>
                <c:pt idx="311">
                  <c:v>10</c:v>
                </c:pt>
                <c:pt idx="312">
                  <c:v>10</c:v>
                </c:pt>
                <c:pt idx="313">
                  <c:v>10</c:v>
                </c:pt>
                <c:pt idx="314">
                  <c:v>10</c:v>
                </c:pt>
                <c:pt idx="315">
                  <c:v>10</c:v>
                </c:pt>
                <c:pt idx="316">
                  <c:v>10</c:v>
                </c:pt>
                <c:pt idx="317">
                  <c:v>10</c:v>
                </c:pt>
                <c:pt idx="318">
                  <c:v>10</c:v>
                </c:pt>
                <c:pt idx="319">
                  <c:v>10</c:v>
                </c:pt>
                <c:pt idx="320">
                  <c:v>10</c:v>
                </c:pt>
                <c:pt idx="321">
                  <c:v>10</c:v>
                </c:pt>
                <c:pt idx="322">
                  <c:v>10</c:v>
                </c:pt>
                <c:pt idx="323">
                  <c:v>10</c:v>
                </c:pt>
                <c:pt idx="324">
                  <c:v>10</c:v>
                </c:pt>
                <c:pt idx="325">
                  <c:v>10</c:v>
                </c:pt>
                <c:pt idx="326">
                  <c:v>10</c:v>
                </c:pt>
                <c:pt idx="327">
                  <c:v>10</c:v>
                </c:pt>
                <c:pt idx="328">
                  <c:v>10</c:v>
                </c:pt>
                <c:pt idx="329">
                  <c:v>10</c:v>
                </c:pt>
                <c:pt idx="330">
                  <c:v>10</c:v>
                </c:pt>
                <c:pt idx="331">
                  <c:v>10</c:v>
                </c:pt>
                <c:pt idx="332">
                  <c:v>10</c:v>
                </c:pt>
                <c:pt idx="333">
                  <c:v>10</c:v>
                </c:pt>
                <c:pt idx="334">
                  <c:v>10</c:v>
                </c:pt>
                <c:pt idx="335">
                  <c:v>10</c:v>
                </c:pt>
                <c:pt idx="336">
                  <c:v>10</c:v>
                </c:pt>
                <c:pt idx="337">
                  <c:v>10</c:v>
                </c:pt>
                <c:pt idx="338">
                  <c:v>10</c:v>
                </c:pt>
                <c:pt idx="339">
                  <c:v>10</c:v>
                </c:pt>
                <c:pt idx="340">
                  <c:v>10</c:v>
                </c:pt>
                <c:pt idx="341">
                  <c:v>10</c:v>
                </c:pt>
                <c:pt idx="342">
                  <c:v>10</c:v>
                </c:pt>
                <c:pt idx="343">
                  <c:v>10</c:v>
                </c:pt>
                <c:pt idx="344">
                  <c:v>10</c:v>
                </c:pt>
                <c:pt idx="345">
                  <c:v>10</c:v>
                </c:pt>
                <c:pt idx="346">
                  <c:v>10</c:v>
                </c:pt>
                <c:pt idx="347">
                  <c:v>10</c:v>
                </c:pt>
                <c:pt idx="348">
                  <c:v>10</c:v>
                </c:pt>
                <c:pt idx="349">
                  <c:v>10</c:v>
                </c:pt>
                <c:pt idx="350">
                  <c:v>10</c:v>
                </c:pt>
                <c:pt idx="351">
                  <c:v>10</c:v>
                </c:pt>
                <c:pt idx="352">
                  <c:v>10</c:v>
                </c:pt>
                <c:pt idx="353">
                  <c:v>10</c:v>
                </c:pt>
                <c:pt idx="354">
                  <c:v>10</c:v>
                </c:pt>
                <c:pt idx="355">
                  <c:v>10</c:v>
                </c:pt>
                <c:pt idx="356">
                  <c:v>10</c:v>
                </c:pt>
                <c:pt idx="357">
                  <c:v>10</c:v>
                </c:pt>
                <c:pt idx="358">
                  <c:v>10</c:v>
                </c:pt>
                <c:pt idx="359">
                  <c:v>10</c:v>
                </c:pt>
                <c:pt idx="360">
                  <c:v>10</c:v>
                </c:pt>
                <c:pt idx="361">
                  <c:v>10</c:v>
                </c:pt>
                <c:pt idx="362">
                  <c:v>10</c:v>
                </c:pt>
                <c:pt idx="363">
                  <c:v>10</c:v>
                </c:pt>
                <c:pt idx="364">
                  <c:v>10</c:v>
                </c:pt>
                <c:pt idx="365">
                  <c:v>10</c:v>
                </c:pt>
                <c:pt idx="366">
                  <c:v>10</c:v>
                </c:pt>
                <c:pt idx="367">
                  <c:v>10</c:v>
                </c:pt>
                <c:pt idx="368">
                  <c:v>10</c:v>
                </c:pt>
                <c:pt idx="369">
                  <c:v>10</c:v>
                </c:pt>
                <c:pt idx="370">
                  <c:v>10</c:v>
                </c:pt>
                <c:pt idx="371">
                  <c:v>10</c:v>
                </c:pt>
                <c:pt idx="372">
                  <c:v>10</c:v>
                </c:pt>
                <c:pt idx="373">
                  <c:v>10</c:v>
                </c:pt>
                <c:pt idx="374">
                  <c:v>10</c:v>
                </c:pt>
                <c:pt idx="375">
                  <c:v>10</c:v>
                </c:pt>
                <c:pt idx="376">
                  <c:v>10</c:v>
                </c:pt>
                <c:pt idx="377">
                  <c:v>10</c:v>
                </c:pt>
                <c:pt idx="378">
                  <c:v>10</c:v>
                </c:pt>
                <c:pt idx="379">
                  <c:v>10</c:v>
                </c:pt>
                <c:pt idx="380">
                  <c:v>10</c:v>
                </c:pt>
                <c:pt idx="381">
                  <c:v>10</c:v>
                </c:pt>
                <c:pt idx="382">
                  <c:v>10</c:v>
                </c:pt>
                <c:pt idx="383">
                  <c:v>10</c:v>
                </c:pt>
                <c:pt idx="384">
                  <c:v>10</c:v>
                </c:pt>
                <c:pt idx="385">
                  <c:v>10</c:v>
                </c:pt>
                <c:pt idx="386">
                  <c:v>10</c:v>
                </c:pt>
                <c:pt idx="387">
                  <c:v>10</c:v>
                </c:pt>
                <c:pt idx="388">
                  <c:v>10</c:v>
                </c:pt>
                <c:pt idx="389">
                  <c:v>10</c:v>
                </c:pt>
                <c:pt idx="390">
                  <c:v>10</c:v>
                </c:pt>
                <c:pt idx="391">
                  <c:v>10</c:v>
                </c:pt>
                <c:pt idx="392">
                  <c:v>10</c:v>
                </c:pt>
                <c:pt idx="393">
                  <c:v>10</c:v>
                </c:pt>
                <c:pt idx="394">
                  <c:v>10</c:v>
                </c:pt>
                <c:pt idx="395">
                  <c:v>10</c:v>
                </c:pt>
                <c:pt idx="396">
                  <c:v>10</c:v>
                </c:pt>
                <c:pt idx="397">
                  <c:v>10</c:v>
                </c:pt>
                <c:pt idx="398">
                  <c:v>10</c:v>
                </c:pt>
                <c:pt idx="399">
                  <c:v>10</c:v>
                </c:pt>
                <c:pt idx="400">
                  <c:v>10</c:v>
                </c:pt>
                <c:pt idx="401">
                  <c:v>10</c:v>
                </c:pt>
                <c:pt idx="402">
                  <c:v>10</c:v>
                </c:pt>
                <c:pt idx="403">
                  <c:v>10</c:v>
                </c:pt>
                <c:pt idx="404">
                  <c:v>10</c:v>
                </c:pt>
                <c:pt idx="405">
                  <c:v>10</c:v>
                </c:pt>
                <c:pt idx="406">
                  <c:v>10</c:v>
                </c:pt>
                <c:pt idx="407">
                  <c:v>10</c:v>
                </c:pt>
                <c:pt idx="408">
                  <c:v>10</c:v>
                </c:pt>
                <c:pt idx="409">
                  <c:v>10</c:v>
                </c:pt>
                <c:pt idx="410">
                  <c:v>10</c:v>
                </c:pt>
                <c:pt idx="411">
                  <c:v>10</c:v>
                </c:pt>
                <c:pt idx="412">
                  <c:v>10</c:v>
                </c:pt>
                <c:pt idx="413">
                  <c:v>10</c:v>
                </c:pt>
                <c:pt idx="414">
                  <c:v>10</c:v>
                </c:pt>
                <c:pt idx="415">
                  <c:v>10</c:v>
                </c:pt>
                <c:pt idx="416">
                  <c:v>10</c:v>
                </c:pt>
                <c:pt idx="417">
                  <c:v>10</c:v>
                </c:pt>
                <c:pt idx="418">
                  <c:v>10</c:v>
                </c:pt>
                <c:pt idx="419">
                  <c:v>10</c:v>
                </c:pt>
                <c:pt idx="420">
                  <c:v>10</c:v>
                </c:pt>
                <c:pt idx="421">
                  <c:v>10</c:v>
                </c:pt>
                <c:pt idx="422">
                  <c:v>10</c:v>
                </c:pt>
                <c:pt idx="423">
                  <c:v>10</c:v>
                </c:pt>
                <c:pt idx="424">
                  <c:v>10</c:v>
                </c:pt>
                <c:pt idx="425">
                  <c:v>10</c:v>
                </c:pt>
                <c:pt idx="426">
                  <c:v>10</c:v>
                </c:pt>
                <c:pt idx="427">
                  <c:v>10</c:v>
                </c:pt>
                <c:pt idx="428">
                  <c:v>10</c:v>
                </c:pt>
                <c:pt idx="429">
                  <c:v>10</c:v>
                </c:pt>
                <c:pt idx="430">
                  <c:v>10</c:v>
                </c:pt>
                <c:pt idx="431">
                  <c:v>10</c:v>
                </c:pt>
                <c:pt idx="432">
                  <c:v>10</c:v>
                </c:pt>
                <c:pt idx="433">
                  <c:v>10</c:v>
                </c:pt>
                <c:pt idx="434">
                  <c:v>10</c:v>
                </c:pt>
                <c:pt idx="435">
                  <c:v>10</c:v>
                </c:pt>
                <c:pt idx="436">
                  <c:v>10</c:v>
                </c:pt>
                <c:pt idx="437">
                  <c:v>10</c:v>
                </c:pt>
                <c:pt idx="438">
                  <c:v>10</c:v>
                </c:pt>
                <c:pt idx="439">
                  <c:v>10</c:v>
                </c:pt>
                <c:pt idx="440">
                  <c:v>10</c:v>
                </c:pt>
                <c:pt idx="441">
                  <c:v>10</c:v>
                </c:pt>
                <c:pt idx="442">
                  <c:v>10</c:v>
                </c:pt>
                <c:pt idx="443">
                  <c:v>10</c:v>
                </c:pt>
                <c:pt idx="444">
                  <c:v>10</c:v>
                </c:pt>
                <c:pt idx="445">
                  <c:v>10</c:v>
                </c:pt>
                <c:pt idx="446">
                  <c:v>10</c:v>
                </c:pt>
                <c:pt idx="447">
                  <c:v>10</c:v>
                </c:pt>
                <c:pt idx="448">
                  <c:v>10</c:v>
                </c:pt>
                <c:pt idx="449">
                  <c:v>10</c:v>
                </c:pt>
                <c:pt idx="450">
                  <c:v>10</c:v>
                </c:pt>
                <c:pt idx="451">
                  <c:v>10</c:v>
                </c:pt>
                <c:pt idx="452">
                  <c:v>10</c:v>
                </c:pt>
                <c:pt idx="453">
                  <c:v>10</c:v>
                </c:pt>
                <c:pt idx="454">
                  <c:v>10</c:v>
                </c:pt>
                <c:pt idx="455">
                  <c:v>10</c:v>
                </c:pt>
                <c:pt idx="456">
                  <c:v>10</c:v>
                </c:pt>
                <c:pt idx="457">
                  <c:v>10</c:v>
                </c:pt>
                <c:pt idx="458">
                  <c:v>10</c:v>
                </c:pt>
                <c:pt idx="459">
                  <c:v>10</c:v>
                </c:pt>
                <c:pt idx="460">
                  <c:v>10</c:v>
                </c:pt>
                <c:pt idx="461">
                  <c:v>10</c:v>
                </c:pt>
                <c:pt idx="462">
                  <c:v>10</c:v>
                </c:pt>
                <c:pt idx="463">
                  <c:v>10</c:v>
                </c:pt>
                <c:pt idx="464">
                  <c:v>10</c:v>
                </c:pt>
                <c:pt idx="465">
                  <c:v>10</c:v>
                </c:pt>
                <c:pt idx="466">
                  <c:v>10</c:v>
                </c:pt>
                <c:pt idx="467">
                  <c:v>10</c:v>
                </c:pt>
                <c:pt idx="468">
                  <c:v>10</c:v>
                </c:pt>
                <c:pt idx="469">
                  <c:v>10</c:v>
                </c:pt>
                <c:pt idx="470">
                  <c:v>10</c:v>
                </c:pt>
                <c:pt idx="471">
                  <c:v>10</c:v>
                </c:pt>
                <c:pt idx="472">
                  <c:v>10</c:v>
                </c:pt>
                <c:pt idx="473">
                  <c:v>10</c:v>
                </c:pt>
                <c:pt idx="474">
                  <c:v>10</c:v>
                </c:pt>
                <c:pt idx="475">
                  <c:v>10</c:v>
                </c:pt>
                <c:pt idx="476">
                  <c:v>10</c:v>
                </c:pt>
                <c:pt idx="477">
                  <c:v>10</c:v>
                </c:pt>
                <c:pt idx="478">
                  <c:v>10</c:v>
                </c:pt>
                <c:pt idx="479">
                  <c:v>10</c:v>
                </c:pt>
                <c:pt idx="480">
                  <c:v>10</c:v>
                </c:pt>
                <c:pt idx="481">
                  <c:v>10</c:v>
                </c:pt>
                <c:pt idx="482">
                  <c:v>10</c:v>
                </c:pt>
                <c:pt idx="483">
                  <c:v>10</c:v>
                </c:pt>
                <c:pt idx="484">
                  <c:v>10</c:v>
                </c:pt>
                <c:pt idx="485">
                  <c:v>10</c:v>
                </c:pt>
                <c:pt idx="486">
                  <c:v>10</c:v>
                </c:pt>
                <c:pt idx="487">
                  <c:v>10</c:v>
                </c:pt>
                <c:pt idx="488">
                  <c:v>10</c:v>
                </c:pt>
                <c:pt idx="489">
                  <c:v>10</c:v>
                </c:pt>
                <c:pt idx="490">
                  <c:v>10</c:v>
                </c:pt>
                <c:pt idx="491">
                  <c:v>10</c:v>
                </c:pt>
                <c:pt idx="492">
                  <c:v>10</c:v>
                </c:pt>
                <c:pt idx="493">
                  <c:v>10</c:v>
                </c:pt>
                <c:pt idx="494">
                  <c:v>10</c:v>
                </c:pt>
                <c:pt idx="495">
                  <c:v>10</c:v>
                </c:pt>
                <c:pt idx="496">
                  <c:v>10</c:v>
                </c:pt>
                <c:pt idx="497">
                  <c:v>10</c:v>
                </c:pt>
                <c:pt idx="498">
                  <c:v>10</c:v>
                </c:pt>
                <c:pt idx="499">
                  <c:v>10</c:v>
                </c:pt>
                <c:pt idx="500">
                  <c:v>10</c:v>
                </c:pt>
              </c:numCache>
            </c:numRef>
          </c:bubbleSize>
          <c:bubble3D val="0"/>
          <c:extLst>
            <c:ext xmlns:c16="http://schemas.microsoft.com/office/drawing/2014/chart" uri="{C3380CC4-5D6E-409C-BE32-E72D297353CC}">
              <c16:uniqueId val="{00000006-7CA4-4A3E-8AD1-AC1F175386FF}"/>
            </c:ext>
          </c:extLst>
        </c:ser>
        <c:dLbls>
          <c:showLegendKey val="0"/>
          <c:showVal val="0"/>
          <c:showCatName val="0"/>
          <c:showSerName val="0"/>
          <c:showPercent val="0"/>
          <c:showBubbleSize val="0"/>
        </c:dLbls>
        <c:bubbleScale val="10"/>
        <c:showNegBubbles val="0"/>
        <c:axId val="1909949983"/>
        <c:axId val="1"/>
      </c:bubbleChart>
      <c:valAx>
        <c:axId val="1909949983"/>
        <c:scaling>
          <c:orientation val="minMax"/>
          <c:max val="17"/>
          <c:min val="11"/>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majorUnit val="1"/>
      </c:valAx>
      <c:valAx>
        <c:axId val="1"/>
        <c:scaling>
          <c:orientation val="minMax"/>
          <c:max val="50"/>
          <c:min val="0"/>
        </c:scaling>
        <c:delete val="0"/>
        <c:axPos val="l"/>
        <c:majorGridlines/>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909949983"/>
        <c:crosses val="autoZero"/>
        <c:crossBetween val="midCat"/>
        <c:majorUnit val="10"/>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AA$2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601980</xdr:colOff>
          <xdr:row>26</xdr:row>
          <xdr:rowOff>38100</xdr:rowOff>
        </xdr:from>
        <xdr:to>
          <xdr:col>28</xdr:col>
          <xdr:colOff>91440</xdr:colOff>
          <xdr:row>28</xdr:row>
          <xdr:rowOff>114300</xdr:rowOff>
        </xdr:to>
        <xdr:sp macro="" textlink="">
          <xdr:nvSpPr>
            <xdr:cNvPr id="1536001" name="ButtonOLS" hidden="1">
              <a:extLst>
                <a:ext uri="{63B3BB69-23CF-44E3-9099-C40C66FF867C}">
                  <a14:compatExt spid="_x0000_s1536001"/>
                </a:ext>
                <a:ext uri="{FF2B5EF4-FFF2-40B4-BE49-F238E27FC236}">
                  <a16:creationId xmlns:a16="http://schemas.microsoft.com/office/drawing/2014/main" id="{00000000-0008-0000-0200-000001701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MC Sim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129540</xdr:colOff>
          <xdr:row>39</xdr:row>
          <xdr:rowOff>129540</xdr:rowOff>
        </xdr:from>
        <xdr:to>
          <xdr:col>4</xdr:col>
          <xdr:colOff>137160</xdr:colOff>
          <xdr:row>41</xdr:row>
          <xdr:rowOff>175260</xdr:rowOff>
        </xdr:to>
        <xdr:sp macro="" textlink="">
          <xdr:nvSpPr>
            <xdr:cNvPr id="1536002" name="Button 2" hidden="1">
              <a:extLst>
                <a:ext uri="{63B3BB69-23CF-44E3-9099-C40C66FF867C}">
                  <a14:compatExt spid="_x0000_s1536002"/>
                </a:ext>
                <a:ext uri="{FF2B5EF4-FFF2-40B4-BE49-F238E27FC236}">
                  <a16:creationId xmlns:a16="http://schemas.microsoft.com/office/drawing/2014/main" id="{00000000-0008-0000-0200-000002701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Check Your Answer</a:t>
              </a:r>
            </a:p>
          </xdr:txBody>
        </xdr:sp>
        <xdr:clientData fPrintsWithSheet="0"/>
      </xdr:twoCellAnchor>
    </mc:Choice>
    <mc:Fallback/>
  </mc:AlternateContent>
  <xdr:twoCellAnchor>
    <xdr:from>
      <xdr:col>0</xdr:col>
      <xdr:colOff>114300</xdr:colOff>
      <xdr:row>34</xdr:row>
      <xdr:rowOff>53340</xdr:rowOff>
    </xdr:from>
    <xdr:to>
      <xdr:col>10</xdr:col>
      <xdr:colOff>426720</xdr:colOff>
      <xdr:row>39</xdr:row>
      <xdr:rowOff>68580</xdr:rowOff>
    </xdr:to>
    <xdr:sp macro="" textlink="">
      <xdr:nvSpPr>
        <xdr:cNvPr id="4" name="TextBox1">
          <a:extLst>
            <a:ext uri="{FF2B5EF4-FFF2-40B4-BE49-F238E27FC236}">
              <a16:creationId xmlns:a16="http://schemas.microsoft.com/office/drawing/2014/main" id="{00000000-0008-0000-0200-000004000000}"/>
            </a:ext>
          </a:extLst>
        </xdr:cNvPr>
        <xdr:cNvSpPr txBox="1"/>
      </xdr:nvSpPr>
      <xdr:spPr>
        <a:xfrm>
          <a:off x="114300" y="6278880"/>
          <a:ext cx="6423660" cy="92964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Answer: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137160</xdr:colOff>
          <xdr:row>76</xdr:row>
          <xdr:rowOff>167640</xdr:rowOff>
        </xdr:from>
        <xdr:to>
          <xdr:col>4</xdr:col>
          <xdr:colOff>144780</xdr:colOff>
          <xdr:row>79</xdr:row>
          <xdr:rowOff>30480</xdr:rowOff>
        </xdr:to>
        <xdr:sp macro="" textlink="">
          <xdr:nvSpPr>
            <xdr:cNvPr id="1544193" name="Button 1" hidden="1">
              <a:extLst>
                <a:ext uri="{63B3BB69-23CF-44E3-9099-C40C66FF867C}">
                  <a14:compatExt spid="_x0000_s1544193"/>
                </a:ext>
                <a:ext uri="{FF2B5EF4-FFF2-40B4-BE49-F238E27FC236}">
                  <a16:creationId xmlns:a16="http://schemas.microsoft.com/office/drawing/2014/main" id="{BD60ACD3-4AB4-46F7-A657-FEE5E87393A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DGP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0</xdr:colOff>
      <xdr:row>1</xdr:row>
      <xdr:rowOff>0</xdr:rowOff>
    </xdr:from>
    <xdr:to>
      <xdr:col>8</xdr:col>
      <xdr:colOff>0</xdr:colOff>
      <xdr:row>15</xdr:row>
      <xdr:rowOff>0</xdr:rowOff>
    </xdr:to>
    <xdr:graphicFrame macro="">
      <xdr:nvGraphicFramePr>
        <xdr:cNvPr id="2554073" name="Chart 6">
          <a:extLst>
            <a:ext uri="{FF2B5EF4-FFF2-40B4-BE49-F238E27FC236}">
              <a16:creationId xmlns:a16="http://schemas.microsoft.com/office/drawing/2014/main" id="{00000000-0008-0000-0400-0000D9F82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0</xdr:colOff>
      <xdr:row>7</xdr:row>
      <xdr:rowOff>0</xdr:rowOff>
    </xdr:from>
    <xdr:to>
      <xdr:col>28</xdr:col>
      <xdr:colOff>0</xdr:colOff>
      <xdr:row>21</xdr:row>
      <xdr:rowOff>0</xdr:rowOff>
    </xdr:to>
    <xdr:graphicFrame macro="">
      <xdr:nvGraphicFramePr>
        <xdr:cNvPr id="2554074" name="Chart 3">
          <a:extLst>
            <a:ext uri="{FF2B5EF4-FFF2-40B4-BE49-F238E27FC236}">
              <a16:creationId xmlns:a16="http://schemas.microsoft.com/office/drawing/2014/main" id="{00000000-0008-0000-0400-0000DAF82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57</xdr:col>
      <xdr:colOff>516254</xdr:colOff>
      <xdr:row>6</xdr:row>
      <xdr:rowOff>75565</xdr:rowOff>
    </xdr:from>
    <xdr:to>
      <xdr:col>61</xdr:col>
      <xdr:colOff>262752</xdr:colOff>
      <xdr:row>10</xdr:row>
      <xdr:rowOff>29845</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39757349" y="1466850"/>
          <a:ext cx="2238375" cy="8096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200"/>
            </a:lnSpc>
          </a:pPr>
          <a:r>
            <a:rPr lang="en-US" sz="1100"/>
            <a:t>Used</a:t>
          </a:r>
          <a:r>
            <a:rPr lang="en-US" sz="1100" baseline="0"/>
            <a:t> to draw lines in chart of Single Sample. Bubble size is for the lines.</a:t>
          </a:r>
        </a:p>
        <a:p>
          <a:pPr>
            <a:lnSpc>
              <a:spcPts val="1100"/>
            </a:lnSpc>
          </a:pPr>
          <a:r>
            <a:rPr lang="en-US" sz="1100" baseline="0"/>
            <a:t>#N/A is used so that the chart does not include those observations.</a:t>
          </a:r>
          <a:endParaRPr lang="en-US" sz="1100"/>
        </a:p>
      </xdr:txBody>
    </xdr:sp>
    <xdr:clientData/>
  </xdr:twoCellAnchor>
  <xdr:twoCellAnchor>
    <xdr:from>
      <xdr:col>9</xdr:col>
      <xdr:colOff>0</xdr:colOff>
      <xdr:row>1</xdr:row>
      <xdr:rowOff>0</xdr:rowOff>
    </xdr:from>
    <xdr:to>
      <xdr:col>10</xdr:col>
      <xdr:colOff>0</xdr:colOff>
      <xdr:row>21</xdr:row>
      <xdr:rowOff>45720</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8915400" y="381000"/>
          <a:ext cx="1400175" cy="40005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column is meant as a visual separator.</a:t>
          </a:r>
        </a:p>
        <a:p>
          <a:endParaRPr lang="en-US" sz="1100"/>
        </a:p>
        <a:p>
          <a:r>
            <a:rPr lang="en-US" sz="1100"/>
            <a:t>To</a:t>
          </a:r>
          <a:r>
            <a:rPr lang="en-US" sz="1100" baseline="0"/>
            <a:t> the left is the population (which we usually cannot observe).  The population slope parameter in cell I10 is what we are interested in estimating.</a:t>
          </a:r>
        </a:p>
        <a:p>
          <a:pPr>
            <a:lnSpc>
              <a:spcPts val="1100"/>
            </a:lnSpc>
          </a:pPr>
          <a:endParaRPr lang="en-US" sz="1100" baseline="0"/>
        </a:p>
        <a:p>
          <a:pPr>
            <a:lnSpc>
              <a:spcPts val="1200"/>
            </a:lnSpc>
          </a:pPr>
          <a:r>
            <a:rPr lang="en-US" sz="1100" baseline="0"/>
            <a:t>Columns K through P, to the right, contain the various sampling schemes which we might use to draw a single sample (in columns R to U).</a:t>
          </a:r>
        </a:p>
        <a:p>
          <a:pPr>
            <a:lnSpc>
              <a:spcPts val="800"/>
            </a:lnSpc>
          </a:pPr>
          <a:endParaRPr lang="en-US" sz="1100" baseline="0"/>
        </a:p>
        <a:p>
          <a:pPr>
            <a:lnSpc>
              <a:spcPts val="900"/>
            </a:lnSpc>
          </a:pPr>
          <a:r>
            <a:rPr lang="en-US" sz="1100" baseline="0"/>
            <a:t> </a:t>
          </a:r>
          <a:endParaRPr lang="en-US" sz="1100"/>
        </a:p>
      </xdr:txBody>
    </xdr:sp>
    <xdr:clientData/>
  </xdr:twoCellAnchor>
  <xdr:twoCellAnchor>
    <xdr:from>
      <xdr:col>16</xdr:col>
      <xdr:colOff>0</xdr:colOff>
      <xdr:row>0</xdr:row>
      <xdr:rowOff>365759</xdr:rowOff>
    </xdr:from>
    <xdr:to>
      <xdr:col>17</xdr:col>
      <xdr:colOff>0</xdr:colOff>
      <xdr:row>49</xdr:row>
      <xdr:rowOff>19050</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5154275" y="380999"/>
          <a:ext cx="1419225" cy="933450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column is meant as a visual separator.</a:t>
          </a:r>
        </a:p>
        <a:p>
          <a:endParaRPr lang="en-US" sz="1100"/>
        </a:p>
        <a:p>
          <a:r>
            <a:rPr lang="en-US" sz="1100"/>
            <a:t>To</a:t>
          </a:r>
          <a:r>
            <a:rPr lang="en-US" sz="1100" baseline="0"/>
            <a:t> the left are the various sampling schemes which we might use to draw a single sample.</a:t>
          </a:r>
        </a:p>
        <a:p>
          <a:endParaRPr lang="en-US" sz="1100" baseline="0"/>
        </a:p>
        <a:p>
          <a:r>
            <a:rPr lang="en-US" sz="1100" baseline="0"/>
            <a:t>To the right, in columns R, S, and T, the array function SAMPLE is used to draw a single sample of 100 observations (WR) from the population in columns C and D. For example, if K2:K1001 is used in the SAMPLE function, then we get the usual SRS. </a:t>
          </a:r>
        </a:p>
        <a:p>
          <a:pPr>
            <a:lnSpc>
              <a:spcPts val="1200"/>
            </a:lnSpc>
          </a:pPr>
          <a:endParaRPr lang="en-US" sz="1100" baseline="0"/>
        </a:p>
        <a:p>
          <a:pPr>
            <a:lnSpc>
              <a:spcPts val="1200"/>
            </a:lnSpc>
          </a:pPr>
          <a:r>
            <a:rPr lang="en-US" sz="1100" baseline="0"/>
            <a:t>Cell range V3:W7 uses Excel's LINEST function to run OLS on the sample. </a:t>
          </a:r>
        </a:p>
        <a:p>
          <a:pPr>
            <a:lnSpc>
              <a:spcPts val="1200"/>
            </a:lnSpc>
          </a:pPr>
          <a:endParaRPr lang="en-US" sz="1100" baseline="0"/>
        </a:p>
        <a:p>
          <a:pPr>
            <a:lnSpc>
              <a:spcPts val="1200"/>
            </a:lnSpc>
          </a:pPr>
          <a:r>
            <a:rPr lang="en-US" sz="1100" baseline="0"/>
            <a:t>Cell range Z3:AA5 uses LINESTW, a user-defined function in this workbook to produce probability weighted least squares estimates.</a:t>
          </a:r>
        </a:p>
        <a:p>
          <a:pPr>
            <a:lnSpc>
              <a:spcPts val="1100"/>
            </a:lnSpc>
          </a:pPr>
          <a:endParaRPr lang="en-US" sz="1100" baseline="0"/>
        </a:p>
        <a:p>
          <a:pPr>
            <a:lnSpc>
              <a:spcPts val="1200"/>
            </a:lnSpc>
          </a:pPr>
          <a:r>
            <a:rPr lang="en-US" sz="1100" baseline="0"/>
            <a:t>The bubble chart displays the sample, with the size of the market reflecting the observation's weight (in column U).</a:t>
          </a:r>
        </a:p>
        <a:p>
          <a:pPr>
            <a:lnSpc>
              <a:spcPts val="1100"/>
            </a:lnSpc>
          </a:pPr>
          <a:endParaRPr lang="en-US" sz="1100" baseline="0"/>
        </a:p>
        <a:p>
          <a:pPr>
            <a:lnSpc>
              <a:spcPts val="1200"/>
            </a:lnSpc>
          </a:pPr>
          <a:r>
            <a:rPr lang="en-US" sz="1100" baseline="0"/>
            <a:t>If you edit the an array function, remember that you must simultaneously hit Ctrl-Shift-Enter to enter the formula. Press the Esc key to get out of the cell.</a:t>
          </a:r>
        </a:p>
        <a:p>
          <a:pPr>
            <a:lnSpc>
              <a:spcPts val="1100"/>
            </a:lnSpc>
          </a:pPr>
          <a:r>
            <a:rPr lang="en-US" sz="1100" baseline="0"/>
            <a:t> </a:t>
          </a:r>
          <a:endParaRPr lang="en-US" sz="1100"/>
        </a:p>
      </xdr:txBody>
    </xdr:sp>
    <xdr:clientData/>
  </xdr:twoCellAnchor>
  <xdr:twoCellAnchor>
    <xdr:from>
      <xdr:col>28</xdr:col>
      <xdr:colOff>0</xdr:colOff>
      <xdr:row>1</xdr:row>
      <xdr:rowOff>0</xdr:rowOff>
    </xdr:from>
    <xdr:to>
      <xdr:col>35</xdr:col>
      <xdr:colOff>0</xdr:colOff>
      <xdr:row>6</xdr:row>
      <xdr:rowOff>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24193500" y="381000"/>
          <a:ext cx="4267200" cy="10191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Range V3:W7 uses Excel's LINEST function to regress Wage on Schooling. Cell V3 is the estimated slope and V4 is the estimated SE.</a:t>
          </a:r>
        </a:p>
        <a:p>
          <a:r>
            <a:rPr lang="en-US" sz="1100" baseline="0"/>
            <a:t>Range Z3:AA5 uses the LINESTW function in this workbook to incorporate the probability of selection in estimating the slope and SE. Cell Z3 is the estimated slope and Z4 is the estimated SE.</a:t>
          </a:r>
        </a:p>
        <a:p>
          <a:r>
            <a:rPr lang="en-US" sz="1100" baseline="0"/>
            <a:t> </a:t>
          </a:r>
          <a:endParaRPr lang="en-US" sz="1100"/>
        </a:p>
      </xdr:txBody>
    </xdr:sp>
    <xdr:clientData/>
  </xdr:twoCellAnchor>
  <mc:AlternateContent xmlns:mc="http://schemas.openxmlformats.org/markup-compatibility/2006">
    <mc:Choice xmlns:a14="http://schemas.microsoft.com/office/drawing/2010/main" Requires="a14">
      <xdr:twoCellAnchor>
        <xdr:from>
          <xdr:col>28</xdr:col>
          <xdr:colOff>716280</xdr:colOff>
          <xdr:row>10</xdr:row>
          <xdr:rowOff>121920</xdr:rowOff>
        </xdr:from>
        <xdr:to>
          <xdr:col>30</xdr:col>
          <xdr:colOff>121920</xdr:colOff>
          <xdr:row>13</xdr:row>
          <xdr:rowOff>7620</xdr:rowOff>
        </xdr:to>
        <xdr:sp macro="" textlink="">
          <xdr:nvSpPr>
            <xdr:cNvPr id="954445" name="ButtonWLS" hidden="1">
              <a:extLst>
                <a:ext uri="{63B3BB69-23CF-44E3-9099-C40C66FF867C}">
                  <a14:compatExt spid="_x0000_s954445"/>
                </a:ext>
                <a:ext uri="{FF2B5EF4-FFF2-40B4-BE49-F238E27FC236}">
                  <a16:creationId xmlns:a16="http://schemas.microsoft.com/office/drawing/2014/main" id="{00000000-0008-0000-0400-00004D9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probWLS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693420</xdr:colOff>
          <xdr:row>7</xdr:row>
          <xdr:rowOff>167640</xdr:rowOff>
        </xdr:from>
        <xdr:to>
          <xdr:col>30</xdr:col>
          <xdr:colOff>83820</xdr:colOff>
          <xdr:row>10</xdr:row>
          <xdr:rowOff>30480</xdr:rowOff>
        </xdr:to>
        <xdr:sp macro="" textlink="">
          <xdr:nvSpPr>
            <xdr:cNvPr id="954458" name="ButtonOLS" hidden="1">
              <a:extLst>
                <a:ext uri="{63B3BB69-23CF-44E3-9099-C40C66FF867C}">
                  <a14:compatExt spid="_x0000_s954458"/>
                </a:ext>
                <a:ext uri="{FF2B5EF4-FFF2-40B4-BE49-F238E27FC236}">
                  <a16:creationId xmlns:a16="http://schemas.microsoft.com/office/drawing/2014/main" id="{00000000-0008-0000-0400-00005A9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OLS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594360</xdr:colOff>
          <xdr:row>15</xdr:row>
          <xdr:rowOff>182880</xdr:rowOff>
        </xdr:from>
        <xdr:to>
          <xdr:col>26</xdr:col>
          <xdr:colOff>685800</xdr:colOff>
          <xdr:row>17</xdr:row>
          <xdr:rowOff>121920</xdr:rowOff>
        </xdr:to>
        <xdr:sp macro="" textlink="">
          <xdr:nvSpPr>
            <xdr:cNvPr id="954481" name="ButtonOLS" hidden="1">
              <a:extLst>
                <a:ext uri="{63B3BB69-23CF-44E3-9099-C40C66FF867C}">
                  <a14:compatExt spid="_x0000_s954481"/>
                </a:ext>
                <a:ext uri="{FF2B5EF4-FFF2-40B4-BE49-F238E27FC236}">
                  <a16:creationId xmlns:a16="http://schemas.microsoft.com/office/drawing/2014/main" id="{00000000-0008-0000-0400-0000719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28</xdr:col>
          <xdr:colOff>0</xdr:colOff>
          <xdr:row>29</xdr:row>
          <xdr:rowOff>0</xdr:rowOff>
        </xdr:to>
        <xdr:sp macro="" textlink="">
          <xdr:nvSpPr>
            <xdr:cNvPr id="954566" name="Group Box 198" hidden="1">
              <a:extLst>
                <a:ext uri="{63B3BB69-23CF-44E3-9099-C40C66FF867C}">
                  <a14:compatExt spid="_x0000_s954566"/>
                </a:ext>
                <a:ext uri="{FF2B5EF4-FFF2-40B4-BE49-F238E27FC236}">
                  <a16:creationId xmlns:a16="http://schemas.microsoft.com/office/drawing/2014/main" id="{00000000-0008-0000-0400-0000C6900E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Prob (WR)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38100</xdr:colOff>
          <xdr:row>24</xdr:row>
          <xdr:rowOff>7620</xdr:rowOff>
        </xdr:from>
        <xdr:to>
          <xdr:col>28</xdr:col>
          <xdr:colOff>0</xdr:colOff>
          <xdr:row>25</xdr:row>
          <xdr:rowOff>129540</xdr:rowOff>
        </xdr:to>
        <xdr:sp macro="" textlink="">
          <xdr:nvSpPr>
            <xdr:cNvPr id="954567" name="Option Button 199" hidden="1">
              <a:extLst>
                <a:ext uri="{63B3BB69-23CF-44E3-9099-C40C66FF867C}">
                  <a14:compatExt spid="_x0000_s954567"/>
                </a:ext>
                <a:ext uri="{FF2B5EF4-FFF2-40B4-BE49-F238E27FC236}">
                  <a16:creationId xmlns:a16="http://schemas.microsoft.com/office/drawing/2014/main" id="{00000000-0008-0000-0400-0000C7900E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Equal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38100</xdr:colOff>
          <xdr:row>25</xdr:row>
          <xdr:rowOff>121920</xdr:rowOff>
        </xdr:from>
        <xdr:to>
          <xdr:col>27</xdr:col>
          <xdr:colOff>754380</xdr:colOff>
          <xdr:row>27</xdr:row>
          <xdr:rowOff>76200</xdr:rowOff>
        </xdr:to>
        <xdr:sp macro="" textlink="">
          <xdr:nvSpPr>
            <xdr:cNvPr id="954568" name="Option Button 200" hidden="1">
              <a:extLst>
                <a:ext uri="{63B3BB69-23CF-44E3-9099-C40C66FF867C}">
                  <a14:compatExt spid="_x0000_s954568"/>
                </a:ext>
                <a:ext uri="{FF2B5EF4-FFF2-40B4-BE49-F238E27FC236}">
                  <a16:creationId xmlns:a16="http://schemas.microsoft.com/office/drawing/2014/main" id="{00000000-0008-0000-0400-0000C8900E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Unequal (Schooling)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26</xdr:col>
          <xdr:colOff>38100</xdr:colOff>
          <xdr:row>27</xdr:row>
          <xdr:rowOff>60960</xdr:rowOff>
        </xdr:from>
        <xdr:to>
          <xdr:col>27</xdr:col>
          <xdr:colOff>754380</xdr:colOff>
          <xdr:row>29</xdr:row>
          <xdr:rowOff>0</xdr:rowOff>
        </xdr:to>
        <xdr:sp macro="" textlink="">
          <xdr:nvSpPr>
            <xdr:cNvPr id="954569" name="Option Button 201" hidden="1">
              <a:extLst>
                <a:ext uri="{63B3BB69-23CF-44E3-9099-C40C66FF867C}">
                  <a14:compatExt spid="_x0000_s954569"/>
                </a:ext>
                <a:ext uri="{FF2B5EF4-FFF2-40B4-BE49-F238E27FC236}">
                  <a16:creationId xmlns:a16="http://schemas.microsoft.com/office/drawing/2014/main" id="{00000000-0008-0000-0400-0000C9900E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Unequal (Wage)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708660</xdr:colOff>
          <xdr:row>13</xdr:row>
          <xdr:rowOff>129540</xdr:rowOff>
        </xdr:from>
        <xdr:to>
          <xdr:col>30</xdr:col>
          <xdr:colOff>99060</xdr:colOff>
          <xdr:row>16</xdr:row>
          <xdr:rowOff>22860</xdr:rowOff>
        </xdr:to>
        <xdr:sp macro="" textlink="">
          <xdr:nvSpPr>
            <xdr:cNvPr id="954797" name="ButtonOLS" hidden="1">
              <a:extLst>
                <a:ext uri="{63B3BB69-23CF-44E3-9099-C40C66FF867C}">
                  <a14:compatExt spid="_x0000_s954797"/>
                </a:ext>
                <a:ext uri="{FF2B5EF4-FFF2-40B4-BE49-F238E27FC236}">
                  <a16:creationId xmlns:a16="http://schemas.microsoft.com/office/drawing/2014/main" id="{00000000-0008-0000-0400-0000AD91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MC Sim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510540</xdr:colOff>
          <xdr:row>8</xdr:row>
          <xdr:rowOff>144780</xdr:rowOff>
        </xdr:from>
        <xdr:to>
          <xdr:col>14</xdr:col>
          <xdr:colOff>198120</xdr:colOff>
          <xdr:row>11</xdr:row>
          <xdr:rowOff>7620</xdr:rowOff>
        </xdr:to>
        <xdr:sp macro="" textlink="">
          <xdr:nvSpPr>
            <xdr:cNvPr id="954974" name="Button9thObs" hidden="1">
              <a:extLst>
                <a:ext uri="{63B3BB69-23CF-44E3-9099-C40C66FF867C}">
                  <a14:compatExt spid="_x0000_s954974"/>
                </a:ext>
                <a:ext uri="{FF2B5EF4-FFF2-40B4-BE49-F238E27FC236}">
                  <a16:creationId xmlns:a16="http://schemas.microsoft.com/office/drawing/2014/main" id="{00000000-0008-0000-0400-00005E92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0" anchor="t" upright="1"/>
            <a:lstStyle/>
            <a:p>
              <a:pPr algn="ctr" rtl="0">
                <a:defRPr sz="1000"/>
              </a:pPr>
              <a:r>
                <a:rPr lang="en-US" sz="1100" b="0" i="0" u="none" strike="noStrike" baseline="0">
                  <a:solidFill>
                    <a:srgbClr val="000000"/>
                  </a:solidFill>
                  <a:latin typeface="Calibri"/>
                  <a:ea typeface="Calibri"/>
                  <a:cs typeface="Calibri"/>
                </a:rPr>
                <a:t>Track 9th Obs</a:t>
              </a:r>
            </a:p>
          </xdr:txBody>
        </xdr:sp>
        <xdr:clientData fPrintsWithSheet="0"/>
      </xdr:twoCellAnchor>
    </mc:Choice>
    <mc:Fallback/>
  </mc:AlternateContent>
  <xdr:twoCellAnchor>
    <xdr:from>
      <xdr:col>31</xdr:col>
      <xdr:colOff>7620</xdr:colOff>
      <xdr:row>6</xdr:row>
      <xdr:rowOff>76200</xdr:rowOff>
    </xdr:from>
    <xdr:to>
      <xdr:col>42</xdr:col>
      <xdr:colOff>121920</xdr:colOff>
      <xdr:row>49</xdr:row>
      <xdr:rowOff>53340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6479500" y="1394460"/>
          <a:ext cx="6819900" cy="789432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Initially,</a:t>
          </a:r>
          <a:r>
            <a:rPr lang="en-US" sz="1100" baseline="0"/>
            <a:t> the samples are drawn with equal probability of selection.</a:t>
          </a:r>
          <a:endParaRPr lang="en-US" sz="1100"/>
        </a:p>
        <a:p>
          <a:r>
            <a:rPr lang="en-US" sz="1100"/>
            <a:t>1) Click the </a:t>
          </a:r>
          <a:r>
            <a:rPr lang="en-US" sz="1100" b="1"/>
            <a:t>Show OLS </a:t>
          </a:r>
          <a:r>
            <a:rPr lang="en-US" sz="1100"/>
            <a:t>button to add the OLS fitted line to the chart. Press the </a:t>
          </a:r>
          <a:r>
            <a:rPr lang="en-US" sz="1100" b="1"/>
            <a:t>Refresh</a:t>
          </a:r>
          <a:r>
            <a:rPr lang="en-US" sz="1100"/>
            <a:t> button a few times</a:t>
          </a:r>
          <a:r>
            <a:rPr lang="en-US" sz="1100" baseline="0"/>
            <a:t> to see that OLS is doing well, it bounces around the fixed, red pop line.</a:t>
          </a:r>
        </a:p>
        <a:p>
          <a:r>
            <a:rPr lang="en-US" sz="1100"/>
            <a:t>2)</a:t>
          </a:r>
          <a:r>
            <a:rPr lang="en-US" sz="1100" baseline="0"/>
            <a:t> Run a sim of cells V3 and V4 to see that all is well with OLS.</a:t>
          </a:r>
        </a:p>
        <a:p>
          <a:r>
            <a:rPr lang="en-US" sz="1100" baseline="0"/>
            <a:t>3) Edit the SAMPLE array function in cell R2, changing K to O, then press ctrl-shift-enter. We are now sampling with unequal probability of selection. Press the </a:t>
          </a:r>
          <a:r>
            <a:rPr lang="en-US" sz="1100" b="1" baseline="0"/>
            <a:t>Refresh</a:t>
          </a:r>
          <a:r>
            <a:rPr lang="en-US" sz="1100" baseline="0"/>
            <a:t> button repeatedly. The size of the dots indicates the how many people each sample person represents in the population. Less educated people are more likely to be selected (with O in the SAMPLE function). OLS still seems OK, but a sim will reveal a problem.</a:t>
          </a:r>
        </a:p>
        <a:p>
          <a:r>
            <a:rPr lang="en-US" sz="1100" baseline="0"/>
            <a:t>4) </a:t>
          </a:r>
          <a:r>
            <a:rPr lang="en-US" sz="1100" baseline="0">
              <a:solidFill>
                <a:schemeClr val="dk1"/>
              </a:solidFill>
              <a:effectLst/>
              <a:latin typeface="+mn-lt"/>
              <a:ea typeface="+mn-ea"/>
              <a:cs typeface="+mn-cs"/>
            </a:rPr>
            <a:t>Run a sim of cells V3 and V4 and compare the results to the first sim.  Although OLS b1 remains unbiased, the SE has increased. Unequal prob has made our estimator less precise. In fact, it is no longer BLUE. Run a sim of V3 and Z3 to see this.</a:t>
          </a:r>
        </a:p>
        <a:p>
          <a:r>
            <a:rPr lang="en-US" sz="1100" baseline="0">
              <a:solidFill>
                <a:schemeClr val="dk1"/>
              </a:solidFill>
              <a:effectLst/>
              <a:latin typeface="+mn-lt"/>
              <a:ea typeface="+mn-ea"/>
              <a:cs typeface="+mn-cs"/>
            </a:rPr>
            <a:t>5) Edit the SAMPLE array function in cell R2, changing O to P, then press ctrl-shift-enter. We are now sampling with unequal probability of selection based on wage. Press the </a:t>
          </a:r>
          <a:r>
            <a:rPr lang="en-US" sz="1100" b="1" baseline="0">
              <a:solidFill>
                <a:schemeClr val="dk1"/>
              </a:solidFill>
              <a:effectLst/>
              <a:latin typeface="+mn-lt"/>
              <a:ea typeface="+mn-ea"/>
              <a:cs typeface="+mn-cs"/>
            </a:rPr>
            <a:t>Refresh</a:t>
          </a:r>
          <a:r>
            <a:rPr lang="en-US" sz="1100" baseline="0">
              <a:solidFill>
                <a:schemeClr val="dk1"/>
              </a:solidFill>
              <a:effectLst/>
              <a:latin typeface="+mn-lt"/>
              <a:ea typeface="+mn-ea"/>
              <a:cs typeface="+mn-cs"/>
            </a:rPr>
            <a:t> button repeatedly. The size of the dots indicates the how many people each sample person represents in the population. Lower paid people are more likely to be selected (with P in the SAMPLE function). OLS is now off the fixed, red pop line.</a:t>
          </a:r>
          <a:endParaRPr lang="en-US">
            <a:effectLst/>
          </a:endParaRPr>
        </a:p>
        <a:p>
          <a:r>
            <a:rPr lang="en-US" sz="1100" baseline="0">
              <a:solidFill>
                <a:schemeClr val="dk1"/>
              </a:solidFill>
              <a:effectLst/>
              <a:latin typeface="+mn-lt"/>
              <a:ea typeface="+mn-ea"/>
              <a:cs typeface="+mn-cs"/>
            </a:rPr>
            <a:t>6) Run a sim of cells V3 and V4 and compare the results to the first two sims.  The OLS b1 estimator is now biased. Unequal prob depending on the Y axis value has broken OLS b1!</a:t>
          </a:r>
        </a:p>
        <a:p>
          <a:r>
            <a:rPr lang="en-US" sz="1100" baseline="0">
              <a:solidFill>
                <a:schemeClr val="dk1"/>
              </a:solidFill>
              <a:effectLst/>
              <a:latin typeface="+mn-lt"/>
              <a:ea typeface="+mn-ea"/>
              <a:cs typeface="+mn-cs"/>
            </a:rPr>
            <a:t>7) Click the </a:t>
          </a:r>
          <a:r>
            <a:rPr lang="en-US" sz="1100" b="1" baseline="0">
              <a:solidFill>
                <a:schemeClr val="dk1"/>
              </a:solidFill>
              <a:effectLst/>
              <a:latin typeface="+mn-lt"/>
              <a:ea typeface="+mn-ea"/>
              <a:cs typeface="+mn-cs"/>
            </a:rPr>
            <a:t>Show probWLS </a:t>
          </a:r>
          <a:r>
            <a:rPr lang="en-US" sz="1100" baseline="0">
              <a:solidFill>
                <a:schemeClr val="dk1"/>
              </a:solidFill>
              <a:effectLst/>
              <a:latin typeface="+mn-lt"/>
              <a:ea typeface="+mn-ea"/>
              <a:cs typeface="+mn-cs"/>
            </a:rPr>
            <a:t>button. This adds a green fitted line. Press </a:t>
          </a:r>
          <a:r>
            <a:rPr lang="en-US" sz="1100" b="1" baseline="0">
              <a:solidFill>
                <a:schemeClr val="dk1"/>
              </a:solidFill>
              <a:effectLst/>
              <a:latin typeface="+mn-lt"/>
              <a:ea typeface="+mn-ea"/>
              <a:cs typeface="+mn-cs"/>
            </a:rPr>
            <a:t>Refresh</a:t>
          </a:r>
          <a:r>
            <a:rPr lang="en-US" sz="1100" baseline="0">
              <a:solidFill>
                <a:schemeClr val="dk1"/>
              </a:solidFill>
              <a:effectLst/>
              <a:latin typeface="+mn-lt"/>
              <a:ea typeface="+mn-ea"/>
              <a:cs typeface="+mn-cs"/>
            </a:rPr>
            <a:t> repeatedly. The green, probWLS line looks pretty good, while the black, OLS line does not.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8) Run a sim of cells V3 and Z3 to race OLS against probWLS. OLS is biased, while probWLS is not. The latter has a bigger SE, but probWLS is better than OLS because probWLS is not biased.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Takeaway:</a:t>
          </a:r>
        </a:p>
        <a:p>
          <a:r>
            <a:rPr lang="en-US" sz="1100" baseline="0">
              <a:solidFill>
                <a:schemeClr val="dk1"/>
              </a:solidFill>
              <a:effectLst/>
              <a:latin typeface="+mn-lt"/>
              <a:ea typeface="+mn-ea"/>
              <a:cs typeface="+mn-cs"/>
            </a:rPr>
            <a:t>If you have survey data with unequal probability of selection, you should not run OLS. You should adjust the data to take into the account the unequal probability. Excel cannot do this because it only has LINEST, which is OLS. You need sophisticated statistical software like Stata, R, SAS or Python. You also need the weights. IPUMS CPS gives weights when you download the data. Go to your favorite software package and see if you can produce probability weighted least squares estimates. </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In Stata, for example, you could use commands like this after opening a data set with the (cleaned, of course) variables hourwage2,  firmsize, and sex (and the estout package installed):</a:t>
          </a:r>
        </a:p>
        <a:p>
          <a:endParaRPr lang="en-US" sz="1100" baseline="0">
            <a:solidFill>
              <a:schemeClr val="dk1"/>
            </a:solidFill>
            <a:effectLst/>
            <a:latin typeface="+mn-lt"/>
            <a:ea typeface="+mn-ea"/>
            <a:cs typeface="+mn-cs"/>
          </a:endParaRPr>
        </a:p>
        <a:p>
          <a:pPr lvl="0"/>
          <a:r>
            <a:rPr lang="en-US" sz="1100">
              <a:solidFill>
                <a:schemeClr val="dk1"/>
              </a:solidFill>
              <a:effectLst/>
              <a:latin typeface="+mn-lt"/>
              <a:ea typeface="+mn-ea"/>
              <a:cs typeface="+mn-cs"/>
            </a:rPr>
            <a:t>eststo: reg hourwage2 i.firmsize i.sex</a:t>
          </a:r>
        </a:p>
        <a:p>
          <a:pPr lvl="0"/>
          <a:r>
            <a:rPr lang="en-US" sz="1100">
              <a:solidFill>
                <a:schemeClr val="dk1"/>
              </a:solidFill>
              <a:effectLst/>
              <a:latin typeface="+mn-lt"/>
              <a:ea typeface="+mn-ea"/>
              <a:cs typeface="+mn-cs"/>
            </a:rPr>
            <a:t>eststo: reg hourwage2 i.firmsize i.sex [pw=asecwt]      *Notice CPS also</a:t>
          </a:r>
          <a:r>
            <a:rPr lang="en-US" sz="1100" baseline="0">
              <a:solidFill>
                <a:schemeClr val="dk1"/>
              </a:solidFill>
              <a:effectLst/>
              <a:latin typeface="+mn-lt"/>
              <a:ea typeface="+mn-ea"/>
              <a:cs typeface="+mn-cs"/>
            </a:rPr>
            <a:t> has asecwth, but that is for HOUSEHOLD data</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esttab, se</a:t>
          </a:r>
        </a:p>
        <a:p>
          <a:pPr lvl="0"/>
          <a:r>
            <a:rPr lang="en-US" sz="1100">
              <a:solidFill>
                <a:schemeClr val="dk1"/>
              </a:solidFill>
              <a:effectLst/>
              <a:latin typeface="+mn-lt"/>
              <a:ea typeface="+mn-ea"/>
              <a:cs typeface="+mn-cs"/>
            </a:rPr>
            <a:t>esttab, se nobaselevels label</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What do you see?</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Get the robust SEs to see what that does: </a:t>
          </a:r>
        </a:p>
        <a:p>
          <a:r>
            <a:rPr lang="en-US" sz="1100">
              <a:solidFill>
                <a:schemeClr val="dk1"/>
              </a:solidFill>
              <a:effectLst/>
              <a:latin typeface="+mn-lt"/>
              <a:ea typeface="+mn-ea"/>
              <a:cs typeface="+mn-cs"/>
            </a:rPr>
            <a:t>eststo: reg hourwage i.firmsize i.sex [pw=asecwt], robust</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esttab, se nobaselevels label</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What</a:t>
          </a:r>
          <a:r>
            <a:rPr lang="en-US" sz="1100" baseline="0">
              <a:solidFill>
                <a:schemeClr val="dk1"/>
              </a:solidFill>
              <a:effectLst/>
              <a:latin typeface="+mn-lt"/>
              <a:ea typeface="+mn-ea"/>
              <a:cs typeface="+mn-cs"/>
            </a:rPr>
            <a:t> do you see?</a:t>
          </a:r>
          <a:endParaRPr lang="en-US" sz="110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0</xdr:row>
      <xdr:rowOff>0</xdr:rowOff>
    </xdr:from>
    <xdr:to>
      <xdr:col>14</xdr:col>
      <xdr:colOff>1</xdr:colOff>
      <xdr:row>119</xdr:row>
      <xdr:rowOff>130811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 y="0"/>
          <a:ext cx="8534400" cy="22783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effectLst/>
              <a:latin typeface="+mn-lt"/>
              <a:ea typeface="+mn-ea"/>
              <a:cs typeface="+mn-cs"/>
            </a:rPr>
            <a:t>Additional details and instructions are provided below.</a:t>
          </a:r>
          <a:r>
            <a:rPr lang="en-US" sz="1100" baseline="0">
              <a:solidFill>
                <a:srgbClr val="FF0000"/>
              </a:solidFill>
              <a:effectLst/>
              <a:latin typeface="+mn-lt"/>
              <a:ea typeface="+mn-ea"/>
              <a:cs typeface="+mn-cs"/>
            </a:rPr>
            <a:t> Please scroll down as needed.</a:t>
          </a:r>
          <a:endParaRPr lang="en-US" sz="1100">
            <a:solidFill>
              <a:srgbClr val="FF0000"/>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ARRAY</a:t>
          </a:r>
          <a:r>
            <a:rPr lang="en-US" sz="1100" baseline="0">
              <a:solidFill>
                <a:schemeClr val="dk1"/>
              </a:solidFill>
              <a:effectLst/>
              <a:latin typeface="+mn-lt"/>
              <a:ea typeface="+mn-ea"/>
              <a:cs typeface="+mn-cs"/>
            </a:rPr>
            <a:t> FUNCTIONS</a:t>
          </a: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enter a formula as an array function in Excel, you must simultaneously press the Ctrl, Shift, and Enter keys. Press the Esc key if you are in a cell that is part of an array and want to exit without making any changes. Excel uses curly brackets, {}, to convey when formulas are part of arrays.</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CREATING THE FINITE POPULATION (columns C and D)</a:t>
          </a:r>
        </a:p>
        <a:p>
          <a:r>
            <a:rPr lang="en-US" sz="1100">
              <a:solidFill>
                <a:schemeClr val="dk1"/>
              </a:solidFill>
              <a:effectLst/>
              <a:latin typeface="+mn-lt"/>
              <a:ea typeface="+mn-ea"/>
              <a:cs typeface="+mn-cs"/>
            </a:rPr>
            <a:t>We implemented a rudimentary earnings function (without a log functional form or heteroscedasticity). For years of schooling, the formula in column C was =ROUND(RAND()*5+11.5,0); the wage (in column D, in units of dollars per hour) was =ROUND(slope*C2+NORMINV(RAND(),0,SD),2). The relative reference, C2, changes row value and always refers to the cell to the left, the number of years of schooling, as the formula is filled down. NORMINV(RAND(), 0, 2) produces random draws from a normal distribution with mean zero and a constant standard deviation of 2. Finally, the cell range C2:D1001 was copied and then pasted as values, yielding the finite population data. </a:t>
          </a:r>
        </a:p>
        <a:p>
          <a:endParaRPr lang="en-US" sz="1100">
            <a:solidFill>
              <a:schemeClr val="dk1"/>
            </a:solidFill>
            <a:effectLst/>
            <a:latin typeface="+mn-lt"/>
            <a:ea typeface="+mn-ea"/>
            <a:cs typeface="+mn-cs"/>
          </a:endParaRPr>
        </a:p>
        <a:p>
          <a:endParaRPr lang="en-US" sz="1100"/>
        </a:p>
        <a:p>
          <a:r>
            <a:rPr lang="en-US" sz="1100"/>
            <a:t>THREE</a:t>
          </a:r>
          <a:r>
            <a:rPr lang="en-US" sz="1100" baseline="0"/>
            <a:t> SAMPLING OPTIONS (columns K, O and P)</a:t>
          </a:r>
        </a:p>
        <a:p>
          <a:r>
            <a:rPr lang="en-US" sz="1100">
              <a:solidFill>
                <a:schemeClr val="dk1"/>
              </a:solidFill>
              <a:effectLst/>
              <a:latin typeface="+mn-lt"/>
              <a:ea typeface="+mn-ea"/>
              <a:cs typeface="+mn-cs"/>
            </a:rPr>
            <a:t>The </a:t>
          </a:r>
          <a:r>
            <a:rPr lang="en-US" sz="1100" i="1">
              <a:solidFill>
                <a:schemeClr val="dk1"/>
              </a:solidFill>
              <a:effectLst/>
              <a:latin typeface="+mn-lt"/>
              <a:ea typeface="+mn-ea"/>
              <a:cs typeface="+mn-cs"/>
            </a:rPr>
            <a:t>DGP</a:t>
          </a:r>
          <a:r>
            <a:rPr lang="en-US" sz="1100">
              <a:solidFill>
                <a:schemeClr val="dk1"/>
              </a:solidFill>
              <a:effectLst/>
              <a:latin typeface="+mn-lt"/>
              <a:ea typeface="+mn-ea"/>
              <a:cs typeface="+mn-cs"/>
            </a:rPr>
            <a:t> sheet has three alternative probabilities of selection.  </a:t>
          </a:r>
        </a:p>
        <a:p>
          <a:r>
            <a:rPr lang="en-US" sz="1100">
              <a:solidFill>
                <a:schemeClr val="dk1"/>
              </a:solidFill>
              <a:effectLst/>
              <a:latin typeface="+mn-lt"/>
              <a:ea typeface="+mn-ea"/>
              <a:cs typeface="+mn-cs"/>
            </a:rPr>
            <a:t>Column K uses a formula, =1/1000 (because there are 1,000 observations in the finite population), to indicate that each observation has an equal likelihood, 0.1%, of being chosen on the first draw. This equal probability of selection is the hallmark of a simple random sample.</a:t>
          </a:r>
        </a:p>
        <a:p>
          <a:r>
            <a:rPr lang="en-US" sz="1100">
              <a:solidFill>
                <a:schemeClr val="dk1"/>
              </a:solidFill>
              <a:effectLst/>
              <a:latin typeface="+mn-lt"/>
              <a:ea typeface="+mn-ea"/>
              <a:cs typeface="+mn-cs"/>
            </a:rPr>
            <a:t>Columns O and P are both based on unequal probabilities of selection on the first draw, but they differ in an important respect. In column O, an IF statement is used to assign the probability based on the value of </a:t>
          </a:r>
          <a:r>
            <a:rPr lang="en-US" sz="1100" i="1">
              <a:solidFill>
                <a:schemeClr val="dk1"/>
              </a:solidFill>
              <a:effectLst/>
              <a:latin typeface="+mn-lt"/>
              <a:ea typeface="+mn-ea"/>
              <a:cs typeface="+mn-cs"/>
            </a:rPr>
            <a:t>Schooling</a:t>
          </a:r>
          <a:r>
            <a:rPr lang="en-US" sz="1100">
              <a:solidFill>
                <a:schemeClr val="dk1"/>
              </a:solidFill>
              <a:effectLst/>
              <a:latin typeface="+mn-lt"/>
              <a:ea typeface="+mn-ea"/>
              <a:cs typeface="+mn-cs"/>
            </a:rPr>
            <a:t>, the independent</a:t>
          </a:r>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variable.  For example, each of the 196 observations in the population with 12 years of schooling have a 0.3% chance of being chosen on the first draw; while each of the 206 observations with 16 years of schooling have only a 0.02% chance. In column P, the unequal probabilities are based on the dependent variable, </a:t>
          </a:r>
          <a:r>
            <a:rPr lang="en-US" sz="1100" i="1">
              <a:solidFill>
                <a:schemeClr val="dk1"/>
              </a:solidFill>
              <a:effectLst/>
              <a:latin typeface="+mn-lt"/>
              <a:ea typeface="+mn-ea"/>
              <a:cs typeface="+mn-cs"/>
            </a:rPr>
            <a:t>Wage</a:t>
          </a:r>
          <a:r>
            <a:rPr lang="en-US" sz="1100">
              <a:solidFill>
                <a:schemeClr val="dk1"/>
              </a:solidFill>
              <a:effectLst/>
              <a:latin typeface="+mn-lt"/>
              <a:ea typeface="+mn-ea"/>
              <a:cs typeface="+mn-cs"/>
            </a:rPr>
            <a:t>. The 81 observations with low wages, less than 20, are the ones with high, 0.5%, probabilities of selection in the first draw. As wage increases, the probability of selection falls.</a:t>
          </a:r>
        </a:p>
        <a:p>
          <a:r>
            <a:rPr lang="en-US" sz="1100">
              <a:solidFill>
                <a:schemeClr val="dk1"/>
              </a:solidFill>
              <a:effectLst/>
              <a:latin typeface="+mn-lt"/>
              <a:ea typeface="+mn-ea"/>
              <a:cs typeface="+mn-cs"/>
            </a:rPr>
            <a:t>Next to column M, which has the probability of selection on the first draw based on </a:t>
          </a:r>
          <a:r>
            <a:rPr lang="en-US" sz="1100" i="1">
              <a:solidFill>
                <a:schemeClr val="dk1"/>
              </a:solidFill>
              <a:effectLst/>
              <a:latin typeface="+mn-lt"/>
              <a:ea typeface="+mn-ea"/>
              <a:cs typeface="+mn-cs"/>
            </a:rPr>
            <a:t>Schooling</a:t>
          </a:r>
          <a:r>
            <a:rPr lang="en-US" sz="1100">
              <a:solidFill>
                <a:schemeClr val="dk1"/>
              </a:solidFill>
              <a:effectLst/>
              <a:latin typeface="+mn-lt"/>
              <a:ea typeface="+mn-ea"/>
              <a:cs typeface="+mn-cs"/>
            </a:rPr>
            <a:t> and </a:t>
          </a:r>
          <a:r>
            <a:rPr lang="en-US" sz="1100" i="1">
              <a:solidFill>
                <a:schemeClr val="dk1"/>
              </a:solidFill>
              <a:effectLst/>
              <a:latin typeface="+mn-lt"/>
              <a:ea typeface="+mn-ea"/>
              <a:cs typeface="+mn-cs"/>
            </a:rPr>
            <a:t>Wage</a:t>
          </a:r>
          <a:r>
            <a:rPr lang="en-US" sz="1100">
              <a:solidFill>
                <a:schemeClr val="dk1"/>
              </a:solidFill>
              <a:effectLst/>
              <a:latin typeface="+mn-lt"/>
              <a:ea typeface="+mn-ea"/>
              <a:cs typeface="+mn-cs"/>
            </a:rPr>
            <a:t>, the probability of being included in the sample of 100 observations (with replacement) is computed (in column N). </a:t>
          </a:r>
        </a:p>
        <a:p>
          <a:endParaRPr lang="en-US" sz="1100"/>
        </a:p>
        <a:p>
          <a:endParaRPr lang="en-US" sz="1100"/>
        </a:p>
        <a:p>
          <a:r>
            <a:rPr lang="en-US" sz="1100"/>
            <a:t>THE SAMPLE FUNCTION (columns R, S, T, and U)</a:t>
          </a:r>
        </a:p>
        <a:p>
          <a:r>
            <a:rPr lang="en-US" sz="1100">
              <a:solidFill>
                <a:schemeClr val="dk1"/>
              </a:solidFill>
              <a:effectLst/>
              <a:latin typeface="+mn-lt"/>
              <a:ea typeface="+mn-ea"/>
              <a:cs typeface="+mn-cs"/>
            </a:rPr>
            <a:t>This function inputs a population (range C2:D1001) and probabilities of selection in the first draw (column K, O, or P) and outputs a sample from the given population. To use the function, the cell range R2:T101 was selected. The SAMPLE function requires that the number of selected rows (100, in this example) must equal the sample size and the number of selected columns (3) must equal the number of independent (</a:t>
          </a:r>
          <a:r>
            <a:rPr lang="en-US" sz="1100" i="1">
              <a:solidFill>
                <a:schemeClr val="dk1"/>
              </a:solidFill>
              <a:effectLst/>
              <a:latin typeface="+mn-lt"/>
              <a:ea typeface="+mn-ea"/>
              <a:cs typeface="+mn-cs"/>
            </a:rPr>
            <a:t>X)</a:t>
          </a:r>
          <a:r>
            <a:rPr lang="en-US" sz="1100">
              <a:solidFill>
                <a:schemeClr val="dk1"/>
              </a:solidFill>
              <a:effectLst/>
              <a:latin typeface="+mn-lt"/>
              <a:ea typeface="+mn-ea"/>
              <a:cs typeface="+mn-cs"/>
            </a:rPr>
            <a:t> variables plus one (for the </a:t>
          </a:r>
          <a:r>
            <a:rPr lang="en-US" sz="1100" i="1">
              <a:solidFill>
                <a:schemeClr val="dk1"/>
              </a:solidFill>
              <a:effectLst/>
              <a:latin typeface="+mn-lt"/>
              <a:ea typeface="+mn-ea"/>
              <a:cs typeface="+mn-cs"/>
            </a:rPr>
            <a:t>Y</a:t>
          </a:r>
          <a:r>
            <a:rPr lang="en-US" sz="1100">
              <a:solidFill>
                <a:schemeClr val="dk1"/>
              </a:solidFill>
              <a:effectLst/>
              <a:latin typeface="+mn-lt"/>
              <a:ea typeface="+mn-ea"/>
              <a:cs typeface="+mn-cs"/>
            </a:rPr>
            <a:t> variable) plus one (for the probabilities column). </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With the cell range selected, the formula, =SAMPLE(C2:D1001,K2:K1001,100,1), was entered in the formula bar. The SAMPLE function has four arguments: a cell range with the population data, a cell range with probabilities of selection on the first draw, the sample size, and an optional value, 0 or 1, for whether the sample is taken without or with replacement, respectively. For example, by using cell range K2:K1001 and 1 for the optional argument, we are specifying a simple random sample with replacement (SRSWR). If the sample was chosen with replacement, then an individual observation from the population may appear more than once in the sample; sampling without replacement removes a chosen observation from the population so it can appear only once.  </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The </a:t>
          </a:r>
          <a:r>
            <a:rPr lang="en-US" sz="1100" i="1">
              <a:solidFill>
                <a:schemeClr val="dk1"/>
              </a:solidFill>
              <a:effectLst/>
              <a:latin typeface="+mn-lt"/>
              <a:ea typeface="+mn-ea"/>
              <a:cs typeface="+mn-cs"/>
            </a:rPr>
            <a:t>SampleFn</a:t>
          </a:r>
          <a:r>
            <a:rPr lang="en-US" sz="1100">
              <a:solidFill>
                <a:schemeClr val="dk1"/>
              </a:solidFill>
              <a:effectLst/>
              <a:latin typeface="+mn-lt"/>
              <a:ea typeface="+mn-ea"/>
              <a:cs typeface="+mn-cs"/>
            </a:rPr>
            <a:t> sheet offers a behind-the-scenes look at the SAMPLE function. Knowledge of how the function is coded is not necessary to use the workbook, but the detailed explanation of how the function works and ready access to the source code provides information for those interested in understanding the details or extending the SAMPLE function.  </a:t>
          </a:r>
        </a:p>
        <a:p>
          <a:endParaRPr lang="en-US" sz="1100"/>
        </a:p>
        <a:p>
          <a:endParaRPr lang="en-US" sz="1100"/>
        </a:p>
        <a:p>
          <a:r>
            <a:rPr lang="en-US" sz="1100"/>
            <a:t>RUNNING A SIMULATION</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Click the  MC Sim button (cell AD 15) to bring up a dialog box, shown</a:t>
          </a:r>
          <a:r>
            <a:rPr lang="en-US" sz="1100" baseline="0">
              <a:solidFill>
                <a:schemeClr val="dk1"/>
              </a:solidFill>
              <a:effectLst/>
              <a:latin typeface="+mn-lt"/>
              <a:ea typeface="+mn-ea"/>
              <a:cs typeface="+mn-cs"/>
            </a:rPr>
            <a:t> to the right.</a:t>
          </a:r>
          <a:r>
            <a:rPr lang="en-US" sz="1100">
              <a:solidFill>
                <a:schemeClr val="dk1"/>
              </a:solidFill>
              <a:effectLst/>
              <a:latin typeface="+mn-lt"/>
              <a:ea typeface="+mn-ea"/>
              <a:cs typeface="+mn-cs"/>
            </a:rPr>
            <a:t> In the upper left corner, click inside the “Select a cell” input box and remove the contents, then click on cell V3 on the </a:t>
          </a:r>
          <a:r>
            <a:rPr lang="en-US" sz="1100" i="1">
              <a:solidFill>
                <a:schemeClr val="dk1"/>
              </a:solidFill>
              <a:effectLst/>
              <a:latin typeface="+mn-lt"/>
              <a:ea typeface="+mn-ea"/>
              <a:cs typeface="+mn-cs"/>
            </a:rPr>
            <a:t>DGP</a:t>
          </a:r>
          <a:r>
            <a:rPr lang="en-US" sz="1100">
              <a:solidFill>
                <a:schemeClr val="dk1"/>
              </a:solidFill>
              <a:effectLst/>
              <a:latin typeface="+mn-lt"/>
              <a:ea typeface="+mn-ea"/>
              <a:cs typeface="+mn-cs"/>
            </a:rPr>
            <a:t> sheet so that  Excel enters the cell address (as shown in Figure 2). Click Proceed to run a simulation.</a:t>
          </a:r>
        </a:p>
        <a:p>
          <a:endParaRPr lang="en-US" sz="1100"/>
        </a:p>
        <a:p>
          <a:endParaRPr lang="en-US" sz="1100"/>
        </a:p>
        <a:p>
          <a:r>
            <a:rPr lang="en-US" sz="1100"/>
            <a:t>FIGURE</a:t>
          </a:r>
          <a:r>
            <a:rPr lang="en-US" sz="1100" baseline="0"/>
            <a:t> 3 SIMULATION INSTRUCTIONS</a:t>
          </a:r>
          <a:endParaRPr lang="en-US" sz="1100"/>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With Unequal (Schooling) selected (so that range O2:O1001 is used in the SAMPLE function for cells R2:T101), track cells V3 (OLS) and Z3 (probWLS) by including Z3 in the “Select a second cell” input box in the Monte Carlo simulation dialog box. Your results will be similar to the left panel of Figure 3. Selecting</a:t>
          </a:r>
          <a:r>
            <a:rPr lang="en-US" sz="1100" baseline="0">
              <a:solidFill>
                <a:schemeClr val="dk1"/>
              </a:solidFill>
              <a:effectLst/>
              <a:latin typeface="+mn-lt"/>
              <a:ea typeface="+mn-ea"/>
              <a:cs typeface="+mn-cs"/>
            </a:rPr>
            <a:t> Unequal (Wage) and running a simulation produces the right panel.</a:t>
          </a:r>
          <a:endParaRPr lang="en-US" sz="1100">
            <a:solidFill>
              <a:schemeClr val="dk1"/>
            </a:solidFill>
            <a:effectLst/>
            <a:latin typeface="+mn-lt"/>
            <a:ea typeface="+mn-ea"/>
            <a:cs typeface="+mn-cs"/>
          </a:endParaRPr>
        </a:p>
        <a:p>
          <a:endParaRPr lang="en-US" sz="1100"/>
        </a:p>
        <a:p>
          <a:endParaRPr lang="en-US" sz="1100"/>
        </a:p>
        <a:p>
          <a:r>
            <a:rPr lang="en-US" sz="1100"/>
            <a:t>COMPUTING THE SE OF PROBWLS</a:t>
          </a:r>
        </a:p>
        <a:p>
          <a:r>
            <a:rPr lang="en-US" sz="1100">
              <a:solidFill>
                <a:schemeClr val="dk1"/>
              </a:solidFill>
              <a:effectLst/>
              <a:latin typeface="+mn-lt"/>
              <a:ea typeface="+mn-ea"/>
              <a:cs typeface="+mn-cs"/>
            </a:rPr>
            <a:t>The computation for the probWLS estimated SE is not as straightforward. The probWLS estimated SE is a non-linear function that is linearized using a Taylor series expansion. Instead of the usual variance-covariance matrix, </a:t>
          </a:r>
          <a:r>
            <a:rPr lang="en-US" sz="1100" i="1">
              <a:solidFill>
                <a:schemeClr val="dk1"/>
              </a:solidFill>
              <a:effectLst/>
              <a:latin typeface="+mn-lt"/>
              <a:ea typeface="+mn-ea"/>
              <a:cs typeface="+mn-cs"/>
            </a:rPr>
            <a:t>s</a:t>
          </a:r>
          <a:r>
            <a:rPr lang="en-US" sz="1100" i="1" baseline="30000">
              <a:solidFill>
                <a:schemeClr val="dk1"/>
              </a:solidFill>
              <a:effectLst/>
              <a:latin typeface="+mn-lt"/>
              <a:ea typeface="+mn-ea"/>
              <a:cs typeface="+mn-cs"/>
            </a:rPr>
            <a:t>2</a:t>
          </a:r>
          <a:r>
            <a:rPr lang="en-US" sz="1100" i="1">
              <a:solidFill>
                <a:schemeClr val="dk1"/>
              </a:solidFill>
              <a:effectLst/>
              <a:latin typeface="+mn-lt"/>
              <a:ea typeface="+mn-ea"/>
              <a:cs typeface="+mn-cs"/>
            </a:rPr>
            <a:t>(X’X)</a:t>
          </a:r>
          <a:r>
            <a:rPr lang="en-US" sz="1100" i="1" baseline="30000">
              <a:solidFill>
                <a:schemeClr val="dk1"/>
              </a:solidFill>
              <a:effectLst/>
              <a:latin typeface="+mn-lt"/>
              <a:ea typeface="+mn-ea"/>
              <a:cs typeface="+mn-cs"/>
            </a:rPr>
            <a:t>-1</a:t>
          </a:r>
          <a:r>
            <a:rPr lang="en-US" sz="1100">
              <a:solidFill>
                <a:schemeClr val="dk1"/>
              </a:solidFill>
              <a:effectLst/>
              <a:latin typeface="+mn-lt"/>
              <a:ea typeface="+mn-ea"/>
              <a:cs typeface="+mn-cs"/>
            </a:rPr>
            <a:t>, probWLS uses a sandwich estimator, </a:t>
          </a:r>
          <a:r>
            <a:rPr lang="en-US" sz="1100" i="1">
              <a:solidFill>
                <a:schemeClr val="dk1"/>
              </a:solidFill>
              <a:effectLst/>
              <a:latin typeface="+mn-lt"/>
              <a:ea typeface="+mn-ea"/>
              <a:cs typeface="+mn-cs"/>
            </a:rPr>
            <a:t>(X’WX)</a:t>
          </a:r>
          <a:r>
            <a:rPr lang="en-US" sz="1100" i="1" baseline="30000">
              <a:solidFill>
                <a:schemeClr val="dk1"/>
              </a:solidFill>
              <a:effectLst/>
              <a:latin typeface="+mn-lt"/>
              <a:ea typeface="+mn-ea"/>
              <a:cs typeface="+mn-cs"/>
            </a:rPr>
            <a:t>-1</a:t>
          </a:r>
          <a:r>
            <a:rPr lang="en-US" sz="1100" i="1">
              <a:solidFill>
                <a:schemeClr val="dk1"/>
              </a:solidFill>
              <a:effectLst/>
              <a:latin typeface="+mn-lt"/>
              <a:ea typeface="+mn-ea"/>
              <a:cs typeface="+mn-cs"/>
            </a:rPr>
            <a:t> V(X’WX)</a:t>
          </a:r>
          <a:r>
            <a:rPr lang="en-US" sz="1100" i="1" baseline="30000">
              <a:solidFill>
                <a:schemeClr val="dk1"/>
              </a:solidFill>
              <a:effectLst/>
              <a:latin typeface="+mn-lt"/>
              <a:ea typeface="+mn-ea"/>
              <a:cs typeface="+mn-cs"/>
            </a:rPr>
            <a:t>-1</a:t>
          </a:r>
          <a:r>
            <a:rPr lang="en-US" sz="1100">
              <a:solidFill>
                <a:schemeClr val="dk1"/>
              </a:solidFill>
              <a:effectLst/>
              <a:latin typeface="+mn-lt"/>
              <a:ea typeface="+mn-ea"/>
              <a:cs typeface="+mn-cs"/>
            </a:rPr>
            <a:t>. With SRS, the </a:t>
          </a:r>
          <a:r>
            <a:rPr lang="en-US" sz="1100" i="1">
              <a:solidFill>
                <a:schemeClr val="dk1"/>
              </a:solidFill>
              <a:effectLst/>
              <a:latin typeface="+mn-lt"/>
              <a:ea typeface="+mn-ea"/>
              <a:cs typeface="+mn-cs"/>
            </a:rPr>
            <a:t>V</a:t>
          </a:r>
          <a:r>
            <a:rPr lang="en-US" sz="1100">
              <a:solidFill>
                <a:schemeClr val="dk1"/>
              </a:solidFill>
              <a:effectLst/>
              <a:latin typeface="+mn-lt"/>
              <a:ea typeface="+mn-ea"/>
              <a:cs typeface="+mn-cs"/>
            </a:rPr>
            <a:t> matrix collapses to the variance of the errors times </a:t>
          </a:r>
          <a:r>
            <a:rPr lang="en-US" sz="1100" i="1">
              <a:solidFill>
                <a:schemeClr val="dk1"/>
              </a:solidFill>
              <a:effectLst/>
              <a:latin typeface="+mn-lt"/>
              <a:ea typeface="+mn-ea"/>
              <a:cs typeface="+mn-cs"/>
            </a:rPr>
            <a:t>(X’X)</a:t>
          </a:r>
          <a:r>
            <a:rPr lang="en-US" sz="1100">
              <a:solidFill>
                <a:schemeClr val="dk1"/>
              </a:solidFill>
              <a:effectLst/>
              <a:latin typeface="+mn-lt"/>
              <a:ea typeface="+mn-ea"/>
              <a:cs typeface="+mn-cs"/>
            </a:rPr>
            <a:t> and </a:t>
          </a:r>
          <a:r>
            <a:rPr lang="en-US" sz="1100" i="1">
              <a:solidFill>
                <a:schemeClr val="dk1"/>
              </a:solidFill>
              <a:effectLst/>
              <a:latin typeface="+mn-lt"/>
              <a:ea typeface="+mn-ea"/>
              <a:cs typeface="+mn-cs"/>
            </a:rPr>
            <a:t>W</a:t>
          </a:r>
          <a:r>
            <a:rPr lang="en-US" sz="1100">
              <a:solidFill>
                <a:schemeClr val="dk1"/>
              </a:solidFill>
              <a:effectLst/>
              <a:latin typeface="+mn-lt"/>
              <a:ea typeface="+mn-ea"/>
              <a:cs typeface="+mn-cs"/>
            </a:rPr>
            <a:t> is an identity matrix. Substituting into the sandwich estimator, we get </a:t>
          </a:r>
          <a:r>
            <a:rPr lang="en-US" sz="1100" i="1">
              <a:solidFill>
                <a:schemeClr val="dk1"/>
              </a:solidFill>
              <a:effectLst/>
              <a:latin typeface="+mn-lt"/>
              <a:ea typeface="+mn-ea"/>
              <a:cs typeface="+mn-cs"/>
            </a:rPr>
            <a:t>(X’X)</a:t>
          </a:r>
          <a:r>
            <a:rPr lang="en-US" sz="1100" i="1" baseline="30000">
              <a:solidFill>
                <a:schemeClr val="dk1"/>
              </a:solidFill>
              <a:effectLst/>
              <a:latin typeface="+mn-lt"/>
              <a:ea typeface="+mn-ea"/>
              <a:cs typeface="+mn-cs"/>
            </a:rPr>
            <a:t>-1</a:t>
          </a:r>
          <a:r>
            <a:rPr lang="en-US" sz="1100" i="1">
              <a:solidFill>
                <a:schemeClr val="dk1"/>
              </a:solidFill>
              <a:effectLst/>
              <a:latin typeface="+mn-lt"/>
              <a:ea typeface="+mn-ea"/>
              <a:cs typeface="+mn-cs"/>
            </a:rPr>
            <a:t>s</a:t>
          </a:r>
          <a:r>
            <a:rPr lang="en-US" sz="1100" i="1" baseline="30000">
              <a:solidFill>
                <a:schemeClr val="dk1"/>
              </a:solidFill>
              <a:effectLst/>
              <a:latin typeface="+mn-lt"/>
              <a:ea typeface="+mn-ea"/>
              <a:cs typeface="+mn-cs"/>
            </a:rPr>
            <a:t>2</a:t>
          </a:r>
          <a:r>
            <a:rPr lang="en-US" sz="1100" i="1">
              <a:solidFill>
                <a:schemeClr val="dk1"/>
              </a:solidFill>
              <a:effectLst/>
              <a:latin typeface="+mn-lt"/>
              <a:ea typeface="+mn-ea"/>
              <a:cs typeface="+mn-cs"/>
            </a:rPr>
            <a:t>(X’X)(X’X)</a:t>
          </a:r>
          <a:r>
            <a:rPr lang="en-US" sz="1100" i="1" baseline="30000">
              <a:solidFill>
                <a:schemeClr val="dk1"/>
              </a:solidFill>
              <a:effectLst/>
              <a:latin typeface="+mn-lt"/>
              <a:ea typeface="+mn-ea"/>
              <a:cs typeface="+mn-cs"/>
            </a:rPr>
            <a:t>-1</a:t>
          </a:r>
          <a:r>
            <a:rPr lang="en-US" sz="1100" i="1">
              <a:solidFill>
                <a:schemeClr val="dk1"/>
              </a:solidFill>
              <a:effectLst/>
              <a:latin typeface="+mn-lt"/>
              <a:ea typeface="+mn-ea"/>
              <a:cs typeface="+mn-cs"/>
            </a:rPr>
            <a:t>, </a:t>
          </a:r>
          <a:r>
            <a:rPr lang="en-US" sz="1100">
              <a:solidFill>
                <a:schemeClr val="dk1"/>
              </a:solidFill>
              <a:effectLst/>
              <a:latin typeface="+mn-lt"/>
              <a:ea typeface="+mn-ea"/>
              <a:cs typeface="+mn-cs"/>
            </a:rPr>
            <a:t>producing the usual result. Unequal probabilities, however, produce a </a:t>
          </a:r>
          <a:r>
            <a:rPr lang="en-US" sz="1100" i="1">
              <a:solidFill>
                <a:schemeClr val="dk1"/>
              </a:solidFill>
              <a:effectLst/>
              <a:latin typeface="+mn-lt"/>
              <a:ea typeface="+mn-ea"/>
              <a:cs typeface="+mn-cs"/>
            </a:rPr>
            <a:t>V</a:t>
          </a:r>
          <a:r>
            <a:rPr lang="en-US" sz="1100">
              <a:solidFill>
                <a:schemeClr val="dk1"/>
              </a:solidFill>
              <a:effectLst/>
              <a:latin typeface="+mn-lt"/>
              <a:ea typeface="+mn-ea"/>
              <a:cs typeface="+mn-cs"/>
            </a:rPr>
            <a:t> matrix that is a function of each observation’s variance of errors (the same if homoscedastic), sampling weight, and </a:t>
          </a:r>
          <a:r>
            <a:rPr lang="en-US" sz="1100" i="1">
              <a:solidFill>
                <a:schemeClr val="dk1"/>
              </a:solidFill>
              <a:effectLst/>
              <a:latin typeface="+mn-lt"/>
              <a:ea typeface="+mn-ea"/>
              <a:cs typeface="+mn-cs"/>
            </a:rPr>
            <a:t>X</a:t>
          </a:r>
          <a:r>
            <a:rPr lang="en-US" sz="1100">
              <a:solidFill>
                <a:schemeClr val="dk1"/>
              </a:solidFill>
              <a:effectLst/>
              <a:latin typeface="+mn-lt"/>
              <a:ea typeface="+mn-ea"/>
              <a:cs typeface="+mn-cs"/>
            </a:rPr>
            <a:t> values. Our Excel LINESTW function (along with software that supports complex survey design, such as R, SAS, and Stata) produce estimated SEs based on the </a:t>
          </a:r>
          <a:r>
            <a:rPr lang="en-US" sz="1100" i="1">
              <a:solidFill>
                <a:schemeClr val="dk1"/>
              </a:solidFill>
              <a:effectLst/>
              <a:latin typeface="+mn-lt"/>
              <a:ea typeface="+mn-ea"/>
              <a:cs typeface="+mn-cs"/>
            </a:rPr>
            <a:t>(X’WX)</a:t>
          </a:r>
          <a:r>
            <a:rPr lang="en-US" sz="1100" i="1" baseline="30000">
              <a:solidFill>
                <a:schemeClr val="dk1"/>
              </a:solidFill>
              <a:effectLst/>
              <a:latin typeface="+mn-lt"/>
              <a:ea typeface="+mn-ea"/>
              <a:cs typeface="+mn-cs"/>
            </a:rPr>
            <a:t>-1</a:t>
          </a:r>
          <a:r>
            <a:rPr lang="en-US" sz="1100" i="1">
              <a:solidFill>
                <a:schemeClr val="dk1"/>
              </a:solidFill>
              <a:effectLst/>
              <a:latin typeface="+mn-lt"/>
              <a:ea typeface="+mn-ea"/>
              <a:cs typeface="+mn-cs"/>
            </a:rPr>
            <a:t> V(X’WX)</a:t>
          </a:r>
          <a:r>
            <a:rPr lang="en-US" sz="1100" i="1" baseline="30000">
              <a:solidFill>
                <a:schemeClr val="dk1"/>
              </a:solidFill>
              <a:effectLst/>
              <a:latin typeface="+mn-lt"/>
              <a:ea typeface="+mn-ea"/>
              <a:cs typeface="+mn-cs"/>
            </a:rPr>
            <a:t>-1</a:t>
          </a:r>
          <a:r>
            <a:rPr lang="en-US" sz="1100">
              <a:solidFill>
                <a:schemeClr val="dk1"/>
              </a:solidFill>
              <a:effectLst/>
              <a:latin typeface="+mn-lt"/>
              <a:ea typeface="+mn-ea"/>
              <a:cs typeface="+mn-cs"/>
            </a:rPr>
            <a:t> sandwich estimator be default.</a:t>
          </a:r>
        </a:p>
        <a:p>
          <a:r>
            <a:rPr lang="en-US" sz="1100">
              <a:solidFill>
                <a:schemeClr val="dk1"/>
              </a:solidFill>
              <a:effectLst/>
              <a:latin typeface="+mn-lt"/>
              <a:ea typeface="+mn-ea"/>
              <a:cs typeface="+mn-cs"/>
            </a:rPr>
            <a:t>In an inferential setting, the </a:t>
          </a:r>
          <a:r>
            <a:rPr lang="en-US" sz="1100" i="1">
              <a:solidFill>
                <a:schemeClr val="dk1"/>
              </a:solidFill>
              <a:effectLst/>
              <a:latin typeface="+mn-lt"/>
              <a:ea typeface="+mn-ea"/>
              <a:cs typeface="+mn-cs"/>
            </a:rPr>
            <a:t>V</a:t>
          </a:r>
          <a:r>
            <a:rPr lang="en-US" sz="1100">
              <a:solidFill>
                <a:schemeClr val="dk1"/>
              </a:solidFill>
              <a:effectLst/>
              <a:latin typeface="+mn-lt"/>
              <a:ea typeface="+mn-ea"/>
              <a:cs typeface="+mn-cs"/>
            </a:rPr>
            <a:t> matrix must be estimated, using the residuals. The standard approach is to compute, for each observation, the probability weight times its residual times its </a:t>
          </a:r>
          <a:r>
            <a:rPr lang="en-US" sz="1100" i="1">
              <a:solidFill>
                <a:schemeClr val="dk1"/>
              </a:solidFill>
              <a:effectLst/>
              <a:latin typeface="+mn-lt"/>
              <a:ea typeface="+mn-ea"/>
              <a:cs typeface="+mn-cs"/>
            </a:rPr>
            <a:t>X</a:t>
          </a:r>
          <a:r>
            <a:rPr lang="en-US" sz="1100">
              <a:solidFill>
                <a:schemeClr val="dk1"/>
              </a:solidFill>
              <a:effectLst/>
              <a:latin typeface="+mn-lt"/>
              <a:ea typeface="+mn-ea"/>
              <a:cs typeface="+mn-cs"/>
            </a:rPr>
            <a:t> (row) vector. The transpose of this vector (</a:t>
          </a:r>
          <a:r>
            <a:rPr lang="en-US" sz="1100" i="1">
              <a:solidFill>
                <a:schemeClr val="dk1"/>
              </a:solidFill>
              <a:effectLst/>
              <a:latin typeface="+mn-lt"/>
              <a:ea typeface="+mn-ea"/>
              <a:cs typeface="+mn-cs"/>
            </a:rPr>
            <a:t>k</a:t>
          </a:r>
          <a:r>
            <a:rPr lang="en-US" sz="1100">
              <a:solidFill>
                <a:schemeClr val="dk1"/>
              </a:solidFill>
              <a:effectLst/>
              <a:latin typeface="+mn-lt"/>
              <a:ea typeface="+mn-ea"/>
              <a:cs typeface="+mn-cs"/>
            </a:rPr>
            <a:t> x 1) is then multiplied by itself (1 x </a:t>
          </a:r>
          <a:r>
            <a:rPr lang="en-US" sz="1100" i="1">
              <a:solidFill>
                <a:schemeClr val="dk1"/>
              </a:solidFill>
              <a:effectLst/>
              <a:latin typeface="+mn-lt"/>
              <a:ea typeface="+mn-ea"/>
              <a:cs typeface="+mn-cs"/>
            </a:rPr>
            <a:t>k</a:t>
          </a:r>
          <a:r>
            <a:rPr lang="en-US" sz="1100">
              <a:solidFill>
                <a:schemeClr val="dk1"/>
              </a:solidFill>
              <a:effectLst/>
              <a:latin typeface="+mn-lt"/>
              <a:ea typeface="+mn-ea"/>
              <a:cs typeface="+mn-cs"/>
            </a:rPr>
            <a:t>), yielding a </a:t>
          </a:r>
          <a:r>
            <a:rPr lang="en-US" sz="1100" i="1">
              <a:solidFill>
                <a:schemeClr val="dk1"/>
              </a:solidFill>
              <a:effectLst/>
              <a:latin typeface="+mn-lt"/>
              <a:ea typeface="+mn-ea"/>
              <a:cs typeface="+mn-cs"/>
            </a:rPr>
            <a:t>k</a:t>
          </a:r>
          <a:r>
            <a:rPr lang="en-US" sz="1100">
              <a:solidFill>
                <a:schemeClr val="dk1"/>
              </a:solidFill>
              <a:effectLst/>
              <a:latin typeface="+mn-lt"/>
              <a:ea typeface="+mn-ea"/>
              <a:cs typeface="+mn-cs"/>
            </a:rPr>
            <a:t> x </a:t>
          </a:r>
          <a:r>
            <a:rPr lang="en-US" sz="1100" i="1">
              <a:solidFill>
                <a:schemeClr val="dk1"/>
              </a:solidFill>
              <a:effectLst/>
              <a:latin typeface="+mn-lt"/>
              <a:ea typeface="+mn-ea"/>
              <a:cs typeface="+mn-cs"/>
            </a:rPr>
            <a:t>k</a:t>
          </a:r>
          <a:r>
            <a:rPr lang="en-US" sz="1100">
              <a:solidFill>
                <a:schemeClr val="dk1"/>
              </a:solidFill>
              <a:effectLst/>
              <a:latin typeface="+mn-lt"/>
              <a:ea typeface="+mn-ea"/>
              <a:cs typeface="+mn-cs"/>
            </a:rPr>
            <a:t> matrix for each observation. The sum of these matrices is multiplied by a degrees of freedom adjustment, </a:t>
          </a:r>
          <a:r>
            <a:rPr lang="en-US" sz="1100" i="1">
              <a:solidFill>
                <a:schemeClr val="dk1"/>
              </a:solidFill>
              <a:effectLst/>
              <a:latin typeface="+mn-lt"/>
              <a:ea typeface="+mn-ea"/>
              <a:cs typeface="+mn-cs"/>
            </a:rPr>
            <a:t>n</a:t>
          </a:r>
          <a:r>
            <a:rPr lang="en-US" sz="1100">
              <a:solidFill>
                <a:schemeClr val="dk1"/>
              </a:solidFill>
              <a:effectLst/>
              <a:latin typeface="+mn-lt"/>
              <a:ea typeface="+mn-ea"/>
              <a:cs typeface="+mn-cs"/>
            </a:rPr>
            <a:t>/(</a:t>
          </a:r>
          <a:r>
            <a:rPr lang="en-US" sz="1100" i="1">
              <a:solidFill>
                <a:schemeClr val="dk1"/>
              </a:solidFill>
              <a:effectLst/>
              <a:latin typeface="+mn-lt"/>
              <a:ea typeface="+mn-ea"/>
              <a:cs typeface="+mn-cs"/>
            </a:rPr>
            <a:t>n</a:t>
          </a:r>
          <a:r>
            <a:rPr lang="en-US" sz="1100">
              <a:solidFill>
                <a:schemeClr val="dk1"/>
              </a:solidFill>
              <a:effectLst/>
              <a:latin typeface="+mn-lt"/>
              <a:ea typeface="+mn-ea"/>
              <a:cs typeface="+mn-cs"/>
            </a:rPr>
            <a:t>-1) and used as an estimate of the </a:t>
          </a:r>
          <a:r>
            <a:rPr lang="en-US" sz="1100" i="1">
              <a:solidFill>
                <a:schemeClr val="dk1"/>
              </a:solidFill>
              <a:effectLst/>
              <a:latin typeface="+mn-lt"/>
              <a:ea typeface="+mn-ea"/>
              <a:cs typeface="+mn-cs"/>
            </a:rPr>
            <a:t>V</a:t>
          </a:r>
          <a:r>
            <a:rPr lang="en-US" sz="1100">
              <a:solidFill>
                <a:schemeClr val="dk1"/>
              </a:solidFill>
              <a:effectLst/>
              <a:latin typeface="+mn-lt"/>
              <a:ea typeface="+mn-ea"/>
              <a:cs typeface="+mn-cs"/>
            </a:rPr>
            <a:t> matrix in the sandwich estimator of the variance-covariance matrix. In addition, if the DGP is based on a complex survey design, using strata and clusters, then additional steps are needed to properly compute the estimate of the </a:t>
          </a:r>
          <a:r>
            <a:rPr lang="en-US" sz="1100" i="1">
              <a:solidFill>
                <a:schemeClr val="dk1"/>
              </a:solidFill>
              <a:effectLst/>
              <a:latin typeface="+mn-lt"/>
              <a:ea typeface="+mn-ea"/>
              <a:cs typeface="+mn-cs"/>
            </a:rPr>
            <a:t>V</a:t>
          </a:r>
          <a:r>
            <a:rPr lang="en-US" sz="1100">
              <a:solidFill>
                <a:schemeClr val="dk1"/>
              </a:solidFill>
              <a:effectLst/>
              <a:latin typeface="+mn-lt"/>
              <a:ea typeface="+mn-ea"/>
              <a:cs typeface="+mn-cs"/>
            </a:rPr>
            <a:t> matrix.</a:t>
          </a:r>
        </a:p>
        <a:p>
          <a:endParaRPr lang="en-US" sz="1100"/>
        </a:p>
        <a:p>
          <a:endParaRPr lang="en-US" sz="1100"/>
        </a:p>
        <a:p>
          <a:r>
            <a:rPr lang="en-US" sz="1100"/>
            <a:t>STATA INSTRUCTIONS</a:t>
          </a:r>
        </a:p>
        <a:p>
          <a:r>
            <a:rPr lang="en-US" sz="1100">
              <a:solidFill>
                <a:schemeClr val="dk1"/>
              </a:solidFill>
              <a:effectLst/>
              <a:latin typeface="+mn-lt"/>
              <a:ea typeface="+mn-ea"/>
              <a:cs typeface="+mn-cs"/>
            </a:rPr>
            <a:t>Open the Do-file Editor (from the Window menu, select “Do-file Editor,” then “New do-file Ctrl-8”). From the Do-file Editor window, open the do-file by File -&gt; Open and navigating to your download folder and selecting the do-file. Edit the fourth line, making sure that the correct pathname is given for where the data file is saved on the computer. Run the do-file by clicking on the “do” button in the toolbar of the do-file editor. </a:t>
          </a:r>
        </a:p>
        <a:p>
          <a:r>
            <a:rPr lang="en-US" sz="1100">
              <a:solidFill>
                <a:schemeClr val="dk1"/>
              </a:solidFill>
              <a:effectLst/>
              <a:latin typeface="+mn-lt"/>
              <a:ea typeface="+mn-ea"/>
              <a:cs typeface="+mn-cs"/>
            </a:rPr>
            <a:t>Return to Stata to see that the program is running. The user can select 1 for the interactive mode or 2 for the non-interactive mode. Typing any other number in the command window and pressing the Enter key will result in exiting the do-file. If the user selects the non-interactive mode by typing 2 from the keyboard and pressing the Enter key, then Stata will draw a sample of size 100, followed by running a regression using that sample, drawing a graph showing population, OLS, and WLS lines, and running Monte Carlo simulations with sample size of 100 and repetitions of 100 for each of the three probabilities of selection. These numbers can be easily changed by modifying the do-file in the do-file editor before executing the do-file. Stata will generate three different graphs while running the non-interactive mode, one for each of the three probabilities of selection. All graphs will appear in separately generated windows. The title of each window will indicate the corresponding probability of selection for that graph.  </a:t>
          </a:r>
        </a:p>
        <a:p>
          <a:r>
            <a:rPr lang="en-US" sz="1100">
              <a:solidFill>
                <a:schemeClr val="dk1"/>
              </a:solidFill>
              <a:effectLst/>
              <a:latin typeface="+mn-lt"/>
              <a:ea typeface="+mn-ea"/>
              <a:cs typeface="+mn-cs"/>
            </a:rPr>
            <a:t>The interactive mode of the do-file can be initiated by typing 1 from the keyboard in the command window of Stata and pressing the Enter key. Type 1 and press the Enter key for running regressions, 2 for drawing graphs, and 3 for running Monte Carlo simulations. </a:t>
          </a:r>
        </a:p>
        <a:p>
          <a:r>
            <a:rPr lang="en-US" sz="1100">
              <a:solidFill>
                <a:schemeClr val="dk1"/>
              </a:solidFill>
              <a:effectLst/>
              <a:latin typeface="+mn-lt"/>
              <a:ea typeface="+mn-ea"/>
              <a:cs typeface="+mn-cs"/>
            </a:rPr>
            <a:t>If the user decides to choose either to run regressions or to draw graphs, the next question that Stata will ask is if the user wants to draw a new sample with replacement of size 100. If the user types “yes” from the keyboard and presses the Enter key, then Stata will ask which of the three probabilities of selections the user wants to choose by typing either 1, 2, or 3 and pressing the Enter key. Stata will draw a new sample of the specified size with replacement using the specified probability of selection. </a:t>
          </a:r>
        </a:p>
        <a:p>
          <a:r>
            <a:rPr lang="en-US" sz="1100">
              <a:solidFill>
                <a:schemeClr val="dk1"/>
              </a:solidFill>
              <a:effectLst/>
              <a:latin typeface="+mn-lt"/>
              <a:ea typeface="+mn-ea"/>
              <a:cs typeface="+mn-cs"/>
            </a:rPr>
            <a:t>Once a new sample is chosen, it will be used to run regressions and draw graphs. But the user can also type any other key in response to the question about drawing a new graph. This will make Stata use the previously drawn sample. This is useful if the user first wants to run regressions and then subsequently wishes to use the same sample to draw graphs. However, when the user starts an interactive mode initially without cycling through the interactive mode before, the user must draw a new sample as there is no previously drawn sample. If the user does not answer “yes” to the question, Stata will gently remind the user that in the first iteration, the user must answer “yes” to the question and draw a new sample.</a:t>
          </a:r>
        </a:p>
        <a:p>
          <a:r>
            <a:rPr lang="en-US" sz="1100">
              <a:solidFill>
                <a:schemeClr val="dk1"/>
              </a:solidFill>
              <a:effectLst/>
              <a:latin typeface="+mn-lt"/>
              <a:ea typeface="+mn-ea"/>
              <a:cs typeface="+mn-cs"/>
            </a:rPr>
            <a:t>Stata will run a regression based on the sample that was either freshly drawn or drawn beforehand. Based on the probability of selection that was used to draw samples, Stata will run regressions using the appropriate probability weights that correspond to that probability of selection. Initially Stata uses the command svyset, whose generic syntax is svyset _n [pweight=</a:t>
          </a:r>
          <a:r>
            <a:rPr lang="en-US" sz="1100" i="1">
              <a:solidFill>
                <a:schemeClr val="dk1"/>
              </a:solidFill>
              <a:effectLst/>
              <a:latin typeface="+mn-lt"/>
              <a:ea typeface="+mn-ea"/>
              <a:cs typeface="+mn-cs"/>
            </a:rPr>
            <a:t>variable_name</a:t>
          </a:r>
          <a:r>
            <a:rPr lang="en-US" sz="1100">
              <a:solidFill>
                <a:schemeClr val="dk1"/>
              </a:solidFill>
              <a:effectLst/>
              <a:latin typeface="+mn-lt"/>
              <a:ea typeface="+mn-ea"/>
              <a:cs typeface="+mn-cs"/>
            </a:rPr>
            <a:t>],  where _n (Stata’s symbol for individual observations) is used here because, in this case, there are no clusters and each observation in the population itself is sampled (observations are the primary sampling units or PSUs). Once Stata has defined the design of the survey using the svyset command, one can use svy prefix in front of any command to incorporate the survey design. For example, to run regression we can use svy: regress wage schooling and Stata will automatically use the appropriate details of survey design. </a:t>
          </a:r>
        </a:p>
        <a:p>
          <a:r>
            <a:rPr lang="en-US" sz="1100">
              <a:solidFill>
                <a:schemeClr val="dk1"/>
              </a:solidFill>
              <a:effectLst/>
              <a:latin typeface="+mn-lt"/>
              <a:ea typeface="+mn-ea"/>
              <a:cs typeface="+mn-cs"/>
            </a:rPr>
            <a:t>If the user had chosen to run a regression, then a regression output will be chosen using the above command.  After showing the regression output, Stata will ask if the user wants to continue the interactive mode. A “yes” answer to this question leads the interactive mode to repeat itself. Otherwise, Stata will exit the do-file. </a:t>
          </a:r>
        </a:p>
        <a:p>
          <a:r>
            <a:rPr lang="en-US" sz="1100">
              <a:solidFill>
                <a:schemeClr val="dk1"/>
              </a:solidFill>
              <a:effectLst/>
              <a:latin typeface="+mn-lt"/>
              <a:ea typeface="+mn-ea"/>
              <a:cs typeface="+mn-cs"/>
            </a:rPr>
            <a:t>If the user had decided to have Stata draw graphs, then another question will appear that will ask the user to select one of the following choices: a graph with only OLS and population regression lines along with the scatter plot between wage and schooling, a graph with only WLS and population regression lines along with the scatter plot between wage and schooling, or lastly a graph, which has OLS, WLS, and population regression lines along with scatter plot between wage and schooling. We are using the lfit (which is an abbreviation of linear fit) command of Stata to draw various regression lines and the scatter command to draw the scatter plot. These different types of plots can be combined together in one graph using the graph twoway command of Stata. Please look at Stata’s help files or Stata Corporation (2009) for lfit, scatter, and graph twoway commands for further details. </a:t>
          </a:r>
        </a:p>
        <a:p>
          <a:r>
            <a:rPr lang="en-US" sz="1100">
              <a:solidFill>
                <a:schemeClr val="dk1"/>
              </a:solidFill>
              <a:effectLst/>
              <a:latin typeface="+mn-lt"/>
              <a:ea typeface="+mn-ea"/>
              <a:cs typeface="+mn-cs"/>
            </a:rPr>
            <a:t>After Stata has drawn one of the graphs based on user specified preferences, Stata will ask if the user wants to draw other graphs (using the same sample). If the user types “yes” and presses the Enter key, the previously shown question that asked about which graph to draw will reappear. The user can then choose again to draw another graph. If the user types anything else in response to the question about drawing more graphs, then Stata will ask the user if the user wants to continue in the interactive mode. If the user types “yes,” the interactive mode will repeat itself once again. If the user types something else, the do-file will exit after reminding the user that the user can execute the do-file again to try other modes. </a:t>
          </a:r>
        </a:p>
        <a:p>
          <a:r>
            <a:rPr lang="en-US" sz="1100">
              <a:solidFill>
                <a:schemeClr val="dk1"/>
              </a:solidFill>
              <a:effectLst/>
              <a:latin typeface="+mn-lt"/>
              <a:ea typeface="+mn-ea"/>
              <a:cs typeface="+mn-cs"/>
            </a:rPr>
            <a:t>Finally, at the very beginning of the interactive mode, the user could have also chosen to run Monte Carlo simulations by selecting 3 and pressing the Enter key. The next question that Stata will ask is to specify the sample size that will be used the simulation. Stata will then ask how many repetitions to use for the simulation. The user will then select one of the three probabilities of selection by typing 1, 2, or 3 and pressing the Enter key. Stata will then draw the specified number of samples of specified sample size, run a regression for each sample, store the values of slope coefficients for each sample as scalars and then calculate the average and standard deviations of the slope coefficients. The average and standard deviation of the Monte Carlo simulation will then be displayed. </a:t>
          </a:r>
        </a:p>
        <a:p>
          <a:r>
            <a:rPr lang="en-US" sz="1100">
              <a:solidFill>
                <a:schemeClr val="dk1"/>
              </a:solidFill>
              <a:effectLst/>
              <a:latin typeface="+mn-lt"/>
              <a:ea typeface="+mn-ea"/>
              <a:cs typeface="+mn-cs"/>
            </a:rPr>
            <a:t>After Stata has finished a particular task in the interactive mode, at the very end it asks the user if the user wants to continue in the interactive model or exit the do-file. If the user types “yes” to this question, then the interactive mode starts again.  </a:t>
          </a:r>
        </a:p>
        <a:p>
          <a:endParaRPr lang="en-US" sz="1100"/>
        </a:p>
      </xdr:txBody>
    </xdr:sp>
    <xdr:clientData/>
  </xdr:twoCellAnchor>
  <xdr:twoCellAnchor editAs="oneCell">
    <xdr:from>
      <xdr:col>14</xdr:col>
      <xdr:colOff>0</xdr:colOff>
      <xdr:row>33</xdr:row>
      <xdr:rowOff>0</xdr:rowOff>
    </xdr:from>
    <xdr:to>
      <xdr:col>20</xdr:col>
      <xdr:colOff>419100</xdr:colOff>
      <xdr:row>46</xdr:row>
      <xdr:rowOff>7620</xdr:rowOff>
    </xdr:to>
    <xdr:pic>
      <xdr:nvPicPr>
        <xdr:cNvPr id="2554951" name="Picture 2">
          <a:extLst>
            <a:ext uri="{FF2B5EF4-FFF2-40B4-BE49-F238E27FC236}">
              <a16:creationId xmlns:a16="http://schemas.microsoft.com/office/drawing/2014/main" id="{00000000-0008-0000-0500-000047FC2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6035040"/>
          <a:ext cx="4076700" cy="23850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571500</xdr:colOff>
      <xdr:row>18</xdr:row>
      <xdr:rowOff>30480</xdr:rowOff>
    </xdr:from>
    <xdr:to>
      <xdr:col>7</xdr:col>
      <xdr:colOff>533400</xdr:colOff>
      <xdr:row>41</xdr:row>
      <xdr:rowOff>167640</xdr:rowOff>
    </xdr:to>
    <xdr:pic>
      <xdr:nvPicPr>
        <xdr:cNvPr id="2546848" name="Picture 1" descr="Wor341.png">
          <a:extLst>
            <a:ext uri="{FF2B5EF4-FFF2-40B4-BE49-F238E27FC236}">
              <a16:creationId xmlns:a16="http://schemas.microsoft.com/office/drawing/2014/main" id="{00000000-0008-0000-0600-0000A0DC26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0" y="3345180"/>
          <a:ext cx="6484620" cy="4389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46</xdr:row>
      <xdr:rowOff>68580</xdr:rowOff>
    </xdr:from>
    <xdr:to>
      <xdr:col>8</xdr:col>
      <xdr:colOff>22860</xdr:colOff>
      <xdr:row>74</xdr:row>
      <xdr:rowOff>198120</xdr:rowOff>
    </xdr:to>
    <xdr:pic>
      <xdr:nvPicPr>
        <xdr:cNvPr id="2546849" name="Picture 2" descr="Wor342.png">
          <a:extLst>
            <a:ext uri="{FF2B5EF4-FFF2-40B4-BE49-F238E27FC236}">
              <a16:creationId xmlns:a16="http://schemas.microsoft.com/office/drawing/2014/main" id="{00000000-0008-0000-0600-0000A1DC26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 y="8572500"/>
          <a:ext cx="6576060" cy="5234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114300</xdr:colOff>
      <xdr:row>13</xdr:row>
      <xdr:rowOff>68580</xdr:rowOff>
    </xdr:from>
    <xdr:to>
      <xdr:col>28</xdr:col>
      <xdr:colOff>381000</xdr:colOff>
      <xdr:row>27</xdr:row>
      <xdr:rowOff>198120</xdr:rowOff>
    </xdr:to>
    <xdr:pic>
      <xdr:nvPicPr>
        <xdr:cNvPr id="2546850" name="Picture 4" descr="Wor397.png">
          <a:extLst>
            <a:ext uri="{FF2B5EF4-FFF2-40B4-BE49-F238E27FC236}">
              <a16:creationId xmlns:a16="http://schemas.microsoft.com/office/drawing/2014/main" id="{00000000-0008-0000-0600-0000A2DC26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491460" y="2461260"/>
          <a:ext cx="4693920" cy="2689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135255</xdr:colOff>
      <xdr:row>48</xdr:row>
      <xdr:rowOff>45720</xdr:rowOff>
    </xdr:from>
    <xdr:to>
      <xdr:col>10</xdr:col>
      <xdr:colOff>601</xdr:colOff>
      <xdr:row>58</xdr:row>
      <xdr:rowOff>3228</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6410325" y="9629775"/>
          <a:ext cx="1714499" cy="1838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0" i="0" u="none" strike="noStrike">
              <a:solidFill>
                <a:schemeClr val="dk1"/>
              </a:solidFill>
              <a:latin typeface="+mn-lt"/>
              <a:ea typeface="+mn-ea"/>
              <a:cs typeface="+mn-cs"/>
            </a:rPr>
            <a:t>The code leaves the array the same size, but</a:t>
          </a:r>
          <a:r>
            <a:rPr lang="en-US"/>
            <a:t> </a:t>
          </a:r>
          <a:r>
            <a:rPr lang="en-US" sz="1100" b="0" i="0" u="none" strike="noStrike">
              <a:solidFill>
                <a:schemeClr val="dk1"/>
              </a:solidFill>
              <a:latin typeface="+mn-lt"/>
              <a:ea typeface="+mn-ea"/>
              <a:cs typeface="+mn-cs"/>
            </a:rPr>
            <a:t>the only rows that matter are 1 to </a:t>
          </a:r>
        </a:p>
        <a:p>
          <a:pPr>
            <a:lnSpc>
              <a:spcPts val="1200"/>
            </a:lnSpc>
          </a:pPr>
          <a:r>
            <a:rPr lang="en-US" sz="1100" b="0" i="0" u="none" strike="noStrike">
              <a:solidFill>
                <a:schemeClr val="dk1"/>
              </a:solidFill>
              <a:latin typeface="+mn-lt"/>
              <a:ea typeface="+mn-ea"/>
              <a:cs typeface="+mn-cs"/>
            </a:rPr>
            <a:t>n-already-sampled-rows.</a:t>
          </a:r>
          <a:r>
            <a:rPr lang="en-US"/>
            <a:t> </a:t>
          </a:r>
          <a:r>
            <a:rPr lang="en-US" sz="1100" b="0" i="0" u="none" strike="noStrike">
              <a:solidFill>
                <a:schemeClr val="dk1"/>
              </a:solidFill>
              <a:latin typeface="+mn-lt"/>
              <a:ea typeface="+mn-ea"/>
              <a:cs typeface="+mn-cs"/>
            </a:rPr>
            <a:t>In the second pass, in the example to the left,</a:t>
          </a:r>
          <a:r>
            <a:rPr lang="en-US"/>
            <a:t> </a:t>
          </a:r>
          <a:r>
            <a:rPr lang="en-US" sz="1100" b="0" i="0" u="none" strike="noStrike">
              <a:solidFill>
                <a:schemeClr val="dk1"/>
              </a:solidFill>
              <a:latin typeface="+mn-lt"/>
              <a:ea typeface="+mn-ea"/>
              <a:cs typeface="+mn-cs"/>
            </a:rPr>
            <a:t>only rows 1 to 3 matter (row 2 was</a:t>
          </a:r>
          <a:r>
            <a:rPr lang="en-US"/>
            <a:t> </a:t>
          </a:r>
          <a:r>
            <a:rPr lang="en-US" sz="1100" b="0" i="0" u="none" strike="noStrike">
              <a:solidFill>
                <a:schemeClr val="dk1"/>
              </a:solidFill>
              <a:latin typeface="+mn-lt"/>
              <a:ea typeface="+mn-ea"/>
              <a:cs typeface="+mn-cs"/>
            </a:rPr>
            <a:t>sampled and removed from the initial array).</a:t>
          </a:r>
          <a:r>
            <a:rPr lang="en-US"/>
            <a:t> </a:t>
          </a:r>
          <a:r>
            <a:rPr lang="en-US" sz="1100" b="0" i="0" u="none" strike="noStrike">
              <a:solidFill>
                <a:schemeClr val="dk1"/>
              </a:solidFill>
              <a:latin typeface="+mn-lt"/>
              <a:ea typeface="+mn-ea"/>
              <a:cs typeface="+mn-cs"/>
            </a:rPr>
            <a:t>The last row is not used.</a:t>
          </a:r>
          <a:r>
            <a:rPr lang="en-US"/>
            <a:t> </a:t>
          </a:r>
          <a:endParaRPr lang="en-US" sz="1100"/>
        </a:p>
      </xdr:txBody>
    </xdr:sp>
    <xdr:clientData/>
  </xdr:twoCellAnchor>
  <mc:AlternateContent xmlns:mc="http://schemas.openxmlformats.org/markup-compatibility/2006">
    <mc:Choice xmlns:a14="http://schemas.microsoft.com/office/drawing/2010/main" Requires="a14">
      <xdr:twoCellAnchor>
        <xdr:from>
          <xdr:col>10</xdr:col>
          <xdr:colOff>556260</xdr:colOff>
          <xdr:row>13</xdr:row>
          <xdr:rowOff>121920</xdr:rowOff>
        </xdr:from>
        <xdr:to>
          <xdr:col>11</xdr:col>
          <xdr:colOff>731520</xdr:colOff>
          <xdr:row>15</xdr:row>
          <xdr:rowOff>121920</xdr:rowOff>
        </xdr:to>
        <xdr:sp macro="" textlink="">
          <xdr:nvSpPr>
            <xdr:cNvPr id="1535270" name="ButtonOLS" hidden="1">
              <a:extLst>
                <a:ext uri="{63B3BB69-23CF-44E3-9099-C40C66FF867C}">
                  <a14:compatExt spid="_x0000_s1535270"/>
                </a:ext>
                <a:ext uri="{FF2B5EF4-FFF2-40B4-BE49-F238E27FC236}">
                  <a16:creationId xmlns:a16="http://schemas.microsoft.com/office/drawing/2014/main" id="{00000000-0008-0000-0600-0000266D1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MC Sim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hbarreto\AppData\Roaming\Microsoft\AddIns\MCSim.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CSim4"/>
      <sheetName val="OneVarMCSim"/>
      <sheetName val="TwoVarMCSim"/>
      <sheetName val="Poisson"/>
      <sheetName val="MainModule"/>
    </sheetNames>
    <definedNames>
      <definedName name="sample"/>
      <definedName name="ShowMCForm"/>
    </defined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mberto Barreto" refreshedDate="40285.589339120372" createdVersion="1" refreshedVersion="3" recordCount="1000" upgradeOnRefresh="1" xr:uid="{00000000-000A-0000-FFFF-FFFF00000000}">
  <cacheSource type="worksheet">
    <worksheetSource ref="C1:D1001" sheet="DGP"/>
  </cacheSource>
  <cacheFields count="2">
    <cacheField name="Schooling (Years)" numFmtId="0">
      <sharedItems containsSemiMixedTypes="0" containsString="0" containsNumber="1" containsInteger="1" minValue="12" maxValue="16" count="5">
        <n v="14"/>
        <n v="13"/>
        <n v="15"/>
        <n v="12"/>
        <n v="16"/>
      </sharedItems>
    </cacheField>
    <cacheField name="Wage ($/hr)" numFmtId="0">
      <sharedItems containsSemiMixedTypes="0" containsString="0" containsNumber="1" minValue="7.97" maxValue="43.61" count="809">
        <n v="24.49"/>
        <n v="26.46"/>
        <n v="24.09"/>
        <n v="26.08"/>
        <n v="31.29"/>
        <n v="35.49"/>
        <n v="27.42"/>
        <n v="25.53"/>
        <n v="20.11"/>
        <n v="25.09"/>
        <n v="26.74"/>
        <n v="29.36"/>
        <n v="29.42"/>
        <n v="21.13"/>
        <n v="28.93"/>
        <n v="14.97"/>
        <n v="23.72"/>
        <n v="33.94"/>
        <n v="38.06"/>
        <n v="25.14"/>
        <n v="17.059999999999999"/>
        <n v="27.47"/>
        <n v="27.46"/>
        <n v="37.409999999999997"/>
        <n v="31.47"/>
        <n v="27.01"/>
        <n v="14.19"/>
        <n v="35.840000000000003"/>
        <n v="32.770000000000003"/>
        <n v="20.53"/>
        <n v="16.329999999999998"/>
        <n v="34.76"/>
        <n v="29.97"/>
        <n v="29.89"/>
        <n v="21.62"/>
        <n v="19.2"/>
        <n v="26.99"/>
        <n v="33.200000000000003"/>
        <n v="14.36"/>
        <n v="23.09"/>
        <n v="29.49"/>
        <n v="28.23"/>
        <n v="30"/>
        <n v="26.92"/>
        <n v="25.29"/>
        <n v="23.32"/>
        <n v="32"/>
        <n v="43.61"/>
        <n v="25.79"/>
        <n v="36.07"/>
        <n v="31.49"/>
        <n v="32.619999999999997"/>
        <n v="31.81"/>
        <n v="33.29"/>
        <n v="27.98"/>
        <n v="26.95"/>
        <n v="21.31"/>
        <n v="24.93"/>
        <n v="30.73"/>
        <n v="22.92"/>
        <n v="24.07"/>
        <n v="23.21"/>
        <n v="17.09"/>
        <n v="29.94"/>
        <n v="36.700000000000003"/>
        <n v="23.49"/>
        <n v="34.71"/>
        <n v="28.5"/>
        <n v="30.46"/>
        <n v="18.27"/>
        <n v="27.9"/>
        <n v="27.62"/>
        <n v="27.31"/>
        <n v="22.3"/>
        <n v="20.91"/>
        <n v="27.54"/>
        <n v="33.409999999999997"/>
        <n v="21.35"/>
        <n v="35.93"/>
        <n v="30.92"/>
        <n v="24.61"/>
        <n v="23.35"/>
        <n v="20.29"/>
        <n v="28.07"/>
        <n v="22.16"/>
        <n v="30.34"/>
        <n v="34.53"/>
        <n v="34.25"/>
        <n v="29.29"/>
        <n v="37.92"/>
        <n v="22.59"/>
        <n v="21.78"/>
        <n v="20.149999999999999"/>
        <n v="35.630000000000003"/>
        <n v="31.64"/>
        <n v="21.83"/>
        <n v="28.99"/>
        <n v="24.38"/>
        <n v="33.119999999999997"/>
        <n v="27.8"/>
        <n v="28.96"/>
        <n v="27.87"/>
        <n v="35.03"/>
        <n v="40.65"/>
        <n v="23.02"/>
        <n v="28.37"/>
        <n v="30.54"/>
        <n v="27.36"/>
        <n v="24.69"/>
        <n v="26.87"/>
        <n v="30.55"/>
        <n v="26.63"/>
        <n v="26.88"/>
        <n v="30.47"/>
        <n v="29.7"/>
        <n v="37.840000000000003"/>
        <n v="29.26"/>
        <n v="22.93"/>
        <n v="34.270000000000003"/>
        <n v="34.78"/>
        <n v="29.77"/>
        <n v="29.65"/>
        <n v="10.97"/>
        <n v="37.86"/>
        <n v="35.28"/>
        <n v="26.23"/>
        <n v="22.04"/>
        <n v="26.3"/>
        <n v="14.1"/>
        <n v="38.700000000000003"/>
        <n v="25.84"/>
        <n v="32.840000000000003"/>
        <n v="27.02"/>
        <n v="33.729999999999997"/>
        <n v="30.52"/>
        <n v="31.63"/>
        <n v="20.239999999999998"/>
        <n v="35.22"/>
        <n v="28.6"/>
        <n v="7.97"/>
        <n v="28.58"/>
        <n v="29.08"/>
        <n v="27.13"/>
        <n v="33.159999999999997"/>
        <n v="25.28"/>
        <n v="34.840000000000003"/>
        <n v="20.89"/>
        <n v="38.67"/>
        <n v="23.45"/>
        <n v="24.57"/>
        <n v="31.4"/>
        <n v="34.200000000000003"/>
        <n v="22.12"/>
        <n v="33.56"/>
        <n v="28.41"/>
        <n v="26.9"/>
        <n v="27.6"/>
        <n v="19.47"/>
        <n v="35.68"/>
        <n v="32.65"/>
        <n v="28.61"/>
        <n v="21.63"/>
        <n v="25.48"/>
        <n v="29.71"/>
        <n v="27.49"/>
        <n v="30.61"/>
        <n v="28.52"/>
        <n v="30.29"/>
        <n v="27.61"/>
        <n v="19.75"/>
        <n v="24.62"/>
        <n v="33.28"/>
        <n v="22.47"/>
        <n v="32.1"/>
        <n v="33.33"/>
        <n v="36.15"/>
        <n v="29.83"/>
        <n v="28.27"/>
        <n v="34.590000000000003"/>
        <n v="19.309999999999999"/>
        <n v="18.72"/>
        <n v="22.02"/>
        <n v="30.51"/>
        <n v="28.82"/>
        <n v="30.18"/>
        <n v="15.92"/>
        <n v="33.75"/>
        <n v="37.049999999999997"/>
        <n v="27.09"/>
        <n v="38.19"/>
        <n v="28.29"/>
        <n v="28.51"/>
        <n v="18.5"/>
        <n v="41.04"/>
        <n v="31.31"/>
        <n v="26.1"/>
        <n v="39.44"/>
        <n v="21.26"/>
        <n v="20.83"/>
        <n v="26.32"/>
        <n v="26.7"/>
        <n v="27.71"/>
        <n v="26.77"/>
        <n v="31.72"/>
        <n v="29.18"/>
        <n v="22.99"/>
        <n v="32.85"/>
        <n v="24.59"/>
        <n v="20.02"/>
        <n v="34.35"/>
        <n v="20.63"/>
        <n v="26.83"/>
        <n v="33.47"/>
        <n v="23.22"/>
        <n v="27.76"/>
        <n v="26.18"/>
        <n v="22.83"/>
        <n v="26.72"/>
        <n v="25.67"/>
        <n v="29.98"/>
        <n v="35.79"/>
        <n v="33.67"/>
        <n v="26.73"/>
        <n v="25.23"/>
        <n v="38.020000000000003"/>
        <n v="24.89"/>
        <n v="20.87"/>
        <n v="31.83"/>
        <n v="35.659999999999997"/>
        <n v="31.45"/>
        <n v="21.91"/>
        <n v="34.19"/>
        <n v="31.61"/>
        <n v="35.72"/>
        <n v="16.46"/>
        <n v="30.72"/>
        <n v="33.79"/>
        <n v="24.14"/>
        <n v="21.17"/>
        <n v="23.1"/>
        <n v="23.81"/>
        <n v="26.68"/>
        <n v="27.97"/>
        <n v="38.869999999999997"/>
        <n v="27.53"/>
        <n v="25.31"/>
        <n v="26.84"/>
        <n v="22.8"/>
        <n v="17.46"/>
        <n v="17.899999999999999"/>
        <n v="33.840000000000003"/>
        <n v="28.72"/>
        <n v="26.22"/>
        <n v="29.81"/>
        <n v="40.020000000000003"/>
        <n v="25.49"/>
        <n v="34.07"/>
        <n v="38.42"/>
        <n v="20.100000000000001"/>
        <n v="27.65"/>
        <n v="29.95"/>
        <n v="16.95"/>
        <n v="34.770000000000003"/>
        <n v="29.06"/>
        <n v="23.63"/>
        <n v="32.799999999999997"/>
        <n v="28.19"/>
        <n v="31.97"/>
        <n v="21.93"/>
        <n v="24.3"/>
        <n v="30.05"/>
        <n v="36.35"/>
        <n v="19.239999999999998"/>
        <n v="23.96"/>
        <n v="29.13"/>
        <n v="36.78"/>
        <n v="26.89"/>
        <n v="31.65"/>
        <n v="33.950000000000003"/>
        <n v="27.78"/>
        <n v="25.17"/>
        <n v="25.61"/>
        <n v="17.760000000000002"/>
        <n v="18.75"/>
        <n v="23.23"/>
        <n v="22.05"/>
        <n v="22.98"/>
        <n v="34.93"/>
        <n v="23.03"/>
        <n v="31.33"/>
        <n v="18.23"/>
        <n v="32.380000000000003"/>
        <n v="21.98"/>
        <n v="30.5"/>
        <n v="32.76"/>
        <n v="24.68"/>
        <n v="28.26"/>
        <n v="16.16"/>
        <n v="31.15"/>
        <n v="27.26"/>
        <n v="24.29"/>
        <n v="30.14"/>
        <n v="21.19"/>
        <n v="22.22"/>
        <n v="23.95"/>
        <n v="22.61"/>
        <n v="22.25"/>
        <n v="25.1"/>
        <n v="33.590000000000003"/>
        <n v="34.08"/>
        <n v="25.77"/>
        <n v="29.03"/>
        <n v="21.94"/>
        <n v="15.11"/>
        <n v="20.18"/>
        <n v="26.29"/>
        <n v="27.35"/>
        <n v="31.93"/>
        <n v="27.64"/>
        <n v="29.21"/>
        <n v="35.51"/>
        <n v="33.43"/>
        <n v="24.77"/>
        <n v="26.13"/>
        <n v="29.96"/>
        <n v="20.13"/>
        <n v="34.47"/>
        <n v="39.299999999999997"/>
        <n v="27.84"/>
        <n v="35.380000000000003"/>
        <n v="24.24"/>
        <n v="32.979999999999997"/>
        <n v="28.39"/>
        <n v="23.01"/>
        <n v="35.74"/>
        <n v="24.87"/>
        <n v="26.41"/>
        <n v="18.239999999999998"/>
        <n v="24.97"/>
        <n v="18.68"/>
        <n v="28.69"/>
        <n v="35.06"/>
        <n v="27.2"/>
        <n v="34.6"/>
        <n v="34.799999999999997"/>
        <n v="27.15"/>
        <n v="38.29"/>
        <n v="23.57"/>
        <n v="25.02"/>
        <n v="24.12"/>
        <n v="29.47"/>
        <n v="31.77"/>
        <n v="31.85"/>
        <n v="32.39"/>
        <n v="25.36"/>
        <n v="39.380000000000003"/>
        <n v="22.01"/>
        <n v="27.23"/>
        <n v="21.38"/>
        <n v="27.04"/>
        <n v="24.05"/>
        <n v="22.28"/>
        <n v="27.27"/>
        <n v="25.94"/>
        <n v="29.52"/>
        <n v="31.92"/>
        <n v="27.67"/>
        <n v="26.94"/>
        <n v="34.58"/>
        <n v="25.98"/>
        <n v="20.37"/>
        <n v="31.9"/>
        <n v="19.690000000000001"/>
        <n v="15.76"/>
        <n v="24.1"/>
        <n v="32.93"/>
        <n v="32.020000000000003"/>
        <n v="30.39"/>
        <n v="32.630000000000003"/>
        <n v="25.97"/>
        <n v="17.48"/>
        <n v="32.21"/>
        <n v="30.35"/>
        <n v="34.020000000000003"/>
        <n v="21.54"/>
        <n v="33.89"/>
        <n v="25.42"/>
        <n v="22.63"/>
        <n v="31.11"/>
        <n v="31.46"/>
        <n v="29.23"/>
        <n v="25.12"/>
        <n v="29.63"/>
        <n v="24.37"/>
        <n v="30.53"/>
        <n v="24.13"/>
        <n v="36.340000000000003"/>
        <n v="29.51"/>
        <n v="36.58"/>
        <n v="28.32"/>
        <n v="30.86"/>
        <n v="31.18"/>
        <n v="31.3"/>
        <n v="18.79"/>
        <n v="24.7"/>
        <n v="28.78"/>
        <n v="22.78"/>
        <n v="29.17"/>
        <n v="33.03"/>
        <n v="41.15"/>
        <n v="32.5"/>
        <n v="28.48"/>
        <n v="30.63"/>
        <n v="23.97"/>
        <n v="21.82"/>
        <n v="35.200000000000003"/>
        <n v="24.41"/>
        <n v="30.12"/>
        <n v="16.86"/>
        <n v="22.15"/>
        <n v="41.5"/>
        <n v="37.020000000000003"/>
        <n v="24.55"/>
        <n v="21.44"/>
        <n v="25.08"/>
        <n v="31.59"/>
        <n v="23.68"/>
        <n v="38.08"/>
        <n v="27.29"/>
        <n v="31.22"/>
        <n v="22.52"/>
        <n v="20.45"/>
        <n v="15.13"/>
        <n v="18.559999999999999"/>
        <n v="30.25"/>
        <n v="27.63"/>
        <n v="32.28"/>
        <n v="26.57"/>
        <n v="14.67"/>
        <n v="15.96"/>
        <n v="13.81"/>
        <n v="23.19"/>
        <n v="28.97"/>
        <n v="19.53"/>
        <n v="25.99"/>
        <n v="27.89"/>
        <n v="35.9"/>
        <n v="29.92"/>
        <n v="22.34"/>
        <n v="36.840000000000003"/>
        <n v="35.450000000000003"/>
        <n v="36.44"/>
        <n v="22.88"/>
        <n v="34.26"/>
        <n v="20.04"/>
        <n v="30.26"/>
        <n v="27.34"/>
        <n v="19.809999999999999"/>
        <n v="36.82"/>
        <n v="43.36"/>
        <n v="29.5"/>
        <n v="26.6"/>
        <n v="24.28"/>
        <n v="31.5"/>
        <n v="31.99"/>
        <n v="21.73"/>
        <n v="28.91"/>
        <n v="28.13"/>
        <n v="26.16"/>
        <n v="26.67"/>
        <n v="34.9"/>
        <n v="19.940000000000001"/>
        <n v="34.06"/>
        <n v="19.12"/>
        <n v="31.14"/>
        <n v="20.260000000000002"/>
        <n v="22.48"/>
        <n v="34.14"/>
        <n v="30.76"/>
        <n v="30.06"/>
        <n v="42.81"/>
        <n v="26.2"/>
        <n v="26.48"/>
        <n v="25.81"/>
        <n v="26.75"/>
        <n v="22.43"/>
        <n v="40.130000000000003"/>
        <n v="25.73"/>
        <n v="22.95"/>
        <n v="33.25"/>
        <n v="19.61"/>
        <n v="23"/>
        <n v="15.86"/>
        <n v="30.83"/>
        <n v="26.52"/>
        <n v="28.92"/>
        <n v="19.28"/>
        <n v="29.09"/>
        <n v="22.39"/>
        <n v="28.75"/>
        <n v="30.87"/>
        <n v="25.62"/>
        <n v="24.71"/>
        <n v="22.37"/>
        <n v="28.09"/>
        <n v="37.130000000000003"/>
        <n v="38.36"/>
        <n v="37.03"/>
        <n v="25.9"/>
        <n v="19.54"/>
        <n v="29.02"/>
        <n v="25.13"/>
        <n v="35.6"/>
        <n v="28.7"/>
        <n v="20.010000000000002"/>
        <n v="32.909999999999997"/>
        <n v="31.37"/>
        <n v="23.71"/>
        <n v="30.98"/>
        <n v="33.78"/>
        <n v="18.03"/>
        <n v="20.14"/>
        <n v="23.9"/>
        <n v="28.66"/>
        <n v="25.2"/>
        <n v="19.18"/>
        <n v="22.71"/>
        <n v="34.85"/>
        <n v="18.14"/>
        <n v="25.19"/>
        <n v="29.87"/>
        <n v="32.54"/>
        <n v="32.950000000000003"/>
        <n v="24.42"/>
        <n v="31.68"/>
        <n v="22.53"/>
        <n v="23.53"/>
        <n v="37.15"/>
        <n v="39.03"/>
        <n v="28.57"/>
        <n v="32.229999999999997"/>
        <n v="32.89"/>
        <n v="29.73"/>
        <n v="27.82"/>
        <n v="26.25"/>
        <n v="22.9"/>
        <n v="31.58"/>
        <n v="37.4"/>
        <n v="27.37"/>
        <n v="28.43"/>
        <n v="30.44"/>
        <n v="17.510000000000002"/>
        <n v="31.82"/>
        <n v="14.15"/>
        <n v="27.28"/>
        <n v="30.9"/>
        <n v="29.41"/>
        <n v="10.98"/>
        <n v="16.57"/>
        <n v="23.88"/>
        <n v="22.24"/>
        <n v="18.46"/>
        <n v="23.75"/>
        <n v="29.68"/>
        <n v="24.21"/>
        <n v="19.829999999999998"/>
        <n v="26.34"/>
        <n v="26.28"/>
        <n v="30.89"/>
        <n v="21.9"/>
        <n v="35.24"/>
        <n v="40.96"/>
        <n v="30.3"/>
        <n v="30.8"/>
        <n v="26.78"/>
        <n v="33.74"/>
        <n v="32.42"/>
        <n v="30.77"/>
        <n v="28.77"/>
        <n v="32.01"/>
        <n v="27.81"/>
        <n v="26.58"/>
        <n v="26.61"/>
        <n v="37.97"/>
        <n v="21.37"/>
        <n v="27.5"/>
        <n v="31.27"/>
        <n v="29.22"/>
        <n v="35.75"/>
        <n v="32.32"/>
        <n v="29.6"/>
        <n v="42.17"/>
        <n v="27.58"/>
        <n v="25.45"/>
        <n v="23.05"/>
        <n v="28.06"/>
        <n v="36.08"/>
        <n v="29.32"/>
        <n v="24.46"/>
        <n v="24.9"/>
        <n v="37.58"/>
        <n v="17.62"/>
        <n v="25.68"/>
        <n v="23.74"/>
        <n v="27.51"/>
        <n v="18.57"/>
        <n v="31.89"/>
        <n v="24.51"/>
        <n v="32.11"/>
        <n v="24.65"/>
        <n v="26.36"/>
        <n v="20.86"/>
        <n v="30.56"/>
        <n v="31.08"/>
        <n v="35.950000000000003"/>
        <n v="29.3"/>
        <n v="32.24"/>
        <n v="30.36"/>
        <n v="34.049999999999997"/>
        <n v="30.82"/>
        <n v="16.559999999999999"/>
        <n v="25.93"/>
        <n v="28.68"/>
        <n v="25.71"/>
        <n v="27.55"/>
        <n v="35.049999999999997"/>
        <n v="34.72"/>
        <n v="20.93"/>
        <n v="30.2"/>
        <n v="24.31"/>
        <n v="28.59"/>
        <n v="35.67"/>
        <n v="27.56"/>
        <n v="17.97"/>
        <n v="24.47"/>
        <n v="29.12"/>
        <n v="24.32"/>
        <n v="22.2"/>
        <n v="13.75"/>
        <n v="28.34"/>
        <n v="22.18"/>
        <n v="22.13"/>
        <n v="27.93"/>
        <n v="33.01"/>
        <n v="33.17"/>
        <n v="22.96"/>
        <n v="22.65"/>
        <n v="26.91"/>
        <n v="28.35"/>
        <n v="25.56"/>
        <n v="26.21"/>
        <n v="32.19"/>
        <n v="28.2"/>
        <n v="30.38"/>
        <n v="20.73"/>
        <n v="25.05"/>
        <n v="33.229999999999997"/>
        <n v="30.23"/>
        <n v="24.67"/>
        <n v="35.270000000000003"/>
        <n v="13.29"/>
        <n v="31.87"/>
        <n v="19.350000000000001"/>
        <n v="23.78"/>
        <n v="25.83"/>
        <n v="16.82"/>
        <n v="34.96"/>
        <n v="21.72"/>
        <n v="23.3"/>
        <n v="25.27"/>
        <n v="30.32"/>
        <n v="27.86"/>
        <n v="30.75"/>
        <n v="22.82"/>
        <n v="26.05"/>
        <n v="24.98"/>
        <n v="26.26"/>
        <n v="28.53"/>
        <n v="36.92"/>
        <n v="36.619999999999997"/>
        <n v="26.54"/>
        <n v="31.41"/>
        <n v="32.56"/>
        <n v="32.159999999999997"/>
        <n v="34.17"/>
        <n v="26.02"/>
        <n v="27.72"/>
        <n v="24.56"/>
        <n v="27.77"/>
        <n v="23.04"/>
        <n v="35.58"/>
        <n v="39.81"/>
        <n v="37.909999999999997"/>
        <n v="19.010000000000002"/>
        <n v="33.450000000000003"/>
        <n v="22.87"/>
        <n v="19.920000000000002"/>
        <n v="20.309999999999999"/>
        <n v="19.62"/>
        <n v="30.11"/>
        <n v="21.57"/>
        <n v="33.39"/>
        <n v="27.14"/>
        <n v="22.91"/>
        <n v="38.71"/>
        <n v="29.2"/>
        <n v="17.600000000000001"/>
        <n v="35.869999999999997"/>
        <n v="31.34"/>
        <n v="35.21"/>
        <n v="27.68"/>
        <n v="34.92"/>
        <n v="34.4"/>
        <n v="20.57"/>
        <n v="28.87"/>
        <n v="30.94"/>
        <n v="24.17"/>
        <n v="24.86"/>
        <n v="25.35"/>
        <n v="33.68"/>
        <n v="28.55"/>
        <n v="27.41"/>
        <n v="42.82"/>
        <n v="25.06"/>
        <n v="19.84"/>
        <n v="21.68"/>
        <n v="36.130000000000003"/>
        <n v="18.940000000000001"/>
        <n v="19.34"/>
        <n v="22.7"/>
        <n v="38.99"/>
        <n v="33.130000000000003"/>
        <n v="34.39"/>
        <n v="24.52"/>
        <n v="28.83"/>
        <n v="31.19"/>
        <n v="31.16"/>
        <n v="20.09"/>
        <n v="31.55"/>
        <n v="26.53"/>
        <n v="34.74"/>
        <n v="27.24"/>
        <n v="22.64"/>
        <n v="33.869999999999997"/>
        <n v="25.74"/>
        <n v="26.04"/>
        <n v="20.25"/>
        <n v="22.73"/>
        <n v="30.58"/>
        <n v="21.09"/>
        <n v="21.03"/>
        <n v="21.97"/>
        <n v="35.81"/>
        <n v="26.62"/>
        <n v="40.69"/>
        <n v="29.59"/>
        <n v="21.66"/>
        <n v="31.96"/>
        <n v="27.33"/>
        <n v="23.83"/>
        <n v="25.41"/>
        <n v="28.24"/>
        <n v="36.79"/>
        <n v="32.58"/>
        <n v="29.25"/>
        <n v="23.26"/>
        <n v="25.01"/>
        <n v="21.23"/>
        <n v="28.25"/>
        <n v="26.4"/>
        <n v="27.52"/>
        <n v="26.98"/>
        <n v="15.05"/>
        <n v="31.17"/>
        <n v="36.450000000000003"/>
        <n v="24.54"/>
        <n v="26.45"/>
        <n v="33.1"/>
        <n v="37.119999999999997"/>
        <n v="33.659999999999997"/>
        <n v="24.84"/>
        <n v="19.09"/>
        <n v="35.89"/>
        <n v="29"/>
        <n v="24.08"/>
        <n v="27.94"/>
        <n v="26.5"/>
        <n v="33.380000000000003"/>
        <n v="24.36"/>
        <n v="30.43"/>
        <n v="31.23"/>
        <n v="22.76"/>
        <n v="34.57"/>
        <n v="41.29"/>
        <n v="26.42"/>
        <n v="23.41"/>
        <n v="24.11"/>
        <n v="31.01"/>
        <n v="41.55"/>
        <n v="18.48"/>
        <n v="17.829999999999998"/>
        <n v="20.61"/>
        <n v="27.22"/>
        <n v="32.71"/>
        <n v="32.700000000000003"/>
        <n v="34.630000000000003"/>
        <n v="40.85"/>
        <n v="37.68"/>
        <n v="26.33"/>
      </sharedItems>
      <fieldGroup base="1">
        <rangePr startNum="7.97" endNum="43.61" groupInterval="5"/>
        <groupItems count="10">
          <s v="&lt;7.97"/>
          <s v="7.97-12.97"/>
          <s v="12.97-17.97"/>
          <s v="17.97-22.97"/>
          <s v="22.97-27.97"/>
          <s v="27.97-32.97"/>
          <s v="32.97-37.97"/>
          <s v="37.97-42.97"/>
          <s v="42.97-47.97"/>
          <s v="&gt;47.9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mberto Barreto" refreshedDate="45980.704994097221" createdVersion="7" refreshedVersion="7" recordCount="100" xr:uid="{00000000-000A-0000-FFFF-FFFF0F010000}">
  <cacheSource type="worksheet">
    <worksheetSource ref="R1:T101" sheet="DGP"/>
  </cacheSource>
  <cacheFields count="3">
    <cacheField name="Prob 1st Draw" numFmtId="167">
      <sharedItems containsSemiMixedTypes="0" containsString="0" containsNumber="1" minValue="1E-3" maxValue="1E-3"/>
    </cacheField>
    <cacheField name="Schooling (Years)" numFmtId="0">
      <sharedItems containsSemiMixedTypes="0" containsString="0" containsNumber="1" containsInteger="1" minValue="12" maxValue="16" count="5">
        <n v="15"/>
        <n v="16"/>
        <n v="13"/>
        <n v="12"/>
        <n v="14"/>
      </sharedItems>
    </cacheField>
    <cacheField name="Wage ($/hr)" numFmtId="44">
      <sharedItems containsSemiMixedTypes="0" containsString="0" containsNumber="1" minValue="14.15" maxValue="42.8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00">
  <r>
    <x v="0"/>
    <x v="0"/>
  </r>
  <r>
    <x v="0"/>
    <x v="1"/>
  </r>
  <r>
    <x v="1"/>
    <x v="2"/>
  </r>
  <r>
    <x v="2"/>
    <x v="3"/>
  </r>
  <r>
    <x v="1"/>
    <x v="4"/>
  </r>
  <r>
    <x v="2"/>
    <x v="5"/>
  </r>
  <r>
    <x v="2"/>
    <x v="6"/>
  </r>
  <r>
    <x v="0"/>
    <x v="7"/>
  </r>
  <r>
    <x v="3"/>
    <x v="8"/>
  </r>
  <r>
    <x v="1"/>
    <x v="9"/>
  </r>
  <r>
    <x v="2"/>
    <x v="10"/>
  </r>
  <r>
    <x v="1"/>
    <x v="11"/>
  </r>
  <r>
    <x v="0"/>
    <x v="12"/>
  </r>
  <r>
    <x v="2"/>
    <x v="13"/>
  </r>
  <r>
    <x v="3"/>
    <x v="14"/>
  </r>
  <r>
    <x v="3"/>
    <x v="15"/>
  </r>
  <r>
    <x v="2"/>
    <x v="16"/>
  </r>
  <r>
    <x v="2"/>
    <x v="17"/>
  </r>
  <r>
    <x v="0"/>
    <x v="18"/>
  </r>
  <r>
    <x v="3"/>
    <x v="19"/>
  </r>
  <r>
    <x v="1"/>
    <x v="20"/>
  </r>
  <r>
    <x v="0"/>
    <x v="21"/>
  </r>
  <r>
    <x v="1"/>
    <x v="22"/>
  </r>
  <r>
    <x v="4"/>
    <x v="23"/>
  </r>
  <r>
    <x v="2"/>
    <x v="24"/>
  </r>
  <r>
    <x v="1"/>
    <x v="25"/>
  </r>
  <r>
    <x v="3"/>
    <x v="26"/>
  </r>
  <r>
    <x v="1"/>
    <x v="27"/>
  </r>
  <r>
    <x v="1"/>
    <x v="28"/>
  </r>
  <r>
    <x v="3"/>
    <x v="29"/>
  </r>
  <r>
    <x v="3"/>
    <x v="30"/>
  </r>
  <r>
    <x v="0"/>
    <x v="31"/>
  </r>
  <r>
    <x v="1"/>
    <x v="9"/>
  </r>
  <r>
    <x v="1"/>
    <x v="32"/>
  </r>
  <r>
    <x v="2"/>
    <x v="33"/>
  </r>
  <r>
    <x v="3"/>
    <x v="34"/>
  </r>
  <r>
    <x v="4"/>
    <x v="33"/>
  </r>
  <r>
    <x v="0"/>
    <x v="35"/>
  </r>
  <r>
    <x v="0"/>
    <x v="36"/>
  </r>
  <r>
    <x v="4"/>
    <x v="37"/>
  </r>
  <r>
    <x v="3"/>
    <x v="38"/>
  </r>
  <r>
    <x v="4"/>
    <x v="39"/>
  </r>
  <r>
    <x v="1"/>
    <x v="40"/>
  </r>
  <r>
    <x v="2"/>
    <x v="41"/>
  </r>
  <r>
    <x v="0"/>
    <x v="42"/>
  </r>
  <r>
    <x v="2"/>
    <x v="43"/>
  </r>
  <r>
    <x v="0"/>
    <x v="44"/>
  </r>
  <r>
    <x v="1"/>
    <x v="45"/>
  </r>
  <r>
    <x v="2"/>
    <x v="46"/>
  </r>
  <r>
    <x v="4"/>
    <x v="47"/>
  </r>
  <r>
    <x v="1"/>
    <x v="48"/>
  </r>
  <r>
    <x v="4"/>
    <x v="49"/>
  </r>
  <r>
    <x v="0"/>
    <x v="50"/>
  </r>
  <r>
    <x v="2"/>
    <x v="51"/>
  </r>
  <r>
    <x v="2"/>
    <x v="52"/>
  </r>
  <r>
    <x v="3"/>
    <x v="53"/>
  </r>
  <r>
    <x v="1"/>
    <x v="54"/>
  </r>
  <r>
    <x v="1"/>
    <x v="55"/>
  </r>
  <r>
    <x v="0"/>
    <x v="56"/>
  </r>
  <r>
    <x v="3"/>
    <x v="57"/>
  </r>
  <r>
    <x v="4"/>
    <x v="58"/>
  </r>
  <r>
    <x v="3"/>
    <x v="59"/>
  </r>
  <r>
    <x v="3"/>
    <x v="60"/>
  </r>
  <r>
    <x v="3"/>
    <x v="61"/>
  </r>
  <r>
    <x v="3"/>
    <x v="62"/>
  </r>
  <r>
    <x v="1"/>
    <x v="63"/>
  </r>
  <r>
    <x v="4"/>
    <x v="64"/>
  </r>
  <r>
    <x v="3"/>
    <x v="65"/>
  </r>
  <r>
    <x v="3"/>
    <x v="66"/>
  </r>
  <r>
    <x v="1"/>
    <x v="67"/>
  </r>
  <r>
    <x v="0"/>
    <x v="68"/>
  </r>
  <r>
    <x v="4"/>
    <x v="21"/>
  </r>
  <r>
    <x v="2"/>
    <x v="10"/>
  </r>
  <r>
    <x v="0"/>
    <x v="69"/>
  </r>
  <r>
    <x v="2"/>
    <x v="70"/>
  </r>
  <r>
    <x v="1"/>
    <x v="71"/>
  </r>
  <r>
    <x v="1"/>
    <x v="72"/>
  </r>
  <r>
    <x v="3"/>
    <x v="73"/>
  </r>
  <r>
    <x v="3"/>
    <x v="74"/>
  </r>
  <r>
    <x v="4"/>
    <x v="75"/>
  </r>
  <r>
    <x v="0"/>
    <x v="76"/>
  </r>
  <r>
    <x v="4"/>
    <x v="77"/>
  </r>
  <r>
    <x v="4"/>
    <x v="78"/>
  </r>
  <r>
    <x v="4"/>
    <x v="79"/>
  </r>
  <r>
    <x v="1"/>
    <x v="80"/>
  </r>
  <r>
    <x v="1"/>
    <x v="81"/>
  </r>
  <r>
    <x v="1"/>
    <x v="82"/>
  </r>
  <r>
    <x v="1"/>
    <x v="83"/>
  </r>
  <r>
    <x v="3"/>
    <x v="84"/>
  </r>
  <r>
    <x v="1"/>
    <x v="85"/>
  </r>
  <r>
    <x v="4"/>
    <x v="86"/>
  </r>
  <r>
    <x v="4"/>
    <x v="87"/>
  </r>
  <r>
    <x v="0"/>
    <x v="88"/>
  </r>
  <r>
    <x v="2"/>
    <x v="89"/>
  </r>
  <r>
    <x v="3"/>
    <x v="90"/>
  </r>
  <r>
    <x v="1"/>
    <x v="91"/>
  </r>
  <r>
    <x v="0"/>
    <x v="92"/>
  </r>
  <r>
    <x v="4"/>
    <x v="93"/>
  </r>
  <r>
    <x v="0"/>
    <x v="94"/>
  </r>
  <r>
    <x v="0"/>
    <x v="95"/>
  </r>
  <r>
    <x v="3"/>
    <x v="96"/>
  </r>
  <r>
    <x v="0"/>
    <x v="97"/>
  </r>
  <r>
    <x v="0"/>
    <x v="98"/>
  </r>
  <r>
    <x v="0"/>
    <x v="99"/>
  </r>
  <r>
    <x v="2"/>
    <x v="100"/>
  </r>
  <r>
    <x v="2"/>
    <x v="29"/>
  </r>
  <r>
    <x v="4"/>
    <x v="101"/>
  </r>
  <r>
    <x v="2"/>
    <x v="102"/>
  </r>
  <r>
    <x v="4"/>
    <x v="103"/>
  </r>
  <r>
    <x v="3"/>
    <x v="104"/>
  </r>
  <r>
    <x v="3"/>
    <x v="105"/>
  </r>
  <r>
    <x v="2"/>
    <x v="106"/>
  </r>
  <r>
    <x v="3"/>
    <x v="107"/>
  </r>
  <r>
    <x v="4"/>
    <x v="108"/>
  </r>
  <r>
    <x v="0"/>
    <x v="109"/>
  </r>
  <r>
    <x v="2"/>
    <x v="28"/>
  </r>
  <r>
    <x v="2"/>
    <x v="110"/>
  </r>
  <r>
    <x v="2"/>
    <x v="111"/>
  </r>
  <r>
    <x v="0"/>
    <x v="112"/>
  </r>
  <r>
    <x v="1"/>
    <x v="113"/>
  </r>
  <r>
    <x v="2"/>
    <x v="114"/>
  </r>
  <r>
    <x v="4"/>
    <x v="115"/>
  </r>
  <r>
    <x v="1"/>
    <x v="116"/>
  </r>
  <r>
    <x v="2"/>
    <x v="117"/>
  </r>
  <r>
    <x v="0"/>
    <x v="118"/>
  </r>
  <r>
    <x v="4"/>
    <x v="119"/>
  </r>
  <r>
    <x v="0"/>
    <x v="120"/>
  </r>
  <r>
    <x v="0"/>
    <x v="121"/>
  </r>
  <r>
    <x v="4"/>
    <x v="32"/>
  </r>
  <r>
    <x v="3"/>
    <x v="122"/>
  </r>
  <r>
    <x v="4"/>
    <x v="123"/>
  </r>
  <r>
    <x v="4"/>
    <x v="124"/>
  </r>
  <r>
    <x v="2"/>
    <x v="125"/>
  </r>
  <r>
    <x v="1"/>
    <x v="126"/>
  </r>
  <r>
    <x v="2"/>
    <x v="127"/>
  </r>
  <r>
    <x v="1"/>
    <x v="128"/>
  </r>
  <r>
    <x v="4"/>
    <x v="129"/>
  </r>
  <r>
    <x v="0"/>
    <x v="130"/>
  </r>
  <r>
    <x v="2"/>
    <x v="131"/>
  </r>
  <r>
    <x v="0"/>
    <x v="132"/>
  </r>
  <r>
    <x v="0"/>
    <x v="133"/>
  </r>
  <r>
    <x v="0"/>
    <x v="134"/>
  </r>
  <r>
    <x v="1"/>
    <x v="135"/>
  </r>
  <r>
    <x v="3"/>
    <x v="136"/>
  </r>
  <r>
    <x v="4"/>
    <x v="137"/>
  </r>
  <r>
    <x v="0"/>
    <x v="138"/>
  </r>
  <r>
    <x v="1"/>
    <x v="97"/>
  </r>
  <r>
    <x v="3"/>
    <x v="139"/>
  </r>
  <r>
    <x v="1"/>
    <x v="140"/>
  </r>
  <r>
    <x v="4"/>
    <x v="141"/>
  </r>
  <r>
    <x v="1"/>
    <x v="136"/>
  </r>
  <r>
    <x v="2"/>
    <x v="142"/>
  </r>
  <r>
    <x v="2"/>
    <x v="143"/>
  </r>
  <r>
    <x v="2"/>
    <x v="144"/>
  </r>
  <r>
    <x v="0"/>
    <x v="145"/>
  </r>
  <r>
    <x v="3"/>
    <x v="146"/>
  </r>
  <r>
    <x v="2"/>
    <x v="147"/>
  </r>
  <r>
    <x v="2"/>
    <x v="148"/>
  </r>
  <r>
    <x v="3"/>
    <x v="149"/>
  </r>
  <r>
    <x v="2"/>
    <x v="150"/>
  </r>
  <r>
    <x v="0"/>
    <x v="151"/>
  </r>
  <r>
    <x v="4"/>
    <x v="152"/>
  </r>
  <r>
    <x v="3"/>
    <x v="153"/>
  </r>
  <r>
    <x v="3"/>
    <x v="154"/>
  </r>
  <r>
    <x v="0"/>
    <x v="155"/>
  </r>
  <r>
    <x v="2"/>
    <x v="156"/>
  </r>
  <r>
    <x v="1"/>
    <x v="157"/>
  </r>
  <r>
    <x v="0"/>
    <x v="158"/>
  </r>
  <r>
    <x v="3"/>
    <x v="159"/>
  </r>
  <r>
    <x v="3"/>
    <x v="160"/>
  </r>
  <r>
    <x v="3"/>
    <x v="106"/>
  </r>
  <r>
    <x v="4"/>
    <x v="161"/>
  </r>
  <r>
    <x v="1"/>
    <x v="162"/>
  </r>
  <r>
    <x v="2"/>
    <x v="163"/>
  </r>
  <r>
    <x v="3"/>
    <x v="164"/>
  </r>
  <r>
    <x v="3"/>
    <x v="165"/>
  </r>
  <r>
    <x v="0"/>
    <x v="166"/>
  </r>
  <r>
    <x v="2"/>
    <x v="167"/>
  </r>
  <r>
    <x v="3"/>
    <x v="168"/>
  </r>
  <r>
    <x v="2"/>
    <x v="169"/>
  </r>
  <r>
    <x v="1"/>
    <x v="170"/>
  </r>
  <r>
    <x v="4"/>
    <x v="171"/>
  </r>
  <r>
    <x v="0"/>
    <x v="172"/>
  </r>
  <r>
    <x v="1"/>
    <x v="173"/>
  </r>
  <r>
    <x v="0"/>
    <x v="174"/>
  </r>
  <r>
    <x v="0"/>
    <x v="175"/>
  </r>
  <r>
    <x v="4"/>
    <x v="176"/>
  </r>
  <r>
    <x v="1"/>
    <x v="177"/>
  </r>
  <r>
    <x v="4"/>
    <x v="178"/>
  </r>
  <r>
    <x v="3"/>
    <x v="179"/>
  </r>
  <r>
    <x v="1"/>
    <x v="180"/>
  </r>
  <r>
    <x v="0"/>
    <x v="181"/>
  </r>
  <r>
    <x v="4"/>
    <x v="182"/>
  </r>
  <r>
    <x v="0"/>
    <x v="183"/>
  </r>
  <r>
    <x v="0"/>
    <x v="184"/>
  </r>
  <r>
    <x v="3"/>
    <x v="185"/>
  </r>
  <r>
    <x v="4"/>
    <x v="186"/>
  </r>
  <r>
    <x v="4"/>
    <x v="187"/>
  </r>
  <r>
    <x v="1"/>
    <x v="188"/>
  </r>
  <r>
    <x v="4"/>
    <x v="189"/>
  </r>
  <r>
    <x v="1"/>
    <x v="190"/>
  </r>
  <r>
    <x v="1"/>
    <x v="191"/>
  </r>
  <r>
    <x v="3"/>
    <x v="192"/>
  </r>
  <r>
    <x v="4"/>
    <x v="193"/>
  </r>
  <r>
    <x v="1"/>
    <x v="194"/>
  </r>
  <r>
    <x v="2"/>
    <x v="195"/>
  </r>
  <r>
    <x v="4"/>
    <x v="196"/>
  </r>
  <r>
    <x v="1"/>
    <x v="197"/>
  </r>
  <r>
    <x v="1"/>
    <x v="198"/>
  </r>
  <r>
    <x v="1"/>
    <x v="34"/>
  </r>
  <r>
    <x v="2"/>
    <x v="199"/>
  </r>
  <r>
    <x v="1"/>
    <x v="200"/>
  </r>
  <r>
    <x v="3"/>
    <x v="201"/>
  </r>
  <r>
    <x v="0"/>
    <x v="202"/>
  </r>
  <r>
    <x v="3"/>
    <x v="198"/>
  </r>
  <r>
    <x v="0"/>
    <x v="203"/>
  </r>
  <r>
    <x v="3"/>
    <x v="204"/>
  </r>
  <r>
    <x v="1"/>
    <x v="205"/>
  </r>
  <r>
    <x v="2"/>
    <x v="153"/>
  </r>
  <r>
    <x v="4"/>
    <x v="206"/>
  </r>
  <r>
    <x v="4"/>
    <x v="207"/>
  </r>
  <r>
    <x v="0"/>
    <x v="208"/>
  </r>
  <r>
    <x v="4"/>
    <x v="209"/>
  </r>
  <r>
    <x v="3"/>
    <x v="10"/>
  </r>
  <r>
    <x v="3"/>
    <x v="210"/>
  </r>
  <r>
    <x v="4"/>
    <x v="7"/>
  </r>
  <r>
    <x v="0"/>
    <x v="211"/>
  </r>
  <r>
    <x v="1"/>
    <x v="212"/>
  </r>
  <r>
    <x v="2"/>
    <x v="213"/>
  </r>
  <r>
    <x v="4"/>
    <x v="214"/>
  </r>
  <r>
    <x v="3"/>
    <x v="215"/>
  </r>
  <r>
    <x v="3"/>
    <x v="216"/>
  </r>
  <r>
    <x v="0"/>
    <x v="217"/>
  </r>
  <r>
    <x v="4"/>
    <x v="218"/>
  </r>
  <r>
    <x v="4"/>
    <x v="219"/>
  </r>
  <r>
    <x v="2"/>
    <x v="220"/>
  </r>
  <r>
    <x v="2"/>
    <x v="221"/>
  </r>
  <r>
    <x v="2"/>
    <x v="222"/>
  </r>
  <r>
    <x v="1"/>
    <x v="223"/>
  </r>
  <r>
    <x v="4"/>
    <x v="224"/>
  </r>
  <r>
    <x v="0"/>
    <x v="225"/>
  </r>
  <r>
    <x v="3"/>
    <x v="226"/>
  </r>
  <r>
    <x v="3"/>
    <x v="7"/>
  </r>
  <r>
    <x v="4"/>
    <x v="227"/>
  </r>
  <r>
    <x v="1"/>
    <x v="228"/>
  </r>
  <r>
    <x v="0"/>
    <x v="229"/>
  </r>
  <r>
    <x v="2"/>
    <x v="230"/>
  </r>
  <r>
    <x v="4"/>
    <x v="231"/>
  </r>
  <r>
    <x v="3"/>
    <x v="232"/>
  </r>
  <r>
    <x v="2"/>
    <x v="203"/>
  </r>
  <r>
    <x v="4"/>
    <x v="233"/>
  </r>
  <r>
    <x v="3"/>
    <x v="234"/>
  </r>
  <r>
    <x v="2"/>
    <x v="222"/>
  </r>
  <r>
    <x v="4"/>
    <x v="159"/>
  </r>
  <r>
    <x v="1"/>
    <x v="106"/>
  </r>
  <r>
    <x v="1"/>
    <x v="235"/>
  </r>
  <r>
    <x v="4"/>
    <x v="236"/>
  </r>
  <r>
    <x v="3"/>
    <x v="237"/>
  </r>
  <r>
    <x v="3"/>
    <x v="238"/>
  </r>
  <r>
    <x v="3"/>
    <x v="239"/>
  </r>
  <r>
    <x v="3"/>
    <x v="240"/>
  </r>
  <r>
    <x v="0"/>
    <x v="241"/>
  </r>
  <r>
    <x v="0"/>
    <x v="242"/>
  </r>
  <r>
    <x v="4"/>
    <x v="243"/>
  </r>
  <r>
    <x v="1"/>
    <x v="244"/>
  </r>
  <r>
    <x v="0"/>
    <x v="245"/>
  </r>
  <r>
    <x v="3"/>
    <x v="246"/>
  </r>
  <r>
    <x v="3"/>
    <x v="247"/>
  </r>
  <r>
    <x v="0"/>
    <x v="248"/>
  </r>
  <r>
    <x v="1"/>
    <x v="249"/>
  </r>
  <r>
    <x v="4"/>
    <x v="250"/>
  </r>
  <r>
    <x v="0"/>
    <x v="251"/>
  </r>
  <r>
    <x v="1"/>
    <x v="252"/>
  </r>
  <r>
    <x v="1"/>
    <x v="253"/>
  </r>
  <r>
    <x v="2"/>
    <x v="254"/>
  </r>
  <r>
    <x v="2"/>
    <x v="255"/>
  </r>
  <r>
    <x v="4"/>
    <x v="256"/>
  </r>
  <r>
    <x v="0"/>
    <x v="167"/>
  </r>
  <r>
    <x v="3"/>
    <x v="226"/>
  </r>
  <r>
    <x v="0"/>
    <x v="257"/>
  </r>
  <r>
    <x v="4"/>
    <x v="258"/>
  </r>
  <r>
    <x v="1"/>
    <x v="259"/>
  </r>
  <r>
    <x v="1"/>
    <x v="180"/>
  </r>
  <r>
    <x v="1"/>
    <x v="260"/>
  </r>
  <r>
    <x v="1"/>
    <x v="261"/>
  </r>
  <r>
    <x v="4"/>
    <x v="262"/>
  </r>
  <r>
    <x v="3"/>
    <x v="263"/>
  </r>
  <r>
    <x v="1"/>
    <x v="241"/>
  </r>
  <r>
    <x v="1"/>
    <x v="264"/>
  </r>
  <r>
    <x v="1"/>
    <x v="265"/>
  </r>
  <r>
    <x v="0"/>
    <x v="266"/>
  </r>
  <r>
    <x v="4"/>
    <x v="267"/>
  </r>
  <r>
    <x v="2"/>
    <x v="268"/>
  </r>
  <r>
    <x v="0"/>
    <x v="269"/>
  </r>
  <r>
    <x v="4"/>
    <x v="166"/>
  </r>
  <r>
    <x v="0"/>
    <x v="270"/>
  </r>
  <r>
    <x v="2"/>
    <x v="271"/>
  </r>
  <r>
    <x v="1"/>
    <x v="272"/>
  </r>
  <r>
    <x v="4"/>
    <x v="273"/>
  </r>
  <r>
    <x v="2"/>
    <x v="274"/>
  </r>
  <r>
    <x v="4"/>
    <x v="275"/>
  </r>
  <r>
    <x v="4"/>
    <x v="276"/>
  </r>
  <r>
    <x v="1"/>
    <x v="277"/>
  </r>
  <r>
    <x v="0"/>
    <x v="278"/>
  </r>
  <r>
    <x v="0"/>
    <x v="279"/>
  </r>
  <r>
    <x v="3"/>
    <x v="280"/>
  </r>
  <r>
    <x v="0"/>
    <x v="281"/>
  </r>
  <r>
    <x v="2"/>
    <x v="53"/>
  </r>
  <r>
    <x v="1"/>
    <x v="282"/>
  </r>
  <r>
    <x v="3"/>
    <x v="283"/>
  </r>
  <r>
    <x v="3"/>
    <x v="284"/>
  </r>
  <r>
    <x v="3"/>
    <x v="285"/>
  </r>
  <r>
    <x v="0"/>
    <x v="286"/>
  </r>
  <r>
    <x v="4"/>
    <x v="287"/>
  </r>
  <r>
    <x v="0"/>
    <x v="288"/>
  </r>
  <r>
    <x v="2"/>
    <x v="289"/>
  </r>
  <r>
    <x v="2"/>
    <x v="223"/>
  </r>
  <r>
    <x v="3"/>
    <x v="290"/>
  </r>
  <r>
    <x v="4"/>
    <x v="291"/>
  </r>
  <r>
    <x v="3"/>
    <x v="292"/>
  </r>
  <r>
    <x v="3"/>
    <x v="293"/>
  </r>
  <r>
    <x v="2"/>
    <x v="294"/>
  </r>
  <r>
    <x v="2"/>
    <x v="295"/>
  </r>
  <r>
    <x v="0"/>
    <x v="296"/>
  </r>
  <r>
    <x v="3"/>
    <x v="297"/>
  </r>
  <r>
    <x v="0"/>
    <x v="298"/>
  </r>
  <r>
    <x v="3"/>
    <x v="299"/>
  </r>
  <r>
    <x v="1"/>
    <x v="300"/>
  </r>
  <r>
    <x v="2"/>
    <x v="301"/>
  </r>
  <r>
    <x v="1"/>
    <x v="285"/>
  </r>
  <r>
    <x v="1"/>
    <x v="196"/>
  </r>
  <r>
    <x v="2"/>
    <x v="302"/>
  </r>
  <r>
    <x v="3"/>
    <x v="303"/>
  </r>
  <r>
    <x v="0"/>
    <x v="304"/>
  </r>
  <r>
    <x v="3"/>
    <x v="305"/>
  </r>
  <r>
    <x v="2"/>
    <x v="141"/>
  </r>
  <r>
    <x v="1"/>
    <x v="306"/>
  </r>
  <r>
    <x v="3"/>
    <x v="88"/>
  </r>
  <r>
    <x v="2"/>
    <x v="307"/>
  </r>
  <r>
    <x v="4"/>
    <x v="308"/>
  </r>
  <r>
    <x v="4"/>
    <x v="309"/>
  </r>
  <r>
    <x v="1"/>
    <x v="161"/>
  </r>
  <r>
    <x v="1"/>
    <x v="310"/>
  </r>
  <r>
    <x v="1"/>
    <x v="311"/>
  </r>
  <r>
    <x v="3"/>
    <x v="312"/>
  </r>
  <r>
    <x v="0"/>
    <x v="313"/>
  </r>
  <r>
    <x v="2"/>
    <x v="314"/>
  </r>
  <r>
    <x v="3"/>
    <x v="315"/>
  </r>
  <r>
    <x v="3"/>
    <x v="316"/>
  </r>
  <r>
    <x v="0"/>
    <x v="317"/>
  </r>
  <r>
    <x v="3"/>
    <x v="318"/>
  </r>
  <r>
    <x v="0"/>
    <x v="319"/>
  </r>
  <r>
    <x v="0"/>
    <x v="320"/>
  </r>
  <r>
    <x v="2"/>
    <x v="321"/>
  </r>
  <r>
    <x v="3"/>
    <x v="322"/>
  </r>
  <r>
    <x v="0"/>
    <x v="323"/>
  </r>
  <r>
    <x v="2"/>
    <x v="324"/>
  </r>
  <r>
    <x v="3"/>
    <x v="325"/>
  </r>
  <r>
    <x v="0"/>
    <x v="1"/>
  </r>
  <r>
    <x v="4"/>
    <x v="326"/>
  </r>
  <r>
    <x v="2"/>
    <x v="327"/>
  </r>
  <r>
    <x v="1"/>
    <x v="328"/>
  </r>
  <r>
    <x v="0"/>
    <x v="329"/>
  </r>
  <r>
    <x v="3"/>
    <x v="330"/>
  </r>
  <r>
    <x v="4"/>
    <x v="331"/>
  </r>
  <r>
    <x v="0"/>
    <x v="79"/>
  </r>
  <r>
    <x v="2"/>
    <x v="332"/>
  </r>
  <r>
    <x v="1"/>
    <x v="333"/>
  </r>
  <r>
    <x v="0"/>
    <x v="306"/>
  </r>
  <r>
    <x v="3"/>
    <x v="334"/>
  </r>
  <r>
    <x v="2"/>
    <x v="255"/>
  </r>
  <r>
    <x v="1"/>
    <x v="335"/>
  </r>
  <r>
    <x v="1"/>
    <x v="336"/>
  </r>
  <r>
    <x v="3"/>
    <x v="337"/>
  </r>
  <r>
    <x v="2"/>
    <x v="338"/>
  </r>
  <r>
    <x v="3"/>
    <x v="339"/>
  </r>
  <r>
    <x v="1"/>
    <x v="340"/>
  </r>
  <r>
    <x v="0"/>
    <x v="341"/>
  </r>
  <r>
    <x v="2"/>
    <x v="342"/>
  </r>
  <r>
    <x v="0"/>
    <x v="343"/>
  </r>
  <r>
    <x v="2"/>
    <x v="344"/>
  </r>
  <r>
    <x v="0"/>
    <x v="345"/>
  </r>
  <r>
    <x v="2"/>
    <x v="346"/>
  </r>
  <r>
    <x v="0"/>
    <x v="347"/>
  </r>
  <r>
    <x v="0"/>
    <x v="348"/>
  </r>
  <r>
    <x v="1"/>
    <x v="349"/>
  </r>
  <r>
    <x v="0"/>
    <x v="350"/>
  </r>
  <r>
    <x v="1"/>
    <x v="351"/>
  </r>
  <r>
    <x v="1"/>
    <x v="352"/>
  </r>
  <r>
    <x v="4"/>
    <x v="353"/>
  </r>
  <r>
    <x v="1"/>
    <x v="354"/>
  </r>
  <r>
    <x v="4"/>
    <x v="355"/>
  </r>
  <r>
    <x v="0"/>
    <x v="356"/>
  </r>
  <r>
    <x v="0"/>
    <x v="357"/>
  </r>
  <r>
    <x v="4"/>
    <x v="274"/>
  </r>
  <r>
    <x v="3"/>
    <x v="358"/>
  </r>
  <r>
    <x v="3"/>
    <x v="284"/>
  </r>
  <r>
    <x v="0"/>
    <x v="359"/>
  </r>
  <r>
    <x v="0"/>
    <x v="293"/>
  </r>
  <r>
    <x v="0"/>
    <x v="360"/>
  </r>
  <r>
    <x v="2"/>
    <x v="361"/>
  </r>
  <r>
    <x v="3"/>
    <x v="362"/>
  </r>
  <r>
    <x v="1"/>
    <x v="363"/>
  </r>
  <r>
    <x v="4"/>
    <x v="182"/>
  </r>
  <r>
    <x v="1"/>
    <x v="364"/>
  </r>
  <r>
    <x v="4"/>
    <x v="365"/>
  </r>
  <r>
    <x v="3"/>
    <x v="366"/>
  </r>
  <r>
    <x v="1"/>
    <x v="367"/>
  </r>
  <r>
    <x v="2"/>
    <x v="368"/>
  </r>
  <r>
    <x v="4"/>
    <x v="307"/>
  </r>
  <r>
    <x v="4"/>
    <x v="369"/>
  </r>
  <r>
    <x v="0"/>
    <x v="279"/>
  </r>
  <r>
    <x v="2"/>
    <x v="287"/>
  </r>
  <r>
    <x v="3"/>
    <x v="370"/>
  </r>
  <r>
    <x v="4"/>
    <x v="371"/>
  </r>
  <r>
    <x v="3"/>
    <x v="132"/>
  </r>
  <r>
    <x v="0"/>
    <x v="372"/>
  </r>
  <r>
    <x v="1"/>
    <x v="373"/>
  </r>
  <r>
    <x v="3"/>
    <x v="10"/>
  </r>
  <r>
    <x v="1"/>
    <x v="374"/>
  </r>
  <r>
    <x v="4"/>
    <x v="375"/>
  </r>
  <r>
    <x v="1"/>
    <x v="376"/>
  </r>
  <r>
    <x v="0"/>
    <x v="377"/>
  </r>
  <r>
    <x v="4"/>
    <x v="378"/>
  </r>
  <r>
    <x v="3"/>
    <x v="379"/>
  </r>
  <r>
    <x v="3"/>
    <x v="380"/>
  </r>
  <r>
    <x v="0"/>
    <x v="381"/>
  </r>
  <r>
    <x v="0"/>
    <x v="382"/>
  </r>
  <r>
    <x v="0"/>
    <x v="213"/>
  </r>
  <r>
    <x v="4"/>
    <x v="383"/>
  </r>
  <r>
    <x v="1"/>
    <x v="384"/>
  </r>
  <r>
    <x v="0"/>
    <x v="87"/>
  </r>
  <r>
    <x v="1"/>
    <x v="385"/>
  </r>
  <r>
    <x v="0"/>
    <x v="386"/>
  </r>
  <r>
    <x v="3"/>
    <x v="387"/>
  </r>
  <r>
    <x v="4"/>
    <x v="388"/>
  </r>
  <r>
    <x v="3"/>
    <x v="389"/>
  </r>
  <r>
    <x v="3"/>
    <x v="390"/>
  </r>
  <r>
    <x v="0"/>
    <x v="391"/>
  </r>
  <r>
    <x v="0"/>
    <x v="68"/>
  </r>
  <r>
    <x v="2"/>
    <x v="392"/>
  </r>
  <r>
    <x v="3"/>
    <x v="393"/>
  </r>
  <r>
    <x v="0"/>
    <x v="394"/>
  </r>
  <r>
    <x v="1"/>
    <x v="395"/>
  </r>
  <r>
    <x v="2"/>
    <x v="396"/>
  </r>
  <r>
    <x v="3"/>
    <x v="397"/>
  </r>
  <r>
    <x v="4"/>
    <x v="398"/>
  </r>
  <r>
    <x v="2"/>
    <x v="399"/>
  </r>
  <r>
    <x v="0"/>
    <x v="400"/>
  </r>
  <r>
    <x v="4"/>
    <x v="401"/>
  </r>
  <r>
    <x v="4"/>
    <x v="402"/>
  </r>
  <r>
    <x v="1"/>
    <x v="403"/>
  </r>
  <r>
    <x v="3"/>
    <x v="404"/>
  </r>
  <r>
    <x v="3"/>
    <x v="405"/>
  </r>
  <r>
    <x v="1"/>
    <x v="85"/>
  </r>
  <r>
    <x v="3"/>
    <x v="406"/>
  </r>
  <r>
    <x v="1"/>
    <x v="407"/>
  </r>
  <r>
    <x v="2"/>
    <x v="408"/>
  </r>
  <r>
    <x v="4"/>
    <x v="409"/>
  </r>
  <r>
    <x v="1"/>
    <x v="410"/>
  </r>
  <r>
    <x v="2"/>
    <x v="411"/>
  </r>
  <r>
    <x v="4"/>
    <x v="412"/>
  </r>
  <r>
    <x v="3"/>
    <x v="413"/>
  </r>
  <r>
    <x v="3"/>
    <x v="414"/>
  </r>
  <r>
    <x v="4"/>
    <x v="415"/>
  </r>
  <r>
    <x v="1"/>
    <x v="318"/>
  </r>
  <r>
    <x v="1"/>
    <x v="416"/>
  </r>
  <r>
    <x v="1"/>
    <x v="361"/>
  </r>
  <r>
    <x v="0"/>
    <x v="417"/>
  </r>
  <r>
    <x v="3"/>
    <x v="418"/>
  </r>
  <r>
    <x v="3"/>
    <x v="419"/>
  </r>
  <r>
    <x v="3"/>
    <x v="12"/>
  </r>
  <r>
    <x v="4"/>
    <x v="420"/>
  </r>
  <r>
    <x v="2"/>
    <x v="421"/>
  </r>
  <r>
    <x v="0"/>
    <x v="422"/>
  </r>
  <r>
    <x v="3"/>
    <x v="423"/>
  </r>
  <r>
    <x v="0"/>
    <x v="424"/>
  </r>
  <r>
    <x v="4"/>
    <x v="351"/>
  </r>
  <r>
    <x v="4"/>
    <x v="425"/>
  </r>
  <r>
    <x v="2"/>
    <x v="426"/>
  </r>
  <r>
    <x v="0"/>
    <x v="104"/>
  </r>
  <r>
    <x v="2"/>
    <x v="427"/>
  </r>
  <r>
    <x v="4"/>
    <x v="428"/>
  </r>
  <r>
    <x v="4"/>
    <x v="429"/>
  </r>
  <r>
    <x v="3"/>
    <x v="430"/>
  </r>
  <r>
    <x v="1"/>
    <x v="430"/>
  </r>
  <r>
    <x v="3"/>
    <x v="431"/>
  </r>
  <r>
    <x v="1"/>
    <x v="432"/>
  </r>
  <r>
    <x v="2"/>
    <x v="433"/>
  </r>
  <r>
    <x v="4"/>
    <x v="434"/>
  </r>
  <r>
    <x v="4"/>
    <x v="298"/>
  </r>
  <r>
    <x v="0"/>
    <x v="435"/>
  </r>
  <r>
    <x v="2"/>
    <x v="436"/>
  </r>
  <r>
    <x v="3"/>
    <x v="437"/>
  </r>
  <r>
    <x v="3"/>
    <x v="438"/>
  </r>
  <r>
    <x v="3"/>
    <x v="439"/>
  </r>
  <r>
    <x v="3"/>
    <x v="440"/>
  </r>
  <r>
    <x v="2"/>
    <x v="367"/>
  </r>
  <r>
    <x v="2"/>
    <x v="441"/>
  </r>
  <r>
    <x v="2"/>
    <x v="442"/>
  </r>
  <r>
    <x v="3"/>
    <x v="443"/>
  </r>
  <r>
    <x v="1"/>
    <x v="444"/>
  </r>
  <r>
    <x v="0"/>
    <x v="445"/>
  </r>
  <r>
    <x v="4"/>
    <x v="446"/>
  </r>
  <r>
    <x v="0"/>
    <x v="25"/>
  </r>
  <r>
    <x v="3"/>
    <x v="447"/>
  </r>
  <r>
    <x v="1"/>
    <x v="448"/>
  </r>
  <r>
    <x v="4"/>
    <x v="449"/>
  </r>
  <r>
    <x v="1"/>
    <x v="348"/>
  </r>
  <r>
    <x v="0"/>
    <x v="183"/>
  </r>
  <r>
    <x v="2"/>
    <x v="450"/>
  </r>
  <r>
    <x v="2"/>
    <x v="408"/>
  </r>
  <r>
    <x v="4"/>
    <x v="451"/>
  </r>
  <r>
    <x v="1"/>
    <x v="452"/>
  </r>
  <r>
    <x v="2"/>
    <x v="453"/>
  </r>
  <r>
    <x v="3"/>
    <x v="454"/>
  </r>
  <r>
    <x v="4"/>
    <x v="455"/>
  </r>
  <r>
    <x v="1"/>
    <x v="456"/>
  </r>
  <r>
    <x v="1"/>
    <x v="457"/>
  </r>
  <r>
    <x v="1"/>
    <x v="76"/>
  </r>
  <r>
    <x v="2"/>
    <x v="458"/>
  </r>
  <r>
    <x v="2"/>
    <x v="459"/>
  </r>
  <r>
    <x v="4"/>
    <x v="460"/>
  </r>
  <r>
    <x v="3"/>
    <x v="461"/>
  </r>
  <r>
    <x v="3"/>
    <x v="462"/>
  </r>
  <r>
    <x v="4"/>
    <x v="463"/>
  </r>
  <r>
    <x v="4"/>
    <x v="464"/>
  </r>
  <r>
    <x v="1"/>
    <x v="465"/>
  </r>
  <r>
    <x v="0"/>
    <x v="250"/>
  </r>
  <r>
    <x v="2"/>
    <x v="466"/>
  </r>
  <r>
    <x v="1"/>
    <x v="467"/>
  </r>
  <r>
    <x v="4"/>
    <x v="212"/>
  </r>
  <r>
    <x v="2"/>
    <x v="468"/>
  </r>
  <r>
    <x v="4"/>
    <x v="469"/>
  </r>
  <r>
    <x v="3"/>
    <x v="194"/>
  </r>
  <r>
    <x v="2"/>
    <x v="470"/>
  </r>
  <r>
    <x v="0"/>
    <x v="213"/>
  </r>
  <r>
    <x v="1"/>
    <x v="471"/>
  </r>
  <r>
    <x v="4"/>
    <x v="472"/>
  </r>
  <r>
    <x v="3"/>
    <x v="473"/>
  </r>
  <r>
    <x v="4"/>
    <x v="474"/>
  </r>
  <r>
    <x v="4"/>
    <x v="475"/>
  </r>
  <r>
    <x v="1"/>
    <x v="476"/>
  </r>
  <r>
    <x v="0"/>
    <x v="477"/>
  </r>
  <r>
    <x v="2"/>
    <x v="478"/>
  </r>
  <r>
    <x v="2"/>
    <x v="374"/>
  </r>
  <r>
    <x v="2"/>
    <x v="479"/>
  </r>
  <r>
    <x v="4"/>
    <x v="178"/>
  </r>
  <r>
    <x v="4"/>
    <x v="407"/>
  </r>
  <r>
    <x v="4"/>
    <x v="480"/>
  </r>
  <r>
    <x v="3"/>
    <x v="481"/>
  </r>
  <r>
    <x v="3"/>
    <x v="482"/>
  </r>
  <r>
    <x v="1"/>
    <x v="483"/>
  </r>
  <r>
    <x v="2"/>
    <x v="484"/>
  </r>
  <r>
    <x v="0"/>
    <x v="89"/>
  </r>
  <r>
    <x v="0"/>
    <x v="485"/>
  </r>
  <r>
    <x v="3"/>
    <x v="8"/>
  </r>
  <r>
    <x v="4"/>
    <x v="486"/>
  </r>
  <r>
    <x v="4"/>
    <x v="487"/>
  </r>
  <r>
    <x v="3"/>
    <x v="488"/>
  </r>
  <r>
    <x v="0"/>
    <x v="489"/>
  </r>
  <r>
    <x v="4"/>
    <x v="206"/>
  </r>
  <r>
    <x v="1"/>
    <x v="9"/>
  </r>
  <r>
    <x v="0"/>
    <x v="490"/>
  </r>
  <r>
    <x v="3"/>
    <x v="491"/>
  </r>
  <r>
    <x v="3"/>
    <x v="492"/>
  </r>
  <r>
    <x v="0"/>
    <x v="493"/>
  </r>
  <r>
    <x v="0"/>
    <x v="494"/>
  </r>
  <r>
    <x v="4"/>
    <x v="495"/>
  </r>
  <r>
    <x v="3"/>
    <x v="496"/>
  </r>
  <r>
    <x v="2"/>
    <x v="497"/>
  </r>
  <r>
    <x v="1"/>
    <x v="498"/>
  </r>
  <r>
    <x v="0"/>
    <x v="499"/>
  </r>
  <r>
    <x v="4"/>
    <x v="500"/>
  </r>
  <r>
    <x v="2"/>
    <x v="501"/>
  </r>
  <r>
    <x v="3"/>
    <x v="502"/>
  </r>
  <r>
    <x v="3"/>
    <x v="503"/>
  </r>
  <r>
    <x v="0"/>
    <x v="414"/>
  </r>
  <r>
    <x v="4"/>
    <x v="504"/>
  </r>
  <r>
    <x v="2"/>
    <x v="505"/>
  </r>
  <r>
    <x v="0"/>
    <x v="506"/>
  </r>
  <r>
    <x v="4"/>
    <x v="507"/>
  </r>
  <r>
    <x v="0"/>
    <x v="508"/>
  </r>
  <r>
    <x v="3"/>
    <x v="509"/>
  </r>
  <r>
    <x v="2"/>
    <x v="510"/>
  </r>
  <r>
    <x v="3"/>
    <x v="511"/>
  </r>
  <r>
    <x v="2"/>
    <x v="512"/>
  </r>
  <r>
    <x v="0"/>
    <x v="142"/>
  </r>
  <r>
    <x v="2"/>
    <x v="513"/>
  </r>
  <r>
    <x v="2"/>
    <x v="411"/>
  </r>
  <r>
    <x v="0"/>
    <x v="77"/>
  </r>
  <r>
    <x v="2"/>
    <x v="460"/>
  </r>
  <r>
    <x v="0"/>
    <x v="514"/>
  </r>
  <r>
    <x v="4"/>
    <x v="515"/>
  </r>
  <r>
    <x v="1"/>
    <x v="516"/>
  </r>
  <r>
    <x v="2"/>
    <x v="517"/>
  </r>
  <r>
    <x v="0"/>
    <x v="518"/>
  </r>
  <r>
    <x v="0"/>
    <x v="519"/>
  </r>
  <r>
    <x v="2"/>
    <x v="204"/>
  </r>
  <r>
    <x v="3"/>
    <x v="520"/>
  </r>
  <r>
    <x v="1"/>
    <x v="521"/>
  </r>
  <r>
    <x v="0"/>
    <x v="522"/>
  </r>
  <r>
    <x v="4"/>
    <x v="523"/>
  </r>
  <r>
    <x v="2"/>
    <x v="456"/>
  </r>
  <r>
    <x v="0"/>
    <x v="524"/>
  </r>
  <r>
    <x v="1"/>
    <x v="525"/>
  </r>
  <r>
    <x v="3"/>
    <x v="526"/>
  </r>
  <r>
    <x v="2"/>
    <x v="527"/>
  </r>
  <r>
    <x v="0"/>
    <x v="528"/>
  </r>
  <r>
    <x v="2"/>
    <x v="253"/>
  </r>
  <r>
    <x v="2"/>
    <x v="529"/>
  </r>
  <r>
    <x v="2"/>
    <x v="400"/>
  </r>
  <r>
    <x v="0"/>
    <x v="495"/>
  </r>
  <r>
    <x v="4"/>
    <x v="530"/>
  </r>
  <r>
    <x v="4"/>
    <x v="531"/>
  </r>
  <r>
    <x v="0"/>
    <x v="532"/>
  </r>
  <r>
    <x v="1"/>
    <x v="533"/>
  </r>
  <r>
    <x v="2"/>
    <x v="534"/>
  </r>
  <r>
    <x v="2"/>
    <x v="535"/>
  </r>
  <r>
    <x v="0"/>
    <x v="536"/>
  </r>
  <r>
    <x v="4"/>
    <x v="464"/>
  </r>
  <r>
    <x v="4"/>
    <x v="537"/>
  </r>
  <r>
    <x v="0"/>
    <x v="538"/>
  </r>
  <r>
    <x v="1"/>
    <x v="242"/>
  </r>
  <r>
    <x v="4"/>
    <x v="539"/>
  </r>
  <r>
    <x v="4"/>
    <x v="277"/>
  </r>
  <r>
    <x v="3"/>
    <x v="148"/>
  </r>
  <r>
    <x v="2"/>
    <x v="540"/>
  </r>
  <r>
    <x v="4"/>
    <x v="293"/>
  </r>
  <r>
    <x v="0"/>
    <x v="541"/>
  </r>
  <r>
    <x v="3"/>
    <x v="542"/>
  </r>
  <r>
    <x v="4"/>
    <x v="543"/>
  </r>
  <r>
    <x v="2"/>
    <x v="455"/>
  </r>
  <r>
    <x v="0"/>
    <x v="544"/>
  </r>
  <r>
    <x v="0"/>
    <x v="335"/>
  </r>
  <r>
    <x v="3"/>
    <x v="545"/>
  </r>
  <r>
    <x v="4"/>
    <x v="546"/>
  </r>
  <r>
    <x v="4"/>
    <x v="547"/>
  </r>
  <r>
    <x v="1"/>
    <x v="548"/>
  </r>
  <r>
    <x v="4"/>
    <x v="549"/>
  </r>
  <r>
    <x v="4"/>
    <x v="550"/>
  </r>
  <r>
    <x v="4"/>
    <x v="32"/>
  </r>
  <r>
    <x v="0"/>
    <x v="551"/>
  </r>
  <r>
    <x v="0"/>
    <x v="552"/>
  </r>
  <r>
    <x v="3"/>
    <x v="553"/>
  </r>
  <r>
    <x v="1"/>
    <x v="554"/>
  </r>
  <r>
    <x v="1"/>
    <x v="555"/>
  </r>
  <r>
    <x v="1"/>
    <x v="556"/>
  </r>
  <r>
    <x v="2"/>
    <x v="557"/>
  </r>
  <r>
    <x v="3"/>
    <x v="429"/>
  </r>
  <r>
    <x v="3"/>
    <x v="172"/>
  </r>
  <r>
    <x v="1"/>
    <x v="558"/>
  </r>
  <r>
    <x v="2"/>
    <x v="559"/>
  </r>
  <r>
    <x v="3"/>
    <x v="560"/>
  </r>
  <r>
    <x v="3"/>
    <x v="561"/>
  </r>
  <r>
    <x v="4"/>
    <x v="562"/>
  </r>
  <r>
    <x v="4"/>
    <x v="563"/>
  </r>
  <r>
    <x v="1"/>
    <x v="564"/>
  </r>
  <r>
    <x v="3"/>
    <x v="565"/>
  </r>
  <r>
    <x v="0"/>
    <x v="566"/>
  </r>
  <r>
    <x v="3"/>
    <x v="567"/>
  </r>
  <r>
    <x v="1"/>
    <x v="568"/>
  </r>
  <r>
    <x v="1"/>
    <x v="569"/>
  </r>
  <r>
    <x v="2"/>
    <x v="570"/>
  </r>
  <r>
    <x v="0"/>
    <x v="571"/>
  </r>
  <r>
    <x v="2"/>
    <x v="504"/>
  </r>
  <r>
    <x v="1"/>
    <x v="572"/>
  </r>
  <r>
    <x v="0"/>
    <x v="573"/>
  </r>
  <r>
    <x v="3"/>
    <x v="574"/>
  </r>
  <r>
    <x v="2"/>
    <x v="353"/>
  </r>
  <r>
    <x v="4"/>
    <x v="575"/>
  </r>
  <r>
    <x v="1"/>
    <x v="576"/>
  </r>
  <r>
    <x v="4"/>
    <x v="93"/>
  </r>
  <r>
    <x v="4"/>
    <x v="577"/>
  </r>
  <r>
    <x v="3"/>
    <x v="578"/>
  </r>
  <r>
    <x v="2"/>
    <x v="385"/>
  </r>
  <r>
    <x v="0"/>
    <x v="579"/>
  </r>
  <r>
    <x v="0"/>
    <x v="580"/>
  </r>
  <r>
    <x v="1"/>
    <x v="581"/>
  </r>
  <r>
    <x v="2"/>
    <x v="582"/>
  </r>
  <r>
    <x v="2"/>
    <x v="583"/>
  </r>
  <r>
    <x v="3"/>
    <x v="584"/>
  </r>
  <r>
    <x v="1"/>
    <x v="585"/>
  </r>
  <r>
    <x v="4"/>
    <x v="366"/>
  </r>
  <r>
    <x v="2"/>
    <x v="586"/>
  </r>
  <r>
    <x v="0"/>
    <x v="587"/>
  </r>
  <r>
    <x v="0"/>
    <x v="588"/>
  </r>
  <r>
    <x v="2"/>
    <x v="589"/>
  </r>
  <r>
    <x v="4"/>
    <x v="590"/>
  </r>
  <r>
    <x v="4"/>
    <x v="591"/>
  </r>
  <r>
    <x v="1"/>
    <x v="592"/>
  </r>
  <r>
    <x v="2"/>
    <x v="145"/>
  </r>
  <r>
    <x v="1"/>
    <x v="593"/>
  </r>
  <r>
    <x v="1"/>
    <x v="203"/>
  </r>
  <r>
    <x v="3"/>
    <x v="81"/>
  </r>
  <r>
    <x v="3"/>
    <x v="594"/>
  </r>
  <r>
    <x v="1"/>
    <x v="595"/>
  </r>
  <r>
    <x v="2"/>
    <x v="467"/>
  </r>
  <r>
    <x v="2"/>
    <x v="596"/>
  </r>
  <r>
    <x v="1"/>
    <x v="597"/>
  </r>
  <r>
    <x v="1"/>
    <x v="598"/>
  </r>
  <r>
    <x v="1"/>
    <x v="599"/>
  </r>
  <r>
    <x v="0"/>
    <x v="600"/>
  </r>
  <r>
    <x v="1"/>
    <x v="601"/>
  </r>
  <r>
    <x v="1"/>
    <x v="410"/>
  </r>
  <r>
    <x v="4"/>
    <x v="602"/>
  </r>
  <r>
    <x v="3"/>
    <x v="603"/>
  </r>
  <r>
    <x v="4"/>
    <x v="563"/>
  </r>
  <r>
    <x v="1"/>
    <x v="604"/>
  </r>
  <r>
    <x v="1"/>
    <x v="605"/>
  </r>
  <r>
    <x v="2"/>
    <x v="435"/>
  </r>
  <r>
    <x v="3"/>
    <x v="606"/>
  </r>
  <r>
    <x v="2"/>
    <x v="607"/>
  </r>
  <r>
    <x v="1"/>
    <x v="608"/>
  </r>
  <r>
    <x v="0"/>
    <x v="609"/>
  </r>
  <r>
    <x v="1"/>
    <x v="416"/>
  </r>
  <r>
    <x v="4"/>
    <x v="64"/>
  </r>
  <r>
    <x v="2"/>
    <x v="610"/>
  </r>
  <r>
    <x v="0"/>
    <x v="611"/>
  </r>
  <r>
    <x v="2"/>
    <x v="612"/>
  </r>
  <r>
    <x v="4"/>
    <x v="613"/>
  </r>
  <r>
    <x v="0"/>
    <x v="614"/>
  </r>
  <r>
    <x v="4"/>
    <x v="220"/>
  </r>
  <r>
    <x v="1"/>
    <x v="615"/>
  </r>
  <r>
    <x v="2"/>
    <x v="616"/>
  </r>
  <r>
    <x v="0"/>
    <x v="617"/>
  </r>
  <r>
    <x v="0"/>
    <x v="150"/>
  </r>
  <r>
    <x v="4"/>
    <x v="618"/>
  </r>
  <r>
    <x v="4"/>
    <x v="619"/>
  </r>
  <r>
    <x v="2"/>
    <x v="620"/>
  </r>
  <r>
    <x v="1"/>
    <x v="621"/>
  </r>
  <r>
    <x v="0"/>
    <x v="395"/>
  </r>
  <r>
    <x v="2"/>
    <x v="388"/>
  </r>
  <r>
    <x v="1"/>
    <x v="82"/>
  </r>
  <r>
    <x v="2"/>
    <x v="622"/>
  </r>
  <r>
    <x v="2"/>
    <x v="623"/>
  </r>
  <r>
    <x v="2"/>
    <x v="624"/>
  </r>
  <r>
    <x v="2"/>
    <x v="111"/>
  </r>
  <r>
    <x v="2"/>
    <x v="625"/>
  </r>
  <r>
    <x v="4"/>
    <x v="626"/>
  </r>
  <r>
    <x v="2"/>
    <x v="336"/>
  </r>
  <r>
    <x v="1"/>
    <x v="593"/>
  </r>
  <r>
    <x v="3"/>
    <x v="627"/>
  </r>
  <r>
    <x v="2"/>
    <x v="628"/>
  </r>
  <r>
    <x v="3"/>
    <x v="629"/>
  </r>
  <r>
    <x v="3"/>
    <x v="154"/>
  </r>
  <r>
    <x v="4"/>
    <x v="401"/>
  </r>
  <r>
    <x v="0"/>
    <x v="630"/>
  </r>
  <r>
    <x v="3"/>
    <x v="558"/>
  </r>
  <r>
    <x v="4"/>
    <x v="631"/>
  </r>
  <r>
    <x v="0"/>
    <x v="632"/>
  </r>
  <r>
    <x v="4"/>
    <x v="222"/>
  </r>
  <r>
    <x v="2"/>
    <x v="2"/>
  </r>
  <r>
    <x v="0"/>
    <x v="633"/>
  </r>
  <r>
    <x v="3"/>
    <x v="634"/>
  </r>
  <r>
    <x v="0"/>
    <x v="635"/>
  </r>
  <r>
    <x v="3"/>
    <x v="273"/>
  </r>
  <r>
    <x v="2"/>
    <x v="163"/>
  </r>
  <r>
    <x v="0"/>
    <x v="636"/>
  </r>
  <r>
    <x v="1"/>
    <x v="637"/>
  </r>
  <r>
    <x v="3"/>
    <x v="366"/>
  </r>
  <r>
    <x v="2"/>
    <x v="127"/>
  </r>
  <r>
    <x v="3"/>
    <x v="638"/>
  </r>
  <r>
    <x v="0"/>
    <x v="316"/>
  </r>
  <r>
    <x v="3"/>
    <x v="639"/>
  </r>
  <r>
    <x v="2"/>
    <x v="640"/>
  </r>
  <r>
    <x v="1"/>
    <x v="641"/>
  </r>
  <r>
    <x v="0"/>
    <x v="263"/>
  </r>
  <r>
    <x v="3"/>
    <x v="642"/>
  </r>
  <r>
    <x v="0"/>
    <x v="643"/>
  </r>
  <r>
    <x v="3"/>
    <x v="160"/>
  </r>
  <r>
    <x v="4"/>
    <x v="644"/>
  </r>
  <r>
    <x v="1"/>
    <x v="645"/>
  </r>
  <r>
    <x v="1"/>
    <x v="646"/>
  </r>
  <r>
    <x v="4"/>
    <x v="647"/>
  </r>
  <r>
    <x v="2"/>
    <x v="388"/>
  </r>
  <r>
    <x v="1"/>
    <x v="648"/>
  </r>
  <r>
    <x v="0"/>
    <x v="649"/>
  </r>
  <r>
    <x v="3"/>
    <x v="237"/>
  </r>
  <r>
    <x v="0"/>
    <x v="650"/>
  </r>
  <r>
    <x v="4"/>
    <x v="651"/>
  </r>
  <r>
    <x v="1"/>
    <x v="652"/>
  </r>
  <r>
    <x v="0"/>
    <x v="653"/>
  </r>
  <r>
    <x v="0"/>
    <x v="654"/>
  </r>
  <r>
    <x v="3"/>
    <x v="655"/>
  </r>
  <r>
    <x v="2"/>
    <x v="656"/>
  </r>
  <r>
    <x v="2"/>
    <x v="657"/>
  </r>
  <r>
    <x v="1"/>
    <x v="658"/>
  </r>
  <r>
    <x v="4"/>
    <x v="659"/>
  </r>
  <r>
    <x v="2"/>
    <x v="660"/>
  </r>
  <r>
    <x v="1"/>
    <x v="661"/>
  </r>
  <r>
    <x v="2"/>
    <x v="662"/>
  </r>
  <r>
    <x v="3"/>
    <x v="663"/>
  </r>
  <r>
    <x v="0"/>
    <x v="664"/>
  </r>
  <r>
    <x v="0"/>
    <x v="665"/>
  </r>
  <r>
    <x v="4"/>
    <x v="666"/>
  </r>
  <r>
    <x v="0"/>
    <x v="667"/>
  </r>
  <r>
    <x v="3"/>
    <x v="668"/>
  </r>
  <r>
    <x v="3"/>
    <x v="669"/>
  </r>
  <r>
    <x v="4"/>
    <x v="670"/>
  </r>
  <r>
    <x v="1"/>
    <x v="671"/>
  </r>
  <r>
    <x v="2"/>
    <x v="672"/>
  </r>
  <r>
    <x v="3"/>
    <x v="673"/>
  </r>
  <r>
    <x v="2"/>
    <x v="141"/>
  </r>
  <r>
    <x v="2"/>
    <x v="321"/>
  </r>
  <r>
    <x v="4"/>
    <x v="674"/>
  </r>
  <r>
    <x v="3"/>
    <x v="675"/>
  </r>
  <r>
    <x v="2"/>
    <x v="676"/>
  </r>
  <r>
    <x v="0"/>
    <x v="677"/>
  </r>
  <r>
    <x v="4"/>
    <x v="678"/>
  </r>
  <r>
    <x v="0"/>
    <x v="675"/>
  </r>
  <r>
    <x v="3"/>
    <x v="35"/>
  </r>
  <r>
    <x v="0"/>
    <x v="85"/>
  </r>
  <r>
    <x v="4"/>
    <x v="679"/>
  </r>
  <r>
    <x v="1"/>
    <x v="680"/>
  </r>
  <r>
    <x v="4"/>
    <x v="184"/>
  </r>
  <r>
    <x v="2"/>
    <x v="681"/>
  </r>
  <r>
    <x v="4"/>
    <x v="682"/>
  </r>
  <r>
    <x v="1"/>
    <x v="683"/>
  </r>
  <r>
    <x v="2"/>
    <x v="684"/>
  </r>
  <r>
    <x v="1"/>
    <x v="685"/>
  </r>
  <r>
    <x v="2"/>
    <x v="686"/>
  </r>
  <r>
    <x v="3"/>
    <x v="687"/>
  </r>
  <r>
    <x v="4"/>
    <x v="301"/>
  </r>
  <r>
    <x v="4"/>
    <x v="341"/>
  </r>
  <r>
    <x v="2"/>
    <x v="688"/>
  </r>
  <r>
    <x v="1"/>
    <x v="689"/>
  </r>
  <r>
    <x v="0"/>
    <x v="524"/>
  </r>
  <r>
    <x v="2"/>
    <x v="690"/>
  </r>
  <r>
    <x v="2"/>
    <x v="41"/>
  </r>
  <r>
    <x v="2"/>
    <x v="691"/>
  </r>
  <r>
    <x v="4"/>
    <x v="692"/>
  </r>
  <r>
    <x v="2"/>
    <x v="693"/>
  </r>
  <r>
    <x v="0"/>
    <x v="194"/>
  </r>
  <r>
    <x v="4"/>
    <x v="694"/>
  </r>
  <r>
    <x v="2"/>
    <x v="695"/>
  </r>
  <r>
    <x v="0"/>
    <x v="696"/>
  </r>
  <r>
    <x v="1"/>
    <x v="697"/>
  </r>
  <r>
    <x v="0"/>
    <x v="28"/>
  </r>
  <r>
    <x v="3"/>
    <x v="356"/>
  </r>
  <r>
    <x v="3"/>
    <x v="490"/>
  </r>
  <r>
    <x v="1"/>
    <x v="698"/>
  </r>
  <r>
    <x v="4"/>
    <x v="699"/>
  </r>
  <r>
    <x v="3"/>
    <x v="700"/>
  </r>
  <r>
    <x v="2"/>
    <x v="224"/>
  </r>
  <r>
    <x v="1"/>
    <x v="701"/>
  </r>
  <r>
    <x v="4"/>
    <x v="702"/>
  </r>
  <r>
    <x v="0"/>
    <x v="703"/>
  </r>
  <r>
    <x v="1"/>
    <x v="239"/>
  </r>
  <r>
    <x v="1"/>
    <x v="704"/>
  </r>
  <r>
    <x v="0"/>
    <x v="536"/>
  </r>
  <r>
    <x v="3"/>
    <x v="705"/>
  </r>
  <r>
    <x v="1"/>
    <x v="706"/>
  </r>
  <r>
    <x v="4"/>
    <x v="707"/>
  </r>
  <r>
    <x v="0"/>
    <x v="708"/>
  </r>
  <r>
    <x v="2"/>
    <x v="402"/>
  </r>
  <r>
    <x v="2"/>
    <x v="709"/>
  </r>
  <r>
    <x v="4"/>
    <x v="710"/>
  </r>
  <r>
    <x v="4"/>
    <x v="7"/>
  </r>
  <r>
    <x v="4"/>
    <x v="711"/>
  </r>
  <r>
    <x v="1"/>
    <x v="712"/>
  </r>
  <r>
    <x v="2"/>
    <x v="713"/>
  </r>
  <r>
    <x v="2"/>
    <x v="714"/>
  </r>
  <r>
    <x v="1"/>
    <x v="715"/>
  </r>
  <r>
    <x v="0"/>
    <x v="716"/>
  </r>
  <r>
    <x v="1"/>
    <x v="362"/>
  </r>
  <r>
    <x v="0"/>
    <x v="717"/>
  </r>
  <r>
    <x v="0"/>
    <x v="718"/>
  </r>
  <r>
    <x v="2"/>
    <x v="719"/>
  </r>
  <r>
    <x v="3"/>
    <x v="720"/>
  </r>
  <r>
    <x v="2"/>
    <x v="687"/>
  </r>
  <r>
    <x v="3"/>
    <x v="300"/>
  </r>
  <r>
    <x v="0"/>
    <x v="40"/>
  </r>
  <r>
    <x v="4"/>
    <x v="721"/>
  </r>
  <r>
    <x v="4"/>
    <x v="722"/>
  </r>
  <r>
    <x v="4"/>
    <x v="84"/>
  </r>
  <r>
    <x v="0"/>
    <x v="723"/>
  </r>
  <r>
    <x v="0"/>
    <x v="724"/>
  </r>
  <r>
    <x v="1"/>
    <x v="725"/>
  </r>
  <r>
    <x v="4"/>
    <x v="726"/>
  </r>
  <r>
    <x v="0"/>
    <x v="727"/>
  </r>
  <r>
    <x v="0"/>
    <x v="728"/>
  </r>
  <r>
    <x v="0"/>
    <x v="729"/>
  </r>
  <r>
    <x v="0"/>
    <x v="730"/>
  </r>
  <r>
    <x v="0"/>
    <x v="731"/>
  </r>
  <r>
    <x v="2"/>
    <x v="732"/>
  </r>
  <r>
    <x v="0"/>
    <x v="733"/>
  </r>
  <r>
    <x v="2"/>
    <x v="464"/>
  </r>
  <r>
    <x v="2"/>
    <x v="734"/>
  </r>
  <r>
    <x v="4"/>
    <x v="735"/>
  </r>
  <r>
    <x v="2"/>
    <x v="736"/>
  </r>
  <r>
    <x v="2"/>
    <x v="737"/>
  </r>
  <r>
    <x v="0"/>
    <x v="738"/>
  </r>
  <r>
    <x v="3"/>
    <x v="739"/>
  </r>
  <r>
    <x v="2"/>
    <x v="740"/>
  </r>
  <r>
    <x v="0"/>
    <x v="267"/>
  </r>
  <r>
    <x v="1"/>
    <x v="741"/>
  </r>
  <r>
    <x v="2"/>
    <x v="742"/>
  </r>
  <r>
    <x v="2"/>
    <x v="743"/>
  </r>
  <r>
    <x v="1"/>
    <x v="744"/>
  </r>
  <r>
    <x v="4"/>
    <x v="745"/>
  </r>
  <r>
    <x v="1"/>
    <x v="746"/>
  </r>
  <r>
    <x v="1"/>
    <x v="747"/>
  </r>
  <r>
    <x v="2"/>
    <x v="748"/>
  </r>
  <r>
    <x v="1"/>
    <x v="749"/>
  </r>
  <r>
    <x v="0"/>
    <x v="750"/>
  </r>
  <r>
    <x v="3"/>
    <x v="751"/>
  </r>
  <r>
    <x v="4"/>
    <x v="84"/>
  </r>
  <r>
    <x v="4"/>
    <x v="752"/>
  </r>
  <r>
    <x v="4"/>
    <x v="753"/>
  </r>
  <r>
    <x v="4"/>
    <x v="754"/>
  </r>
  <r>
    <x v="1"/>
    <x v="755"/>
  </r>
  <r>
    <x v="2"/>
    <x v="756"/>
  </r>
  <r>
    <x v="4"/>
    <x v="757"/>
  </r>
  <r>
    <x v="4"/>
    <x v="626"/>
  </r>
  <r>
    <x v="2"/>
    <x v="758"/>
  </r>
  <r>
    <x v="2"/>
    <x v="682"/>
  </r>
  <r>
    <x v="1"/>
    <x v="759"/>
  </r>
  <r>
    <x v="1"/>
    <x v="760"/>
  </r>
  <r>
    <x v="4"/>
    <x v="761"/>
  </r>
  <r>
    <x v="4"/>
    <x v="762"/>
  </r>
  <r>
    <x v="4"/>
    <x v="306"/>
  </r>
  <r>
    <x v="3"/>
    <x v="735"/>
  </r>
  <r>
    <x v="2"/>
    <x v="526"/>
  </r>
  <r>
    <x v="0"/>
    <x v="763"/>
  </r>
  <r>
    <x v="4"/>
    <x v="764"/>
  </r>
  <r>
    <x v="2"/>
    <x v="746"/>
  </r>
  <r>
    <x v="3"/>
    <x v="107"/>
  </r>
  <r>
    <x v="3"/>
    <x v="765"/>
  </r>
  <r>
    <x v="4"/>
    <x v="329"/>
  </r>
  <r>
    <x v="1"/>
    <x v="766"/>
  </r>
  <r>
    <x v="0"/>
    <x v="767"/>
  </r>
  <r>
    <x v="4"/>
    <x v="768"/>
  </r>
  <r>
    <x v="1"/>
    <x v="747"/>
  </r>
  <r>
    <x v="3"/>
    <x v="769"/>
  </r>
  <r>
    <x v="4"/>
    <x v="14"/>
  </r>
  <r>
    <x v="3"/>
    <x v="82"/>
  </r>
  <r>
    <x v="3"/>
    <x v="770"/>
  </r>
  <r>
    <x v="1"/>
    <x v="771"/>
  </r>
  <r>
    <x v="0"/>
    <x v="772"/>
  </r>
  <r>
    <x v="4"/>
    <x v="11"/>
  </r>
  <r>
    <x v="1"/>
    <x v="773"/>
  </r>
  <r>
    <x v="0"/>
    <x v="577"/>
  </r>
  <r>
    <x v="4"/>
    <x v="774"/>
  </r>
  <r>
    <x v="1"/>
    <x v="775"/>
  </r>
  <r>
    <x v="2"/>
    <x v="776"/>
  </r>
  <r>
    <x v="1"/>
    <x v="777"/>
  </r>
  <r>
    <x v="3"/>
    <x v="640"/>
  </r>
  <r>
    <x v="0"/>
    <x v="281"/>
  </r>
  <r>
    <x v="4"/>
    <x v="271"/>
  </r>
  <r>
    <x v="4"/>
    <x v="778"/>
  </r>
  <r>
    <x v="4"/>
    <x v="779"/>
  </r>
  <r>
    <x v="3"/>
    <x v="780"/>
  </r>
  <r>
    <x v="3"/>
    <x v="20"/>
  </r>
  <r>
    <x v="3"/>
    <x v="781"/>
  </r>
  <r>
    <x v="4"/>
    <x v="782"/>
  </r>
  <r>
    <x v="1"/>
    <x v="783"/>
  </r>
  <r>
    <x v="1"/>
    <x v="784"/>
  </r>
  <r>
    <x v="2"/>
    <x v="351"/>
  </r>
  <r>
    <x v="0"/>
    <x v="713"/>
  </r>
  <r>
    <x v="3"/>
    <x v="785"/>
  </r>
  <r>
    <x v="2"/>
    <x v="786"/>
  </r>
  <r>
    <x v="4"/>
    <x v="491"/>
  </r>
  <r>
    <x v="3"/>
    <x v="146"/>
  </r>
  <r>
    <x v="0"/>
    <x v="231"/>
  </r>
  <r>
    <x v="4"/>
    <x v="531"/>
  </r>
  <r>
    <x v="3"/>
    <x v="787"/>
  </r>
  <r>
    <x v="4"/>
    <x v="455"/>
  </r>
  <r>
    <x v="3"/>
    <x v="314"/>
  </r>
  <r>
    <x v="3"/>
    <x v="279"/>
  </r>
  <r>
    <x v="4"/>
    <x v="788"/>
  </r>
  <r>
    <x v="0"/>
    <x v="509"/>
  </r>
  <r>
    <x v="0"/>
    <x v="789"/>
  </r>
  <r>
    <x v="2"/>
    <x v="790"/>
  </r>
  <r>
    <x v="3"/>
    <x v="716"/>
  </r>
  <r>
    <x v="2"/>
    <x v="14"/>
  </r>
  <r>
    <x v="2"/>
    <x v="542"/>
  </r>
  <r>
    <x v="1"/>
    <x v="791"/>
  </r>
  <r>
    <x v="4"/>
    <x v="792"/>
  </r>
  <r>
    <x v="4"/>
    <x v="793"/>
  </r>
  <r>
    <x v="3"/>
    <x v="59"/>
  </r>
  <r>
    <x v="2"/>
    <x v="794"/>
  </r>
  <r>
    <x v="3"/>
    <x v="795"/>
  </r>
  <r>
    <x v="1"/>
    <x v="796"/>
  </r>
  <r>
    <x v="3"/>
    <x v="144"/>
  </r>
  <r>
    <x v="4"/>
    <x v="797"/>
  </r>
  <r>
    <x v="2"/>
    <x v="708"/>
  </r>
  <r>
    <x v="4"/>
    <x v="798"/>
  </r>
  <r>
    <x v="0"/>
    <x v="799"/>
  </r>
  <r>
    <x v="1"/>
    <x v="800"/>
  </r>
  <r>
    <x v="3"/>
    <x v="801"/>
  </r>
  <r>
    <x v="0"/>
    <x v="802"/>
  </r>
  <r>
    <x v="1"/>
    <x v="803"/>
  </r>
  <r>
    <x v="2"/>
    <x v="804"/>
  </r>
  <r>
    <x v="4"/>
    <x v="554"/>
  </r>
  <r>
    <x v="4"/>
    <x v="805"/>
  </r>
  <r>
    <x v="4"/>
    <x v="806"/>
  </r>
  <r>
    <x v="4"/>
    <x v="807"/>
  </r>
  <r>
    <x v="1"/>
    <x v="441"/>
  </r>
  <r>
    <x v="1"/>
    <x v="808"/>
  </r>
</pivotCacheRecords>
</file>

<file path=xl/pivotCache/pivotCacheRecords2.xml><?xml version="1.0" encoding="utf-8"?>
<pivotCacheRecords xmlns="http://schemas.openxmlformats.org/spreadsheetml/2006/main" xmlns:r="http://schemas.openxmlformats.org/officeDocument/2006/relationships" count="100">
  <r>
    <n v="1E-3"/>
    <x v="0"/>
    <n v="36.340000000000003"/>
  </r>
  <r>
    <n v="1E-3"/>
    <x v="1"/>
    <n v="28.93"/>
  </r>
  <r>
    <n v="1E-3"/>
    <x v="2"/>
    <n v="21.63"/>
  </r>
  <r>
    <n v="1E-3"/>
    <x v="3"/>
    <n v="23.23"/>
  </r>
  <r>
    <n v="1E-3"/>
    <x v="3"/>
    <n v="26.28"/>
  </r>
  <r>
    <n v="1E-3"/>
    <x v="2"/>
    <n v="26.68"/>
  </r>
  <r>
    <n v="1E-3"/>
    <x v="2"/>
    <n v="29.95"/>
  </r>
  <r>
    <n v="1E-3"/>
    <x v="2"/>
    <n v="23.19"/>
  </r>
  <r>
    <n v="1E-3"/>
    <x v="3"/>
    <n v="14.15"/>
  </r>
  <r>
    <n v="1E-3"/>
    <x v="1"/>
    <n v="30.14"/>
  </r>
  <r>
    <n v="1E-3"/>
    <x v="0"/>
    <n v="29.73"/>
  </r>
  <r>
    <n v="1E-3"/>
    <x v="4"/>
    <n v="19.690000000000001"/>
  </r>
  <r>
    <n v="1E-3"/>
    <x v="0"/>
    <n v="33.43"/>
  </r>
  <r>
    <n v="1E-3"/>
    <x v="2"/>
    <n v="18.79"/>
  </r>
  <r>
    <n v="1E-3"/>
    <x v="4"/>
    <n v="32.89"/>
  </r>
  <r>
    <n v="1E-3"/>
    <x v="0"/>
    <n v="24.68"/>
  </r>
  <r>
    <n v="1E-3"/>
    <x v="1"/>
    <n v="35.869999999999997"/>
  </r>
  <r>
    <n v="1E-3"/>
    <x v="2"/>
    <n v="23.19"/>
  </r>
  <r>
    <n v="1E-3"/>
    <x v="1"/>
    <n v="33.28"/>
  </r>
  <r>
    <n v="1E-3"/>
    <x v="1"/>
    <n v="35.89"/>
  </r>
  <r>
    <n v="1E-3"/>
    <x v="0"/>
    <n v="31.16"/>
  </r>
  <r>
    <n v="1E-3"/>
    <x v="3"/>
    <n v="35.74"/>
  </r>
  <r>
    <n v="1E-3"/>
    <x v="4"/>
    <n v="23.53"/>
  </r>
  <r>
    <n v="1E-3"/>
    <x v="0"/>
    <n v="30.56"/>
  </r>
  <r>
    <n v="1E-3"/>
    <x v="3"/>
    <n v="20.83"/>
  </r>
  <r>
    <n v="1E-3"/>
    <x v="3"/>
    <n v="27.67"/>
  </r>
  <r>
    <n v="1E-3"/>
    <x v="4"/>
    <n v="38.42"/>
  </r>
  <r>
    <n v="1E-3"/>
    <x v="4"/>
    <n v="25.9"/>
  </r>
  <r>
    <n v="1E-3"/>
    <x v="1"/>
    <n v="29.83"/>
  </r>
  <r>
    <n v="1E-3"/>
    <x v="1"/>
    <n v="37.86"/>
  </r>
  <r>
    <n v="1E-3"/>
    <x v="4"/>
    <n v="27.81"/>
  </r>
  <r>
    <n v="1E-3"/>
    <x v="3"/>
    <n v="21.94"/>
  </r>
  <r>
    <n v="1E-3"/>
    <x v="2"/>
    <n v="29"/>
  </r>
  <r>
    <n v="1E-3"/>
    <x v="2"/>
    <n v="32.799999999999997"/>
  </r>
  <r>
    <n v="1E-3"/>
    <x v="1"/>
    <n v="30.25"/>
  </r>
  <r>
    <n v="1E-3"/>
    <x v="2"/>
    <n v="18.79"/>
  </r>
  <r>
    <n v="1E-3"/>
    <x v="1"/>
    <n v="29.68"/>
  </r>
  <r>
    <n v="1E-3"/>
    <x v="2"/>
    <n v="23.63"/>
  </r>
  <r>
    <n v="1E-3"/>
    <x v="2"/>
    <n v="27.86"/>
  </r>
  <r>
    <n v="1E-3"/>
    <x v="4"/>
    <n v="29.06"/>
  </r>
  <r>
    <n v="1E-3"/>
    <x v="1"/>
    <n v="30.26"/>
  </r>
  <r>
    <n v="1E-3"/>
    <x v="0"/>
    <n v="27.13"/>
  </r>
  <r>
    <n v="1E-3"/>
    <x v="4"/>
    <n v="31.31"/>
  </r>
  <r>
    <n v="1E-3"/>
    <x v="4"/>
    <n v="31.45"/>
  </r>
  <r>
    <n v="1E-3"/>
    <x v="0"/>
    <n v="30.75"/>
  </r>
  <r>
    <n v="1E-3"/>
    <x v="1"/>
    <n v="42.82"/>
  </r>
  <r>
    <n v="1E-3"/>
    <x v="2"/>
    <n v="27.84"/>
  </r>
  <r>
    <n v="1E-3"/>
    <x v="3"/>
    <n v="24.7"/>
  </r>
  <r>
    <n v="1E-3"/>
    <x v="0"/>
    <n v="20.09"/>
  </r>
  <r>
    <n v="1E-3"/>
    <x v="3"/>
    <n v="25.17"/>
  </r>
  <r>
    <n v="1E-3"/>
    <x v="0"/>
    <n v="26.94"/>
  </r>
  <r>
    <n v="1E-3"/>
    <x v="3"/>
    <n v="31.46"/>
  </r>
  <r>
    <n v="1E-3"/>
    <x v="1"/>
    <n v="34.08"/>
  </r>
  <r>
    <n v="1E-3"/>
    <x v="2"/>
    <n v="22.28"/>
  </r>
  <r>
    <n v="1E-3"/>
    <x v="3"/>
    <n v="26.6"/>
  </r>
  <r>
    <n v="1E-3"/>
    <x v="3"/>
    <n v="21.62"/>
  </r>
  <r>
    <n v="1E-3"/>
    <x v="1"/>
    <n v="30.5"/>
  </r>
  <r>
    <n v="1E-3"/>
    <x v="1"/>
    <n v="31.92"/>
  </r>
  <r>
    <n v="1E-3"/>
    <x v="0"/>
    <n v="28.23"/>
  </r>
  <r>
    <n v="1E-3"/>
    <x v="1"/>
    <n v="33.79"/>
  </r>
  <r>
    <n v="1E-3"/>
    <x v="2"/>
    <n v="17.600000000000001"/>
  </r>
  <r>
    <n v="1E-3"/>
    <x v="2"/>
    <n v="30.34"/>
  </r>
  <r>
    <n v="1E-3"/>
    <x v="3"/>
    <n v="28.99"/>
  </r>
  <r>
    <n v="1E-3"/>
    <x v="3"/>
    <n v="23.02"/>
  </r>
  <r>
    <n v="1E-3"/>
    <x v="1"/>
    <n v="36.79"/>
  </r>
  <r>
    <n v="1E-3"/>
    <x v="3"/>
    <n v="33.29"/>
  </r>
  <r>
    <n v="1E-3"/>
    <x v="1"/>
    <n v="22.16"/>
  </r>
  <r>
    <n v="1E-3"/>
    <x v="3"/>
    <n v="29.73"/>
  </r>
  <r>
    <n v="1E-3"/>
    <x v="4"/>
    <n v="31.31"/>
  </r>
  <r>
    <n v="1E-3"/>
    <x v="4"/>
    <n v="27.23"/>
  </r>
  <r>
    <n v="1E-3"/>
    <x v="1"/>
    <n v="27.68"/>
  </r>
  <r>
    <n v="1E-3"/>
    <x v="4"/>
    <n v="30.83"/>
  </r>
  <r>
    <n v="1E-3"/>
    <x v="3"/>
    <n v="31.89"/>
  </r>
  <r>
    <n v="1E-3"/>
    <x v="3"/>
    <n v="20.63"/>
  </r>
  <r>
    <n v="1E-3"/>
    <x v="1"/>
    <n v="40.85"/>
  </r>
  <r>
    <n v="1E-3"/>
    <x v="4"/>
    <n v="30.5"/>
  </r>
  <r>
    <n v="1E-3"/>
    <x v="1"/>
    <n v="33.74"/>
  </r>
  <r>
    <n v="1E-3"/>
    <x v="2"/>
    <n v="25.09"/>
  </r>
  <r>
    <n v="1E-3"/>
    <x v="3"/>
    <n v="20.29"/>
  </r>
  <r>
    <n v="1E-3"/>
    <x v="0"/>
    <n v="25.28"/>
  </r>
  <r>
    <n v="1E-3"/>
    <x v="0"/>
    <n v="30.76"/>
  </r>
  <r>
    <n v="1E-3"/>
    <x v="0"/>
    <n v="40.020000000000003"/>
  </r>
  <r>
    <n v="1E-3"/>
    <x v="3"/>
    <n v="20.61"/>
  </r>
  <r>
    <n v="1E-3"/>
    <x v="3"/>
    <n v="26.78"/>
  </r>
  <r>
    <n v="1E-3"/>
    <x v="1"/>
    <n v="25.98"/>
  </r>
  <r>
    <n v="1E-3"/>
    <x v="4"/>
    <n v="24.55"/>
  </r>
  <r>
    <n v="1E-3"/>
    <x v="4"/>
    <n v="39.03"/>
  </r>
  <r>
    <n v="1E-3"/>
    <x v="4"/>
    <n v="31.34"/>
  </r>
  <r>
    <n v="1E-3"/>
    <x v="0"/>
    <n v="34.9"/>
  </r>
  <r>
    <n v="1E-3"/>
    <x v="2"/>
    <n v="29"/>
  </r>
  <r>
    <n v="1E-3"/>
    <x v="4"/>
    <n v="31.15"/>
  </r>
  <r>
    <n v="1E-3"/>
    <x v="4"/>
    <n v="18.48"/>
  </r>
  <r>
    <n v="1E-3"/>
    <x v="0"/>
    <n v="34.26"/>
  </r>
  <r>
    <n v="1E-3"/>
    <x v="2"/>
    <n v="19.809999999999999"/>
  </r>
  <r>
    <n v="1E-3"/>
    <x v="1"/>
    <n v="32.85"/>
  </r>
  <r>
    <n v="1E-3"/>
    <x v="3"/>
    <n v="24.56"/>
  </r>
  <r>
    <n v="1E-3"/>
    <x v="0"/>
    <n v="23.19"/>
  </r>
  <r>
    <n v="1E-3"/>
    <x v="2"/>
    <n v="32.799999999999997"/>
  </r>
  <r>
    <n v="1E-3"/>
    <x v="2"/>
    <n v="22.04"/>
  </r>
  <r>
    <n v="1E-3"/>
    <x v="1"/>
    <n v="36.840000000000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3" cacheId="31" dataOnRows="1" applyNumberFormats="0" applyBorderFormats="0" applyFontFormats="0" applyPatternFormats="0" applyAlignmentFormats="0" applyWidthHeightFormats="1" dataCaption="Data" updatedVersion="7" minRefreshableVersion="3" showMemberPropertyTips="0" useAutoFormatting="1" itemPrintTitles="1" createdVersion="7" indent="0" compact="0" compactData="0" gridDropZones="1">
  <location ref="X23:Y30" firstHeaderRow="2" firstDataRow="2" firstDataCol="1"/>
  <pivotFields count="3">
    <pivotField compact="0" outline="0" subtotalTop="0" showAll="0" includeNewItemsInFilter="1" defaultSubtotal="0"/>
    <pivotField axis="axisRow" dataField="1" compact="0" outline="0" subtotalTop="0" showAll="0" includeNewItemsInFilter="1">
      <items count="6">
        <item x="3"/>
        <item x="2"/>
        <item x="4"/>
        <item x="0"/>
        <item x="1"/>
        <item t="default"/>
      </items>
    </pivotField>
    <pivotField compact="0" numFmtId="44" outline="0" subtotalTop="0" showAll="0" includeNewItemsInFilter="1"/>
  </pivotFields>
  <rowFields count="1">
    <field x="1"/>
  </rowFields>
  <rowItems count="6">
    <i>
      <x/>
    </i>
    <i>
      <x v="1"/>
    </i>
    <i>
      <x v="2"/>
    </i>
    <i>
      <x v="3"/>
    </i>
    <i>
      <x v="4"/>
    </i>
    <i t="grand">
      <x/>
    </i>
  </rowItems>
  <colItems count="1">
    <i/>
  </colItems>
  <dataFields count="1">
    <dataField name="Count of Schooling (Years)" fld="1" subtotal="count"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30"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F16:I23" firstHeaderRow="1" firstDataRow="2" firstDataCol="1"/>
  <pivotFields count="2">
    <pivotField axis="axisRow" compact="0" outline="0" subtotalTop="0" showAll="0" includeNewItemsInFilter="1">
      <items count="6">
        <item x="3"/>
        <item x="1"/>
        <item x="0"/>
        <item x="2"/>
        <item x="4"/>
        <item t="default"/>
      </items>
    </pivotField>
    <pivotField dataField="1" compact="0" numFmtId="44" outline="0" subtotalTop="0" showAll="0" includeNewItemsInFilter="1">
      <items count="11">
        <item x="0"/>
        <item x="1"/>
        <item x="2"/>
        <item x="3"/>
        <item x="4"/>
        <item x="5"/>
        <item x="6"/>
        <item x="7"/>
        <item x="8"/>
        <item x="9"/>
        <item t="default"/>
      </items>
    </pivotField>
  </pivotFields>
  <rowFields count="1">
    <field x="0"/>
  </rowFields>
  <rowItems count="6">
    <i>
      <x/>
    </i>
    <i>
      <x v="1"/>
    </i>
    <i>
      <x v="2"/>
    </i>
    <i>
      <x v="3"/>
    </i>
    <i>
      <x v="4"/>
    </i>
    <i t="grand">
      <x/>
    </i>
  </rowItems>
  <colFields count="1">
    <field x="-2"/>
  </colFields>
  <colItems count="3">
    <i>
      <x/>
    </i>
    <i i="1">
      <x v="1"/>
    </i>
    <i i="2">
      <x v="2"/>
    </i>
  </colItems>
  <dataFields count="3">
    <dataField name="Count of Wage ($/hr)" fld="1" subtotal="count" baseField="0" baseItem="0"/>
    <dataField name="Average of Wage ($/hr)" fld="1" subtotal="average" baseField="0" baseItem="0" numFmtId="44"/>
    <dataField name="StdDevp of Wage ($/hr)" fld="1" subtotal="stdDevp" baseField="0" baseItem="0" numFmtId="44"/>
  </dataFields>
  <formats count="1">
    <format dxfId="1">
      <pivotArea outline="0" fieldPosition="0">
        <references count="1">
          <reference field="4294967294" count="2" selected="0">
            <x v="1"/>
            <x v="2"/>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degruyterbrill.com/document/doi/10.1515/jem-2012-0017/html" TargetMode="External"/><Relationship Id="rId7" Type="http://schemas.openxmlformats.org/officeDocument/2006/relationships/ctrlProp" Target="../ctrlProps/ctrlProp1.xml"/><Relationship Id="rId2" Type="http://schemas.openxmlformats.org/officeDocument/2006/relationships/hyperlink" Target="http://www.wabash.edu/econometrics/EconometricsBook/Basic%20Tools/ExcelAddIns/MCSim.htm" TargetMode="External"/><Relationship Id="rId1" Type="http://schemas.openxmlformats.org/officeDocument/2006/relationships/hyperlink" Target="http://www.wabash.edu/econometrics/EconometricsBook/Basic%20Tools/ExcelAddIns/MCSim.ht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printerSettings" Target="../printerSettings/printerSettings3.bin"/><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vmlDrawing" Target="../drawings/vmlDrawing3.vml"/><Relationship Id="rId15" Type="http://schemas.openxmlformats.org/officeDocument/2006/relationships/comments" Target="../comments1.xml"/><Relationship Id="rId10" Type="http://schemas.openxmlformats.org/officeDocument/2006/relationships/ctrlProp" Target="../ctrlProps/ctrlProp8.xml"/><Relationship Id="rId4" Type="http://schemas.openxmlformats.org/officeDocument/2006/relationships/drawing" Target="../drawings/drawing3.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hyperlink" Target="http://www.depauw.edu/learn/stata" TargetMode="Externa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N103"/>
  <sheetViews>
    <sheetView showGridLines="0" workbookViewId="0">
      <selection activeCell="C2" sqref="C2"/>
    </sheetView>
  </sheetViews>
  <sheetFormatPr defaultColWidth="9.21875" defaultRowHeight="15.6" x14ac:dyDescent="0.3"/>
  <cols>
    <col min="1" max="1" width="9.21875" style="87" customWidth="1"/>
    <col min="2" max="2" width="12.21875" style="77" customWidth="1"/>
    <col min="3" max="3" width="12.21875" style="78" customWidth="1"/>
    <col min="4" max="4" width="8.77734375" style="78" customWidth="1"/>
    <col min="5" max="5" width="8.77734375" style="79" customWidth="1"/>
    <col min="6" max="6" width="13.21875" style="80" customWidth="1"/>
    <col min="7" max="7" width="9.21875" style="79"/>
    <col min="8" max="8" width="6.77734375" style="79" customWidth="1"/>
    <col min="9" max="14" width="10.5546875" style="79" customWidth="1"/>
    <col min="15" max="17" width="9.21875" style="79"/>
    <col min="18" max="19" width="9.21875" style="78"/>
    <col min="20" max="20" width="16.21875" style="78" customWidth="1"/>
    <col min="21" max="22" width="12.77734375" style="78" customWidth="1"/>
    <col min="23" max="24" width="9.21875" style="78"/>
    <col min="25" max="26" width="9.21875" style="81"/>
    <col min="27" max="33" width="9.21875" style="78"/>
    <col min="34" max="43" width="9.21875" style="79"/>
    <col min="44" max="50" width="9.21875" style="78"/>
    <col min="51" max="16384" width="9.21875" style="79"/>
  </cols>
  <sheetData>
    <row r="1" spans="1:66" ht="31.2" thickBot="1" x14ac:dyDescent="0.6">
      <c r="A1" s="76" t="s">
        <v>101</v>
      </c>
      <c r="I1" s="78"/>
      <c r="J1" s="78"/>
      <c r="K1" s="78"/>
      <c r="L1" s="78"/>
      <c r="M1" s="78"/>
      <c r="N1" s="78"/>
      <c r="O1" s="78"/>
      <c r="Q1" s="78"/>
      <c r="AH1" s="78"/>
      <c r="AI1" s="78"/>
      <c r="AJ1" s="78"/>
      <c r="AK1" s="78">
        <v>0</v>
      </c>
      <c r="AL1" s="78">
        <v>0</v>
      </c>
      <c r="AM1" s="78"/>
      <c r="AN1" s="78"/>
      <c r="AO1" s="78"/>
      <c r="AP1" s="78"/>
      <c r="AQ1" s="78"/>
      <c r="AY1" s="78"/>
      <c r="AZ1" s="78"/>
      <c r="BA1" s="78"/>
      <c r="BB1" s="78"/>
      <c r="BC1" s="78"/>
      <c r="BD1" s="78"/>
      <c r="BE1" s="78"/>
      <c r="BF1" s="78"/>
      <c r="BG1" s="78"/>
      <c r="BH1" s="78"/>
      <c r="BI1" s="78"/>
      <c r="BJ1" s="78"/>
      <c r="BK1" s="78"/>
      <c r="BL1" s="78"/>
      <c r="BM1" s="78"/>
      <c r="BN1" s="78"/>
    </row>
    <row r="2" spans="1:66" s="85" customFormat="1" ht="42" customHeight="1" thickBot="1" x14ac:dyDescent="0.35">
      <c r="A2" s="82" t="s">
        <v>102</v>
      </c>
      <c r="B2" s="83"/>
      <c r="C2" s="78"/>
      <c r="D2" s="78"/>
      <c r="E2" s="84"/>
      <c r="F2" s="187" t="s">
        <v>103</v>
      </c>
      <c r="G2" s="188"/>
      <c r="I2" s="86"/>
      <c r="J2" s="86"/>
      <c r="K2" s="86"/>
      <c r="L2" s="86"/>
      <c r="M2" s="86"/>
      <c r="N2" s="86"/>
      <c r="O2" s="86"/>
      <c r="Q2" s="86"/>
      <c r="R2" s="78"/>
      <c r="S2" s="78"/>
      <c r="T2" s="78"/>
      <c r="U2" s="78"/>
      <c r="V2" s="78"/>
      <c r="W2" s="86"/>
      <c r="X2" s="86"/>
      <c r="Y2" s="81"/>
      <c r="Z2" s="81"/>
      <c r="AA2" s="86"/>
      <c r="AB2" s="86"/>
      <c r="AC2" s="86"/>
      <c r="AD2" s="86"/>
      <c r="AE2" s="86"/>
      <c r="AF2" s="86"/>
      <c r="AG2" s="86"/>
      <c r="AH2" s="86">
        <v>0</v>
      </c>
      <c r="AI2" s="86"/>
      <c r="AJ2" s="86"/>
      <c r="AK2" s="86">
        <v>0</v>
      </c>
      <c r="AL2" s="86">
        <v>0</v>
      </c>
      <c r="AM2" s="86"/>
      <c r="AN2" s="86"/>
      <c r="AO2" s="86"/>
      <c r="AP2" s="86"/>
      <c r="AQ2" s="86"/>
      <c r="AR2" s="78"/>
      <c r="AS2" s="78"/>
      <c r="AT2" s="78"/>
      <c r="AU2" s="78"/>
      <c r="AV2" s="78"/>
      <c r="AW2" s="78"/>
      <c r="AX2" s="78"/>
      <c r="AY2" s="86"/>
      <c r="AZ2" s="86"/>
      <c r="BA2" s="86"/>
      <c r="BB2" s="86"/>
      <c r="BC2" s="86"/>
      <c r="BD2" s="86"/>
      <c r="BE2" s="86"/>
      <c r="BF2" s="86"/>
      <c r="BG2" s="86"/>
      <c r="BH2" s="86"/>
      <c r="BI2" s="86"/>
      <c r="BJ2" s="86"/>
      <c r="BK2" s="86"/>
      <c r="BL2" s="86"/>
      <c r="BM2" s="86"/>
      <c r="BN2" s="86"/>
    </row>
    <row r="3" spans="1:66" ht="16.2" thickBot="1" x14ac:dyDescent="0.35">
      <c r="A3" s="87">
        <v>1</v>
      </c>
      <c r="B3" s="88"/>
      <c r="E3" s="89"/>
      <c r="F3" s="90"/>
      <c r="G3" s="91" t="s">
        <v>104</v>
      </c>
      <c r="AH3" s="78">
        <v>0.12903225421905518</v>
      </c>
      <c r="AI3" s="78">
        <v>0</v>
      </c>
      <c r="AJ3" s="78"/>
      <c r="AK3" s="78">
        <v>0.12903225421905518</v>
      </c>
      <c r="AL3" s="78">
        <v>0</v>
      </c>
      <c r="AM3" s="78"/>
      <c r="AN3" s="78"/>
      <c r="AO3" s="78"/>
      <c r="AP3" s="78"/>
      <c r="AQ3" s="78"/>
      <c r="AY3" s="78"/>
      <c r="AZ3" s="78"/>
      <c r="BA3" s="78"/>
      <c r="BB3" s="78"/>
      <c r="BC3" s="78"/>
      <c r="BD3" s="78"/>
      <c r="BE3" s="78"/>
      <c r="BF3" s="78"/>
      <c r="BG3" s="78"/>
      <c r="BH3" s="78"/>
      <c r="BI3" s="78"/>
      <c r="BJ3" s="78"/>
      <c r="BK3" s="78"/>
      <c r="BL3" s="78"/>
      <c r="BM3" s="78"/>
      <c r="BN3" s="78"/>
    </row>
    <row r="4" spans="1:66" ht="16.2" thickBot="1" x14ac:dyDescent="0.35">
      <c r="A4" s="87">
        <v>2</v>
      </c>
      <c r="B4" s="88"/>
      <c r="E4" s="89"/>
      <c r="F4" s="92"/>
      <c r="G4" s="93" t="s">
        <v>105</v>
      </c>
      <c r="I4" s="189" t="s">
        <v>58</v>
      </c>
      <c r="J4" s="190"/>
      <c r="K4" s="191"/>
      <c r="L4" s="192" t="s">
        <v>106</v>
      </c>
      <c r="M4" s="192"/>
      <c r="N4" s="193"/>
      <c r="P4" s="94"/>
      <c r="AH4" s="78">
        <v>0.25806450843811035</v>
      </c>
      <c r="AI4" s="78">
        <v>3</v>
      </c>
      <c r="AJ4" s="78"/>
      <c r="AK4" s="78">
        <v>0.12903225421905518</v>
      </c>
      <c r="AL4" s="78">
        <v>3</v>
      </c>
      <c r="AM4" s="78"/>
      <c r="AN4" s="78"/>
      <c r="AO4" s="78"/>
      <c r="AP4" s="78"/>
      <c r="AQ4" s="78"/>
      <c r="AY4" s="78"/>
      <c r="AZ4" s="78"/>
      <c r="BA4" s="78"/>
      <c r="BB4" s="78"/>
      <c r="BC4" s="78"/>
      <c r="BD4" s="78"/>
      <c r="BE4" s="78"/>
      <c r="BF4" s="78"/>
      <c r="BG4" s="78"/>
      <c r="BH4" s="78"/>
      <c r="BI4" s="78"/>
      <c r="BJ4" s="78"/>
      <c r="BK4" s="78"/>
      <c r="BL4" s="78"/>
      <c r="BM4" s="78"/>
      <c r="BN4" s="78"/>
    </row>
    <row r="5" spans="1:66" x14ac:dyDescent="0.3">
      <c r="A5" s="87">
        <v>3</v>
      </c>
      <c r="B5" s="88"/>
      <c r="E5" s="95"/>
      <c r="F5" s="96"/>
      <c r="G5" s="95"/>
      <c r="I5" s="54" t="s">
        <v>0</v>
      </c>
      <c r="J5" s="55">
        <v>1.1671042295446972</v>
      </c>
      <c r="K5" s="56"/>
      <c r="L5" s="97"/>
      <c r="M5" s="98"/>
      <c r="N5" s="99"/>
      <c r="P5" s="94"/>
      <c r="AH5" s="78">
        <v>0.38709676265716553</v>
      </c>
      <c r="AI5" s="78">
        <v>4</v>
      </c>
      <c r="AJ5" s="78"/>
      <c r="AK5" s="78">
        <v>0.25806450843811035</v>
      </c>
      <c r="AL5" s="78">
        <v>3</v>
      </c>
      <c r="AM5" s="78"/>
      <c r="AN5" s="78"/>
      <c r="AO5" s="78"/>
      <c r="AP5" s="78"/>
      <c r="AQ5" s="78"/>
      <c r="AY5" s="78"/>
      <c r="AZ5" s="78"/>
      <c r="BA5" s="78"/>
      <c r="BB5" s="78"/>
      <c r="BC5" s="78"/>
      <c r="BD5" s="78"/>
      <c r="BE5" s="78"/>
      <c r="BF5" s="78"/>
      <c r="BG5" s="78"/>
      <c r="BH5" s="78"/>
      <c r="BI5" s="78"/>
      <c r="BJ5" s="78"/>
      <c r="BK5" s="78"/>
      <c r="BL5" s="78"/>
      <c r="BM5" s="78"/>
      <c r="BN5" s="78"/>
    </row>
    <row r="6" spans="1:66" x14ac:dyDescent="0.3">
      <c r="A6" s="87">
        <v>4</v>
      </c>
      <c r="B6" s="88"/>
      <c r="I6" s="57" t="s">
        <v>1</v>
      </c>
      <c r="J6" s="58">
        <v>0.57603988214435031</v>
      </c>
      <c r="K6" s="7"/>
      <c r="L6" s="100"/>
      <c r="M6" s="101"/>
      <c r="N6" s="7"/>
      <c r="AH6" s="78">
        <v>0.5161290168762207</v>
      </c>
      <c r="AI6" s="78">
        <v>8</v>
      </c>
      <c r="AJ6" s="78"/>
      <c r="AK6" s="78">
        <v>0.25806450843811035</v>
      </c>
      <c r="AL6" s="78">
        <v>4</v>
      </c>
      <c r="AM6" s="78"/>
      <c r="AN6" s="78"/>
      <c r="AO6" s="78"/>
      <c r="AP6" s="78"/>
      <c r="AQ6" s="78"/>
      <c r="AY6" s="78"/>
      <c r="AZ6" s="78"/>
      <c r="BA6" s="78"/>
      <c r="BB6" s="78"/>
      <c r="BC6" s="78"/>
      <c r="BD6" s="78"/>
      <c r="BE6" s="78"/>
      <c r="BF6" s="78"/>
      <c r="BG6" s="78"/>
      <c r="BH6" s="78"/>
      <c r="BI6" s="78"/>
      <c r="BJ6" s="78"/>
      <c r="BK6" s="78"/>
      <c r="BL6" s="78"/>
      <c r="BM6" s="78"/>
      <c r="BN6" s="78"/>
    </row>
    <row r="7" spans="1:66" x14ac:dyDescent="0.3">
      <c r="A7" s="87">
        <v>5</v>
      </c>
      <c r="B7" s="88"/>
      <c r="F7" s="102"/>
      <c r="I7" s="59" t="s">
        <v>2</v>
      </c>
      <c r="J7" s="60">
        <v>2.5793023004401907</v>
      </c>
      <c r="K7" s="56"/>
      <c r="L7" s="103"/>
      <c r="M7" s="89"/>
      <c r="N7" s="7"/>
      <c r="AH7" s="78">
        <v>0.64516127109527588</v>
      </c>
      <c r="AI7" s="78">
        <v>4</v>
      </c>
      <c r="AJ7" s="78"/>
      <c r="AK7" s="78">
        <v>0.38709676265716553</v>
      </c>
      <c r="AL7" s="78">
        <v>4</v>
      </c>
      <c r="AM7" s="78"/>
      <c r="AN7" s="78"/>
      <c r="AO7" s="78"/>
      <c r="AP7" s="78"/>
      <c r="AQ7" s="78"/>
      <c r="AY7" s="78"/>
      <c r="AZ7" s="78"/>
      <c r="BA7" s="78"/>
      <c r="BB7" s="78"/>
      <c r="BC7" s="78"/>
      <c r="BD7" s="78"/>
      <c r="BE7" s="78"/>
      <c r="BF7" s="78"/>
      <c r="BG7" s="78"/>
      <c r="BH7" s="78"/>
      <c r="BI7" s="78"/>
      <c r="BJ7" s="78"/>
      <c r="BK7" s="78"/>
      <c r="BL7" s="78"/>
      <c r="BM7" s="78"/>
      <c r="BN7" s="78"/>
    </row>
    <row r="8" spans="1:66" ht="16.2" thickBot="1" x14ac:dyDescent="0.35">
      <c r="A8" s="87">
        <v>6</v>
      </c>
      <c r="B8" s="88"/>
      <c r="F8" s="102"/>
      <c r="I8" s="61" t="s">
        <v>3</v>
      </c>
      <c r="J8" s="62">
        <v>0.21342784181531316</v>
      </c>
      <c r="K8" s="63"/>
      <c r="L8" s="104"/>
      <c r="M8" s="105"/>
      <c r="N8" s="106"/>
      <c r="AH8" s="78">
        <v>0.77419352531433105</v>
      </c>
      <c r="AI8" s="78">
        <v>9</v>
      </c>
      <c r="AJ8" s="78"/>
      <c r="AK8" s="78">
        <v>0.38709676265716553</v>
      </c>
      <c r="AL8" s="78">
        <v>8</v>
      </c>
      <c r="AM8" s="78"/>
      <c r="AN8" s="78"/>
      <c r="AO8" s="78"/>
      <c r="AP8" s="78"/>
      <c r="AQ8" s="78"/>
      <c r="AY8" s="78"/>
      <c r="AZ8" s="78"/>
      <c r="BA8" s="78"/>
      <c r="BB8" s="78"/>
      <c r="BC8" s="78"/>
      <c r="BD8" s="78"/>
      <c r="BE8" s="78"/>
      <c r="BF8" s="78"/>
      <c r="BG8" s="78"/>
      <c r="BH8" s="78"/>
      <c r="BI8" s="78"/>
      <c r="BJ8" s="78"/>
      <c r="BK8" s="78"/>
      <c r="BL8" s="78"/>
      <c r="BM8" s="78"/>
      <c r="BN8" s="78"/>
    </row>
    <row r="9" spans="1:66" x14ac:dyDescent="0.3">
      <c r="A9" s="87">
        <v>7</v>
      </c>
      <c r="B9" s="88"/>
      <c r="F9" s="102"/>
      <c r="I9" s="95"/>
      <c r="J9" s="107"/>
      <c r="K9" s="95"/>
      <c r="L9" s="95"/>
      <c r="M9" s="95"/>
      <c r="N9" s="95"/>
      <c r="AH9" s="78">
        <v>0.90322577953338623</v>
      </c>
      <c r="AI9" s="78">
        <v>9</v>
      </c>
      <c r="AJ9" s="78"/>
      <c r="AK9" s="78">
        <v>0.5161290168762207</v>
      </c>
      <c r="AL9" s="78">
        <v>8</v>
      </c>
      <c r="AM9" s="78"/>
      <c r="AN9" s="78"/>
      <c r="AO9" s="78"/>
      <c r="AP9" s="78"/>
      <c r="AQ9" s="78"/>
      <c r="AY9" s="78"/>
      <c r="AZ9" s="78"/>
      <c r="BA9" s="78"/>
      <c r="BB9" s="78"/>
      <c r="BC9" s="78"/>
      <c r="BD9" s="78"/>
      <c r="BE9" s="78"/>
      <c r="BF9" s="78"/>
      <c r="BG9" s="78"/>
      <c r="BH9" s="78"/>
      <c r="BI9" s="78"/>
      <c r="BJ9" s="78"/>
      <c r="BK9" s="78"/>
      <c r="BL9" s="78"/>
      <c r="BM9" s="78"/>
      <c r="BN9" s="78"/>
    </row>
    <row r="10" spans="1:66" x14ac:dyDescent="0.3">
      <c r="A10" s="87">
        <v>8</v>
      </c>
      <c r="B10" s="88"/>
      <c r="F10" s="102"/>
      <c r="I10" s="89"/>
      <c r="J10" s="107"/>
      <c r="K10" s="95"/>
      <c r="L10" s="95"/>
      <c r="M10" s="95"/>
      <c r="N10" s="95"/>
      <c r="P10" s="94"/>
      <c r="AH10" s="78">
        <v>1.0322580337524414</v>
      </c>
      <c r="AI10" s="78">
        <v>12</v>
      </c>
      <c r="AJ10" s="78"/>
      <c r="AK10" s="78">
        <v>0.5161290168762207</v>
      </c>
      <c r="AL10" s="78">
        <v>4</v>
      </c>
      <c r="AM10" s="78"/>
      <c r="AN10" s="78"/>
      <c r="AO10" s="78"/>
      <c r="AP10" s="78"/>
      <c r="AQ10" s="78"/>
      <c r="AY10" s="78"/>
      <c r="AZ10" s="78"/>
      <c r="BA10" s="78"/>
      <c r="BB10" s="78"/>
      <c r="BC10" s="78"/>
      <c r="BD10" s="78"/>
      <c r="BE10" s="78"/>
      <c r="BF10" s="78"/>
      <c r="BG10" s="78"/>
      <c r="BH10" s="78"/>
      <c r="BI10" s="78"/>
      <c r="BJ10" s="78"/>
      <c r="BK10" s="78"/>
      <c r="BL10" s="78"/>
      <c r="BM10" s="78"/>
      <c r="BN10" s="78"/>
    </row>
    <row r="11" spans="1:66" x14ac:dyDescent="0.3">
      <c r="A11" s="87">
        <v>9</v>
      </c>
      <c r="B11" s="88"/>
      <c r="I11" s="95"/>
      <c r="J11" s="107"/>
      <c r="K11" s="95"/>
      <c r="L11" s="95"/>
      <c r="M11" s="95"/>
      <c r="N11" s="95"/>
      <c r="P11" s="94"/>
      <c r="AH11" s="78">
        <v>1.1612902879714966</v>
      </c>
      <c r="AI11" s="78">
        <v>8</v>
      </c>
      <c r="AJ11" s="78"/>
      <c r="AK11" s="78">
        <v>0.64516127109527588</v>
      </c>
      <c r="AL11" s="78">
        <v>4</v>
      </c>
      <c r="AM11" s="78"/>
      <c r="AN11" s="78"/>
      <c r="AO11" s="78"/>
      <c r="AP11" s="78"/>
      <c r="AQ11" s="78"/>
      <c r="AY11" s="78"/>
      <c r="AZ11" s="78"/>
      <c r="BA11" s="78"/>
      <c r="BB11" s="78"/>
      <c r="BC11" s="78"/>
      <c r="BD11" s="78"/>
      <c r="BE11" s="78"/>
      <c r="BF11" s="78"/>
      <c r="BG11" s="78"/>
      <c r="BH11" s="78"/>
      <c r="BI11" s="78"/>
      <c r="BJ11" s="78"/>
      <c r="BK11" s="78"/>
      <c r="BL11" s="78"/>
      <c r="BM11" s="78"/>
      <c r="BN11" s="78"/>
    </row>
    <row r="12" spans="1:66" x14ac:dyDescent="0.3">
      <c r="A12" s="87">
        <v>10</v>
      </c>
      <c r="B12" s="88"/>
      <c r="I12" s="95"/>
      <c r="J12" s="95"/>
      <c r="K12" s="95"/>
      <c r="L12" s="95"/>
      <c r="M12" s="95"/>
      <c r="N12" s="95"/>
      <c r="P12" s="94"/>
      <c r="AH12" s="78">
        <v>1.2903225421905518</v>
      </c>
      <c r="AI12" s="78">
        <v>3</v>
      </c>
      <c r="AJ12" s="78"/>
      <c r="AK12" s="78">
        <v>0.64516127109527588</v>
      </c>
      <c r="AL12" s="78">
        <v>9</v>
      </c>
      <c r="AM12" s="78"/>
      <c r="AN12" s="78"/>
      <c r="AO12" s="78"/>
      <c r="AP12" s="78"/>
      <c r="AQ12" s="78"/>
      <c r="AY12" s="78"/>
      <c r="AZ12" s="78"/>
      <c r="BA12" s="78"/>
      <c r="BB12" s="78"/>
      <c r="BC12" s="78"/>
      <c r="BD12" s="78"/>
      <c r="BE12" s="78"/>
      <c r="BF12" s="78"/>
      <c r="BG12" s="78"/>
      <c r="BH12" s="78"/>
      <c r="BI12" s="78"/>
      <c r="BJ12" s="78"/>
      <c r="BK12" s="78"/>
      <c r="BL12" s="78"/>
      <c r="BM12" s="78"/>
      <c r="BN12" s="78"/>
    </row>
    <row r="13" spans="1:66" x14ac:dyDescent="0.3">
      <c r="A13" s="87">
        <v>11</v>
      </c>
      <c r="B13" s="88"/>
      <c r="I13" s="95"/>
      <c r="J13" s="95"/>
      <c r="K13" s="95"/>
      <c r="L13" s="95"/>
      <c r="M13" s="95"/>
      <c r="N13" s="95"/>
      <c r="AH13" s="78">
        <v>1.4193547964096069</v>
      </c>
      <c r="AI13" s="78">
        <v>6</v>
      </c>
      <c r="AJ13" s="78"/>
      <c r="AK13" s="78">
        <v>0.77419352531433105</v>
      </c>
      <c r="AL13" s="78">
        <v>9</v>
      </c>
      <c r="AM13" s="78"/>
      <c r="AN13" s="78"/>
      <c r="AO13" s="78"/>
      <c r="AP13" s="78"/>
      <c r="AQ13" s="78"/>
      <c r="AY13" s="78"/>
      <c r="AZ13" s="78"/>
      <c r="BA13" s="78"/>
      <c r="BB13" s="78"/>
      <c r="BC13" s="78"/>
      <c r="BD13" s="78"/>
      <c r="BE13" s="78"/>
      <c r="BF13" s="78"/>
      <c r="BG13" s="78"/>
      <c r="BH13" s="78"/>
      <c r="BI13" s="78"/>
      <c r="BJ13" s="78"/>
      <c r="BK13" s="78"/>
      <c r="BL13" s="78"/>
      <c r="BM13" s="78"/>
      <c r="BN13" s="78"/>
    </row>
    <row r="14" spans="1:66" x14ac:dyDescent="0.3">
      <c r="A14" s="87">
        <v>12</v>
      </c>
      <c r="B14" s="88"/>
      <c r="E14" s="108"/>
      <c r="I14" s="95"/>
      <c r="J14" s="95"/>
      <c r="K14" s="95"/>
      <c r="L14" s="95"/>
      <c r="M14" s="95"/>
      <c r="N14" s="95"/>
      <c r="AH14" s="78">
        <v>1.5483870506286621</v>
      </c>
      <c r="AI14" s="78">
        <v>7</v>
      </c>
      <c r="AJ14" s="78"/>
      <c r="AK14" s="78">
        <v>0.77419352531433105</v>
      </c>
      <c r="AL14" s="78">
        <v>9</v>
      </c>
      <c r="AM14" s="78"/>
      <c r="AN14" s="78"/>
      <c r="AO14" s="78"/>
      <c r="AP14" s="78"/>
      <c r="AQ14" s="78"/>
      <c r="AY14" s="78"/>
      <c r="AZ14" s="78"/>
      <c r="BA14" s="78"/>
      <c r="BB14" s="78"/>
      <c r="BC14" s="78"/>
      <c r="BD14" s="78"/>
      <c r="BE14" s="78"/>
      <c r="BF14" s="78"/>
      <c r="BG14" s="78"/>
      <c r="BH14" s="78"/>
      <c r="BI14" s="78"/>
      <c r="BJ14" s="78"/>
      <c r="BK14" s="78"/>
      <c r="BL14" s="78"/>
      <c r="BM14" s="78"/>
      <c r="BN14" s="78"/>
    </row>
    <row r="15" spans="1:66" x14ac:dyDescent="0.3">
      <c r="A15" s="87">
        <v>13</v>
      </c>
      <c r="B15" s="88"/>
      <c r="E15" s="108"/>
      <c r="I15" s="95"/>
      <c r="J15" s="95"/>
      <c r="K15" s="95"/>
      <c r="L15" s="95"/>
      <c r="M15" s="95"/>
      <c r="N15" s="95"/>
      <c r="AH15" s="78">
        <v>1.6774193048477173</v>
      </c>
      <c r="AI15" s="78">
        <v>6</v>
      </c>
      <c r="AJ15" s="78"/>
      <c r="AK15" s="78">
        <v>0.90322577953338623</v>
      </c>
      <c r="AL15" s="78">
        <v>9</v>
      </c>
      <c r="AM15" s="78"/>
      <c r="AN15" s="78"/>
      <c r="AO15" s="78"/>
      <c r="AP15" s="78"/>
      <c r="AQ15" s="78"/>
      <c r="AY15" s="78"/>
      <c r="AZ15" s="78"/>
      <c r="BA15" s="78"/>
      <c r="BB15" s="78"/>
      <c r="BC15" s="78"/>
      <c r="BD15" s="78"/>
      <c r="BE15" s="78"/>
      <c r="BF15" s="78"/>
      <c r="BG15" s="78"/>
      <c r="BH15" s="78"/>
      <c r="BI15" s="78"/>
      <c r="BJ15" s="78"/>
      <c r="BK15" s="78"/>
      <c r="BL15" s="78"/>
      <c r="BM15" s="78"/>
      <c r="BN15" s="78"/>
    </row>
    <row r="16" spans="1:66" x14ac:dyDescent="0.3">
      <c r="A16" s="87">
        <v>14</v>
      </c>
      <c r="B16" s="88"/>
      <c r="E16" s="108"/>
      <c r="I16" s="95"/>
      <c r="J16" s="95"/>
      <c r="K16" s="95"/>
      <c r="L16" s="95"/>
      <c r="M16" s="95"/>
      <c r="N16" s="95"/>
      <c r="AH16" s="78">
        <v>1.8064515590667725</v>
      </c>
      <c r="AI16" s="78">
        <v>6</v>
      </c>
      <c r="AJ16" s="78"/>
      <c r="AK16" s="78">
        <v>0.90322577953338623</v>
      </c>
      <c r="AL16" s="78">
        <v>12</v>
      </c>
      <c r="AM16" s="78"/>
      <c r="AN16" s="78"/>
      <c r="AO16" s="78"/>
      <c r="AP16" s="78"/>
      <c r="AQ16" s="78"/>
      <c r="AY16" s="78"/>
      <c r="AZ16" s="78"/>
      <c r="BA16" s="78"/>
      <c r="BB16" s="78"/>
      <c r="BC16" s="78"/>
      <c r="BD16" s="78"/>
      <c r="BE16" s="78"/>
      <c r="BF16" s="78"/>
      <c r="BG16" s="78"/>
      <c r="BH16" s="78"/>
      <c r="BI16" s="78"/>
      <c r="BJ16" s="78"/>
      <c r="BK16" s="78"/>
      <c r="BL16" s="78"/>
      <c r="BM16" s="78"/>
      <c r="BN16" s="78"/>
    </row>
    <row r="17" spans="1:66" x14ac:dyDescent="0.3">
      <c r="A17" s="87">
        <v>15</v>
      </c>
      <c r="B17" s="88"/>
      <c r="I17" s="95"/>
      <c r="J17" s="95"/>
      <c r="K17" s="95"/>
      <c r="L17" s="95"/>
      <c r="M17" s="95"/>
      <c r="N17" s="95"/>
      <c r="AH17" s="78">
        <v>1.9354838132858276</v>
      </c>
      <c r="AI17" s="78">
        <v>2</v>
      </c>
      <c r="AJ17" s="78"/>
      <c r="AK17" s="78">
        <v>1.0322580337524414</v>
      </c>
      <c r="AL17" s="78">
        <v>12</v>
      </c>
      <c r="AM17" s="78"/>
      <c r="AN17" s="78"/>
      <c r="AO17" s="78"/>
      <c r="AP17" s="78"/>
      <c r="AQ17" s="78"/>
      <c r="AY17" s="78"/>
      <c r="AZ17" s="78"/>
      <c r="BA17" s="78"/>
      <c r="BB17" s="78"/>
      <c r="BC17" s="78"/>
      <c r="BD17" s="78"/>
      <c r="BE17" s="78"/>
      <c r="BF17" s="78"/>
      <c r="BG17" s="78"/>
      <c r="BH17" s="78"/>
      <c r="BI17" s="78"/>
      <c r="BJ17" s="78"/>
      <c r="BK17" s="78"/>
      <c r="BL17" s="78"/>
      <c r="BM17" s="78"/>
      <c r="BN17" s="78"/>
    </row>
    <row r="18" spans="1:66" x14ac:dyDescent="0.3">
      <c r="A18" s="87">
        <v>16</v>
      </c>
      <c r="B18" s="88"/>
      <c r="I18" s="95"/>
      <c r="J18" s="95"/>
      <c r="K18" s="95"/>
      <c r="L18" s="95"/>
      <c r="M18" s="95"/>
      <c r="N18" s="95"/>
      <c r="AH18" s="78">
        <v>2.0645160675048828</v>
      </c>
      <c r="AI18" s="78">
        <v>5</v>
      </c>
      <c r="AJ18" s="78"/>
      <c r="AK18" s="78">
        <v>1.0322580337524414</v>
      </c>
      <c r="AL18" s="78">
        <v>8</v>
      </c>
      <c r="AM18" s="78"/>
      <c r="AN18" s="78"/>
      <c r="AO18" s="78"/>
      <c r="AP18" s="78"/>
      <c r="AQ18" s="78"/>
      <c r="AY18" s="78"/>
      <c r="AZ18" s="78"/>
      <c r="BA18" s="78"/>
      <c r="BB18" s="78"/>
      <c r="BC18" s="78"/>
      <c r="BD18" s="78"/>
      <c r="BE18" s="78"/>
      <c r="BF18" s="78"/>
      <c r="BG18" s="78"/>
      <c r="BH18" s="78"/>
      <c r="BI18" s="78"/>
      <c r="BJ18" s="78"/>
      <c r="BK18" s="78"/>
      <c r="BL18" s="78"/>
      <c r="BM18" s="78"/>
      <c r="BN18" s="78"/>
    </row>
    <row r="19" spans="1:66" x14ac:dyDescent="0.3">
      <c r="A19" s="87">
        <v>17</v>
      </c>
      <c r="B19" s="88"/>
      <c r="I19" s="95"/>
      <c r="J19" s="95"/>
      <c r="K19" s="95"/>
      <c r="L19" s="95"/>
      <c r="M19" s="95"/>
      <c r="N19" s="95"/>
      <c r="AH19" s="78">
        <v>2.193548321723938</v>
      </c>
      <c r="AI19" s="78">
        <v>2</v>
      </c>
      <c r="AJ19" s="78"/>
      <c r="AK19" s="78">
        <v>1.1612902879714966</v>
      </c>
      <c r="AL19" s="78">
        <v>8</v>
      </c>
      <c r="AM19" s="78"/>
      <c r="AN19" s="78"/>
      <c r="AO19" s="78"/>
      <c r="AP19" s="78"/>
      <c r="AQ19" s="78"/>
      <c r="AY19" s="78"/>
      <c r="AZ19" s="78"/>
      <c r="BA19" s="78"/>
      <c r="BB19" s="78"/>
      <c r="BC19" s="78"/>
      <c r="BD19" s="78"/>
      <c r="BE19" s="78"/>
      <c r="BF19" s="78"/>
      <c r="BG19" s="78"/>
      <c r="BH19" s="78"/>
      <c r="BI19" s="78"/>
      <c r="BJ19" s="78"/>
      <c r="BK19" s="78"/>
      <c r="BL19" s="78"/>
      <c r="BM19" s="78"/>
      <c r="BN19" s="78"/>
    </row>
    <row r="20" spans="1:66" x14ac:dyDescent="0.3">
      <c r="A20" s="87">
        <v>18</v>
      </c>
      <c r="B20" s="88"/>
      <c r="I20" s="95"/>
      <c r="J20" s="95"/>
      <c r="K20" s="95"/>
      <c r="L20" s="95"/>
      <c r="M20" s="95"/>
      <c r="N20" s="95"/>
      <c r="AH20" s="78">
        <v>2.3225805759429932</v>
      </c>
      <c r="AI20" s="78">
        <v>3</v>
      </c>
      <c r="AJ20" s="78"/>
      <c r="AK20" s="78">
        <v>1.1612902879714966</v>
      </c>
      <c r="AL20" s="78">
        <v>3</v>
      </c>
      <c r="AM20" s="78"/>
      <c r="AN20" s="78"/>
      <c r="AO20" s="78"/>
      <c r="AP20" s="78"/>
      <c r="AQ20" s="78"/>
      <c r="AY20" s="78"/>
      <c r="AZ20" s="78"/>
      <c r="BA20" s="78"/>
      <c r="BB20" s="78"/>
      <c r="BC20" s="78"/>
      <c r="BD20" s="78"/>
      <c r="BE20" s="78"/>
      <c r="BF20" s="78"/>
      <c r="BG20" s="78"/>
      <c r="BH20" s="78"/>
      <c r="BI20" s="78"/>
      <c r="BJ20" s="78"/>
      <c r="BK20" s="78"/>
      <c r="BL20" s="78"/>
      <c r="BM20" s="78"/>
      <c r="BN20" s="78"/>
    </row>
    <row r="21" spans="1:66" x14ac:dyDescent="0.3">
      <c r="A21" s="87">
        <v>19</v>
      </c>
      <c r="B21" s="88"/>
      <c r="I21" s="95"/>
      <c r="J21" s="95"/>
      <c r="K21" s="95"/>
      <c r="L21" s="95"/>
      <c r="M21" s="95"/>
      <c r="N21" s="95"/>
      <c r="AH21" s="78">
        <v>2.4516128301620483</v>
      </c>
      <c r="AI21" s="78">
        <v>2</v>
      </c>
      <c r="AJ21" s="78"/>
      <c r="AK21" s="78">
        <v>1.2903225421905518</v>
      </c>
      <c r="AL21" s="78">
        <v>3</v>
      </c>
      <c r="AM21" s="78"/>
      <c r="AN21" s="78"/>
      <c r="AO21" s="78"/>
      <c r="AP21" s="78"/>
      <c r="AQ21" s="78"/>
      <c r="AY21" s="78"/>
      <c r="AZ21" s="78"/>
      <c r="BA21" s="78"/>
      <c r="BB21" s="78"/>
      <c r="BC21" s="78"/>
      <c r="BD21" s="78"/>
      <c r="BE21" s="78"/>
      <c r="BF21" s="78"/>
      <c r="BG21" s="78"/>
      <c r="BH21" s="78"/>
      <c r="BI21" s="78"/>
      <c r="BJ21" s="78"/>
      <c r="BK21" s="78"/>
      <c r="BL21" s="78"/>
      <c r="BM21" s="78"/>
      <c r="BN21" s="78"/>
    </row>
    <row r="22" spans="1:66" x14ac:dyDescent="0.3">
      <c r="A22" s="87">
        <v>20</v>
      </c>
      <c r="B22" s="88"/>
      <c r="I22" s="95"/>
      <c r="J22" s="95"/>
      <c r="K22" s="95"/>
      <c r="L22" s="95"/>
      <c r="M22" s="95"/>
      <c r="N22" s="95"/>
      <c r="AH22" s="78">
        <v>2.5806450843811035</v>
      </c>
      <c r="AI22" s="78">
        <v>1</v>
      </c>
      <c r="AJ22" s="78"/>
      <c r="AK22" s="78">
        <v>1.2903225421905518</v>
      </c>
      <c r="AL22" s="78">
        <v>6</v>
      </c>
      <c r="AM22" s="78"/>
      <c r="AN22" s="78"/>
      <c r="AO22" s="78"/>
      <c r="AP22" s="78"/>
      <c r="AQ22" s="78"/>
      <c r="AY22" s="78"/>
      <c r="AZ22" s="78"/>
      <c r="BA22" s="78"/>
      <c r="BB22" s="78"/>
      <c r="BC22" s="78"/>
      <c r="BD22" s="78"/>
      <c r="BE22" s="78"/>
      <c r="BF22" s="78"/>
      <c r="BG22" s="78"/>
      <c r="BH22" s="78"/>
      <c r="BI22" s="78"/>
      <c r="BJ22" s="78"/>
      <c r="BK22" s="78"/>
      <c r="BL22" s="78"/>
      <c r="BM22" s="78"/>
      <c r="BN22" s="78"/>
    </row>
    <row r="23" spans="1:66" x14ac:dyDescent="0.3">
      <c r="A23" s="87">
        <v>21</v>
      </c>
      <c r="B23" s="88"/>
      <c r="AH23" s="78">
        <v>2.7096773386001587</v>
      </c>
      <c r="AI23" s="78">
        <v>0</v>
      </c>
      <c r="AJ23" s="78"/>
      <c r="AK23" s="78">
        <v>1.4193547964096069</v>
      </c>
      <c r="AL23" s="78">
        <v>6</v>
      </c>
      <c r="AM23" s="78"/>
      <c r="AN23" s="78"/>
      <c r="AO23" s="78"/>
      <c r="AP23" s="78"/>
      <c r="AQ23" s="78"/>
      <c r="AY23" s="78"/>
      <c r="AZ23" s="78"/>
      <c r="BA23" s="78"/>
      <c r="BB23" s="78"/>
      <c r="BC23" s="78"/>
      <c r="BD23" s="78"/>
      <c r="BE23" s="78"/>
      <c r="BF23" s="78"/>
      <c r="BG23" s="78"/>
      <c r="BH23" s="78"/>
      <c r="BI23" s="78"/>
      <c r="BJ23" s="78"/>
      <c r="BK23" s="78"/>
      <c r="BL23" s="78"/>
      <c r="BM23" s="78"/>
      <c r="BN23" s="78"/>
    </row>
    <row r="24" spans="1:66" x14ac:dyDescent="0.3">
      <c r="A24" s="87">
        <v>22</v>
      </c>
      <c r="B24" s="88"/>
      <c r="AH24" s="78">
        <v>2.8387095928192139</v>
      </c>
      <c r="AI24" s="78">
        <v>0</v>
      </c>
      <c r="AJ24" s="78"/>
      <c r="AK24" s="78">
        <v>1.4193547964096069</v>
      </c>
      <c r="AL24" s="78">
        <v>7</v>
      </c>
      <c r="AM24" s="78"/>
      <c r="AN24" s="78"/>
      <c r="AO24" s="78"/>
      <c r="AP24" s="78"/>
      <c r="AQ24" s="78"/>
      <c r="AY24" s="78"/>
      <c r="AZ24" s="78"/>
      <c r="BA24" s="78"/>
      <c r="BB24" s="78"/>
      <c r="BC24" s="78"/>
      <c r="BD24" s="78"/>
      <c r="BE24" s="78"/>
      <c r="BF24" s="78"/>
      <c r="BG24" s="78"/>
      <c r="BH24" s="78"/>
      <c r="BI24" s="78"/>
      <c r="BJ24" s="78"/>
      <c r="BK24" s="78"/>
      <c r="BL24" s="78"/>
      <c r="BM24" s="78"/>
      <c r="BN24" s="78"/>
    </row>
    <row r="25" spans="1:66" x14ac:dyDescent="0.3">
      <c r="A25" s="87">
        <v>23</v>
      </c>
      <c r="B25" s="88"/>
      <c r="AH25" s="78">
        <v>2.967741847038269</v>
      </c>
      <c r="AI25" s="78">
        <v>0</v>
      </c>
      <c r="AJ25" s="78"/>
      <c r="AK25" s="78">
        <v>1.5483870506286621</v>
      </c>
      <c r="AL25" s="78">
        <v>7</v>
      </c>
      <c r="AM25" s="78"/>
      <c r="AN25" s="78"/>
      <c r="AO25" s="78"/>
      <c r="AP25" s="78"/>
      <c r="AQ25" s="78"/>
      <c r="AY25" s="78"/>
      <c r="AZ25" s="78"/>
      <c r="BA25" s="78"/>
      <c r="BB25" s="78"/>
      <c r="BC25" s="78"/>
      <c r="BD25" s="78"/>
      <c r="BE25" s="78"/>
      <c r="BF25" s="78"/>
      <c r="BG25" s="78"/>
      <c r="BH25" s="78"/>
      <c r="BI25" s="78"/>
      <c r="BJ25" s="78"/>
      <c r="BK25" s="78"/>
      <c r="BL25" s="78"/>
      <c r="BM25" s="78"/>
      <c r="BN25" s="78"/>
    </row>
    <row r="26" spans="1:66" x14ac:dyDescent="0.3">
      <c r="A26" s="87">
        <v>24</v>
      </c>
      <c r="B26" s="88"/>
      <c r="AH26" s="78">
        <v>3.0967741012573242</v>
      </c>
      <c r="AI26" s="78">
        <v>0</v>
      </c>
      <c r="AJ26" s="78"/>
      <c r="AK26" s="78">
        <v>1.5483870506286621</v>
      </c>
      <c r="AL26" s="78">
        <v>6</v>
      </c>
      <c r="AM26" s="78"/>
      <c r="AN26" s="78"/>
      <c r="AO26" s="78"/>
      <c r="AP26" s="78"/>
      <c r="AQ26" s="78"/>
      <c r="AY26" s="78"/>
      <c r="AZ26" s="78"/>
      <c r="BA26" s="78"/>
      <c r="BB26" s="78"/>
      <c r="BC26" s="78"/>
      <c r="BD26" s="78"/>
      <c r="BE26" s="78"/>
      <c r="BF26" s="78"/>
      <c r="BG26" s="78"/>
      <c r="BH26" s="78"/>
      <c r="BI26" s="78"/>
      <c r="BJ26" s="78"/>
      <c r="BK26" s="78"/>
      <c r="BL26" s="78"/>
      <c r="BM26" s="78"/>
      <c r="BN26" s="78"/>
    </row>
    <row r="27" spans="1:66" x14ac:dyDescent="0.3">
      <c r="A27" s="87">
        <v>25</v>
      </c>
      <c r="B27" s="88"/>
      <c r="AH27" s="78">
        <v>3.2258063554763794</v>
      </c>
      <c r="AI27" s="78">
        <v>0</v>
      </c>
      <c r="AJ27" s="78"/>
      <c r="AK27" s="78">
        <v>1.6774193048477173</v>
      </c>
      <c r="AL27" s="78">
        <v>6</v>
      </c>
      <c r="AM27" s="78"/>
      <c r="AN27" s="78"/>
      <c r="AO27" s="78"/>
      <c r="AP27" s="78"/>
      <c r="AQ27" s="78"/>
      <c r="AY27" s="78"/>
      <c r="AZ27" s="78"/>
      <c r="BA27" s="78"/>
      <c r="BB27" s="78"/>
      <c r="BC27" s="78"/>
      <c r="BD27" s="78"/>
      <c r="BE27" s="78"/>
      <c r="BF27" s="78"/>
      <c r="BG27" s="78"/>
      <c r="BH27" s="78"/>
      <c r="BI27" s="78"/>
      <c r="BJ27" s="78"/>
      <c r="BK27" s="78"/>
      <c r="BL27" s="78"/>
      <c r="BM27" s="78"/>
      <c r="BN27" s="78"/>
    </row>
    <row r="28" spans="1:66" x14ac:dyDescent="0.3">
      <c r="A28" s="87">
        <v>26</v>
      </c>
      <c r="B28" s="88"/>
      <c r="AH28" s="78">
        <v>3.3548386096954346</v>
      </c>
      <c r="AI28" s="78">
        <v>0</v>
      </c>
      <c r="AJ28" s="78"/>
      <c r="AK28" s="78">
        <v>1.6774193048477173</v>
      </c>
      <c r="AL28" s="78">
        <v>6</v>
      </c>
      <c r="AM28" s="78"/>
      <c r="AN28" s="78"/>
      <c r="AO28" s="78"/>
      <c r="AP28" s="78"/>
      <c r="AQ28" s="78"/>
      <c r="AY28" s="78"/>
      <c r="AZ28" s="78"/>
      <c r="BA28" s="78"/>
      <c r="BB28" s="78"/>
      <c r="BC28" s="78"/>
      <c r="BD28" s="78"/>
      <c r="BE28" s="78"/>
      <c r="BF28" s="78"/>
      <c r="BG28" s="78"/>
      <c r="BH28" s="78"/>
      <c r="BI28" s="78"/>
      <c r="BJ28" s="78"/>
      <c r="BK28" s="78"/>
      <c r="BL28" s="78"/>
      <c r="BM28" s="78"/>
      <c r="BN28" s="78"/>
    </row>
    <row r="29" spans="1:66" x14ac:dyDescent="0.3">
      <c r="A29" s="87">
        <v>27</v>
      </c>
      <c r="B29" s="88"/>
      <c r="AH29" s="78">
        <v>3.4838708639144897</v>
      </c>
      <c r="AI29" s="78">
        <v>0</v>
      </c>
      <c r="AJ29" s="78"/>
      <c r="AK29" s="78">
        <v>1.8064515590667725</v>
      </c>
      <c r="AL29" s="78">
        <v>6</v>
      </c>
      <c r="AM29" s="78"/>
      <c r="AN29" s="78"/>
      <c r="AO29" s="78"/>
      <c r="AP29" s="78"/>
      <c r="AQ29" s="78"/>
      <c r="AY29" s="78"/>
      <c r="AZ29" s="78"/>
      <c r="BA29" s="78"/>
      <c r="BB29" s="78"/>
      <c r="BC29" s="78"/>
      <c r="BD29" s="78"/>
      <c r="BE29" s="78"/>
      <c r="BF29" s="78"/>
      <c r="BG29" s="78"/>
      <c r="BH29" s="78"/>
      <c r="BI29" s="78"/>
      <c r="BJ29" s="78"/>
      <c r="BK29" s="78"/>
      <c r="BL29" s="78"/>
      <c r="BM29" s="78"/>
      <c r="BN29" s="78"/>
    </row>
    <row r="30" spans="1:66" x14ac:dyDescent="0.3">
      <c r="A30" s="87">
        <v>28</v>
      </c>
      <c r="B30" s="88"/>
      <c r="AH30" s="78">
        <v>3.6129031181335449</v>
      </c>
      <c r="AI30" s="78">
        <v>0</v>
      </c>
      <c r="AJ30" s="78"/>
      <c r="AK30" s="78">
        <v>1.8064515590667725</v>
      </c>
      <c r="AL30" s="78">
        <v>2</v>
      </c>
      <c r="AM30" s="78"/>
      <c r="AN30" s="78"/>
      <c r="AO30" s="78"/>
      <c r="AP30" s="78"/>
      <c r="AQ30" s="78"/>
      <c r="AY30" s="78"/>
      <c r="AZ30" s="78"/>
      <c r="BA30" s="78"/>
      <c r="BB30" s="78"/>
      <c r="BC30" s="78"/>
      <c r="BD30" s="78"/>
      <c r="BE30" s="78"/>
      <c r="BF30" s="78"/>
      <c r="BG30" s="78"/>
      <c r="BH30" s="78"/>
      <c r="BI30" s="78"/>
      <c r="BJ30" s="78"/>
      <c r="BK30" s="78"/>
      <c r="BL30" s="78"/>
      <c r="BM30" s="78"/>
      <c r="BN30" s="78"/>
    </row>
    <row r="31" spans="1:66" x14ac:dyDescent="0.3">
      <c r="A31" s="87">
        <v>29</v>
      </c>
      <c r="B31" s="88"/>
      <c r="AH31" s="78">
        <v>3.7419353723526001</v>
      </c>
      <c r="AI31" s="78">
        <v>0</v>
      </c>
      <c r="AJ31" s="78"/>
      <c r="AK31" s="78">
        <v>1.9354838132858276</v>
      </c>
      <c r="AL31" s="78">
        <v>2</v>
      </c>
      <c r="AM31" s="78"/>
      <c r="AN31" s="78"/>
      <c r="AO31" s="78"/>
      <c r="AP31" s="78"/>
      <c r="AQ31" s="78"/>
      <c r="AY31" s="78"/>
      <c r="AZ31" s="78"/>
      <c r="BA31" s="78"/>
      <c r="BB31" s="78"/>
      <c r="BC31" s="78"/>
      <c r="BD31" s="78"/>
      <c r="BE31" s="78"/>
      <c r="BF31" s="78"/>
      <c r="BG31" s="78"/>
      <c r="BH31" s="78"/>
      <c r="BI31" s="78"/>
      <c r="BJ31" s="78"/>
      <c r="BK31" s="78"/>
      <c r="BL31" s="78"/>
      <c r="BM31" s="78"/>
      <c r="BN31" s="78"/>
    </row>
    <row r="32" spans="1:66" x14ac:dyDescent="0.3">
      <c r="A32" s="87">
        <v>30</v>
      </c>
      <c r="B32" s="88"/>
      <c r="AH32" s="78">
        <v>3.8709676265716553</v>
      </c>
      <c r="AI32" s="78">
        <v>0</v>
      </c>
      <c r="AJ32" s="78"/>
      <c r="AK32" s="78">
        <v>1.9354838132858276</v>
      </c>
      <c r="AL32" s="78">
        <v>5</v>
      </c>
      <c r="AM32" s="78"/>
      <c r="AN32" s="78"/>
      <c r="AO32" s="78"/>
      <c r="AP32" s="78"/>
      <c r="AQ32" s="78"/>
      <c r="AY32" s="78"/>
      <c r="AZ32" s="78"/>
      <c r="BA32" s="78"/>
      <c r="BB32" s="78"/>
      <c r="BC32" s="78"/>
      <c r="BD32" s="78"/>
      <c r="BE32" s="78"/>
      <c r="BF32" s="78"/>
      <c r="BG32" s="78"/>
      <c r="BH32" s="78"/>
      <c r="BI32" s="78"/>
      <c r="BJ32" s="78"/>
      <c r="BK32" s="78"/>
      <c r="BL32" s="78"/>
      <c r="BM32" s="78"/>
      <c r="BN32" s="78"/>
    </row>
    <row r="33" spans="1:66" x14ac:dyDescent="0.3">
      <c r="A33" s="87">
        <v>31</v>
      </c>
      <c r="B33" s="88"/>
      <c r="AH33" s="78">
        <v>3.9999998807907104</v>
      </c>
      <c r="AI33" s="78">
        <v>0</v>
      </c>
      <c r="AJ33" s="78"/>
      <c r="AK33" s="78">
        <v>2.0645160675048828</v>
      </c>
      <c r="AL33" s="78">
        <v>5</v>
      </c>
      <c r="AM33" s="78"/>
      <c r="AN33" s="78"/>
      <c r="AO33" s="78"/>
      <c r="AP33" s="78"/>
      <c r="AQ33" s="78"/>
      <c r="AY33" s="78"/>
      <c r="AZ33" s="78"/>
      <c r="BA33" s="78"/>
      <c r="BB33" s="78"/>
      <c r="BC33" s="78"/>
      <c r="BD33" s="78"/>
      <c r="BE33" s="78"/>
      <c r="BF33" s="78"/>
      <c r="BG33" s="78"/>
      <c r="BH33" s="78"/>
      <c r="BI33" s="78"/>
      <c r="BJ33" s="78"/>
      <c r="BK33" s="78"/>
      <c r="BL33" s="78"/>
      <c r="BM33" s="78"/>
      <c r="BN33" s="78"/>
    </row>
    <row r="34" spans="1:66" x14ac:dyDescent="0.3">
      <c r="A34" s="87">
        <v>32</v>
      </c>
      <c r="B34" s="88"/>
      <c r="AH34" s="78"/>
      <c r="AI34" s="78"/>
      <c r="AJ34" s="78"/>
      <c r="AK34" s="78">
        <v>2.0645160675048828</v>
      </c>
      <c r="AL34" s="78">
        <v>2</v>
      </c>
      <c r="AM34" s="78"/>
      <c r="AN34" s="78"/>
      <c r="AO34" s="78"/>
      <c r="AP34" s="78"/>
      <c r="AQ34" s="78"/>
      <c r="AY34" s="78"/>
      <c r="AZ34" s="78"/>
      <c r="BA34" s="78"/>
      <c r="BB34" s="78"/>
      <c r="BC34" s="78"/>
      <c r="BD34" s="78"/>
      <c r="BE34" s="78"/>
      <c r="BF34" s="78"/>
      <c r="BG34" s="78"/>
      <c r="BH34" s="78"/>
      <c r="BI34" s="78"/>
      <c r="BJ34" s="78"/>
      <c r="BK34" s="78"/>
      <c r="BL34" s="78"/>
      <c r="BM34" s="78"/>
      <c r="BN34" s="78"/>
    </row>
    <row r="35" spans="1:66" x14ac:dyDescent="0.3">
      <c r="A35" s="87">
        <v>33</v>
      </c>
      <c r="B35" s="88"/>
      <c r="AH35" s="78"/>
      <c r="AI35" s="78"/>
      <c r="AJ35" s="78"/>
      <c r="AK35" s="78">
        <v>2.193548321723938</v>
      </c>
      <c r="AL35" s="78">
        <v>2</v>
      </c>
      <c r="AM35" s="78"/>
      <c r="AN35" s="78"/>
      <c r="AO35" s="78"/>
      <c r="AP35" s="78"/>
      <c r="AQ35" s="78"/>
      <c r="AY35" s="78"/>
      <c r="AZ35" s="78"/>
      <c r="BA35" s="78"/>
      <c r="BB35" s="78"/>
      <c r="BC35" s="78"/>
      <c r="BD35" s="78"/>
      <c r="BE35" s="78"/>
      <c r="BF35" s="78"/>
      <c r="BG35" s="78"/>
      <c r="BH35" s="78"/>
      <c r="BI35" s="78"/>
      <c r="BJ35" s="78"/>
      <c r="BK35" s="78"/>
      <c r="BL35" s="78"/>
      <c r="BM35" s="78"/>
      <c r="BN35" s="78"/>
    </row>
    <row r="36" spans="1:66" x14ac:dyDescent="0.3">
      <c r="A36" s="87">
        <v>34</v>
      </c>
      <c r="B36" s="88"/>
      <c r="AH36" s="78"/>
      <c r="AI36" s="78"/>
      <c r="AJ36" s="78"/>
      <c r="AK36" s="78">
        <v>2.193548321723938</v>
      </c>
      <c r="AL36" s="78">
        <v>3</v>
      </c>
      <c r="AM36" s="78"/>
      <c r="AN36" s="78"/>
      <c r="AO36" s="78"/>
      <c r="AP36" s="78"/>
      <c r="AQ36" s="78"/>
      <c r="AY36" s="78"/>
      <c r="AZ36" s="78"/>
      <c r="BA36" s="78"/>
      <c r="BB36" s="78"/>
      <c r="BC36" s="78"/>
      <c r="BD36" s="78"/>
      <c r="BE36" s="78"/>
      <c r="BF36" s="78"/>
      <c r="BG36" s="78"/>
      <c r="BH36" s="78"/>
      <c r="BI36" s="78"/>
      <c r="BJ36" s="78"/>
      <c r="BK36" s="78"/>
      <c r="BL36" s="78"/>
      <c r="BM36" s="78"/>
      <c r="BN36" s="78"/>
    </row>
    <row r="37" spans="1:66" x14ac:dyDescent="0.3">
      <c r="A37" s="87">
        <v>35</v>
      </c>
      <c r="B37" s="88"/>
      <c r="AH37" s="78"/>
      <c r="AI37" s="78"/>
      <c r="AJ37" s="78"/>
      <c r="AK37" s="78">
        <v>2.3225805759429932</v>
      </c>
      <c r="AL37" s="78">
        <v>3</v>
      </c>
      <c r="AM37" s="78"/>
      <c r="AN37" s="78"/>
      <c r="AO37" s="78"/>
      <c r="AP37" s="78"/>
      <c r="AQ37" s="78"/>
      <c r="AY37" s="78"/>
      <c r="AZ37" s="78"/>
      <c r="BA37" s="78"/>
      <c r="BB37" s="78"/>
      <c r="BC37" s="78"/>
      <c r="BD37" s="78"/>
      <c r="BE37" s="78"/>
      <c r="BF37" s="78"/>
      <c r="BG37" s="78"/>
      <c r="BH37" s="78"/>
      <c r="BI37" s="78"/>
      <c r="BJ37" s="78"/>
      <c r="BK37" s="78"/>
      <c r="BL37" s="78"/>
      <c r="BM37" s="78"/>
      <c r="BN37" s="78"/>
    </row>
    <row r="38" spans="1:66" x14ac:dyDescent="0.3">
      <c r="A38" s="87">
        <v>36</v>
      </c>
      <c r="B38" s="88"/>
      <c r="AH38" s="78"/>
      <c r="AI38" s="78"/>
      <c r="AJ38" s="78"/>
      <c r="AK38" s="78">
        <v>2.3225805759429932</v>
      </c>
      <c r="AL38" s="78">
        <v>2</v>
      </c>
      <c r="AM38" s="78"/>
      <c r="AN38" s="78"/>
      <c r="AO38" s="78"/>
      <c r="AP38" s="78"/>
      <c r="AQ38" s="78"/>
      <c r="AY38" s="78"/>
      <c r="AZ38" s="78"/>
      <c r="BA38" s="78"/>
      <c r="BB38" s="78"/>
      <c r="BC38" s="78"/>
      <c r="BD38" s="78"/>
      <c r="BE38" s="78"/>
      <c r="BF38" s="78"/>
      <c r="BG38" s="78"/>
      <c r="BH38" s="78"/>
      <c r="BI38" s="78"/>
      <c r="BJ38" s="78"/>
      <c r="BK38" s="78"/>
      <c r="BL38" s="78"/>
      <c r="BM38" s="78"/>
      <c r="BN38" s="78"/>
    </row>
    <row r="39" spans="1:66" x14ac:dyDescent="0.3">
      <c r="A39" s="87">
        <v>37</v>
      </c>
      <c r="B39" s="88"/>
      <c r="AH39" s="78"/>
      <c r="AI39" s="78"/>
      <c r="AJ39" s="78"/>
      <c r="AK39" s="78">
        <v>2.4516128301620483</v>
      </c>
      <c r="AL39" s="78">
        <v>2</v>
      </c>
      <c r="AM39" s="78"/>
      <c r="AN39" s="78"/>
      <c r="AO39" s="78"/>
      <c r="AP39" s="78"/>
      <c r="AQ39" s="78"/>
      <c r="AY39" s="78"/>
      <c r="AZ39" s="78"/>
      <c r="BA39" s="78"/>
      <c r="BB39" s="78"/>
      <c r="BC39" s="78"/>
      <c r="BD39" s="78"/>
      <c r="BE39" s="78"/>
      <c r="BF39" s="78"/>
      <c r="BG39" s="78"/>
      <c r="BH39" s="78"/>
      <c r="BI39" s="78"/>
      <c r="BJ39" s="78"/>
      <c r="BK39" s="78"/>
      <c r="BL39" s="78"/>
      <c r="BM39" s="78"/>
      <c r="BN39" s="78"/>
    </row>
    <row r="40" spans="1:66" x14ac:dyDescent="0.3">
      <c r="A40" s="87">
        <v>38</v>
      </c>
      <c r="B40" s="88"/>
      <c r="AH40" s="78"/>
      <c r="AI40" s="78"/>
      <c r="AJ40" s="78"/>
      <c r="AK40" s="78">
        <v>2.4516128301620483</v>
      </c>
      <c r="AL40" s="78">
        <v>1</v>
      </c>
      <c r="AM40" s="78"/>
      <c r="AN40" s="78"/>
      <c r="AO40" s="78"/>
      <c r="AP40" s="78"/>
      <c r="AQ40" s="78"/>
      <c r="AY40" s="78"/>
      <c r="AZ40" s="78"/>
      <c r="BA40" s="78"/>
      <c r="BB40" s="78"/>
      <c r="BC40" s="78"/>
      <c r="BD40" s="78"/>
      <c r="BE40" s="78"/>
      <c r="BF40" s="78"/>
      <c r="BG40" s="78"/>
      <c r="BH40" s="78"/>
      <c r="BI40" s="78"/>
      <c r="BJ40" s="78"/>
      <c r="BK40" s="78"/>
      <c r="BL40" s="78"/>
      <c r="BM40" s="78"/>
      <c r="BN40" s="78"/>
    </row>
    <row r="41" spans="1:66" x14ac:dyDescent="0.3">
      <c r="A41" s="87">
        <v>39</v>
      </c>
      <c r="B41" s="88"/>
      <c r="AH41" s="78"/>
      <c r="AI41" s="78"/>
      <c r="AJ41" s="78"/>
      <c r="AK41" s="78">
        <v>2.5806450843811035</v>
      </c>
      <c r="AL41" s="78">
        <v>1</v>
      </c>
      <c r="AM41" s="78"/>
      <c r="AN41" s="78"/>
      <c r="AO41" s="78"/>
      <c r="AP41" s="78"/>
      <c r="AQ41" s="78"/>
      <c r="AY41" s="78"/>
      <c r="AZ41" s="78"/>
      <c r="BA41" s="78"/>
      <c r="BB41" s="78"/>
      <c r="BC41" s="78"/>
      <c r="BD41" s="78"/>
      <c r="BE41" s="78"/>
      <c r="BF41" s="78"/>
      <c r="BG41" s="78"/>
      <c r="BH41" s="78"/>
      <c r="BI41" s="78"/>
      <c r="BJ41" s="78"/>
      <c r="BK41" s="78"/>
      <c r="BL41" s="78"/>
      <c r="BM41" s="78"/>
      <c r="BN41" s="78"/>
    </row>
    <row r="42" spans="1:66" x14ac:dyDescent="0.3">
      <c r="A42" s="87">
        <v>40</v>
      </c>
      <c r="B42" s="88"/>
      <c r="AH42" s="78"/>
      <c r="AI42" s="78"/>
      <c r="AJ42" s="78"/>
      <c r="AK42" s="78">
        <v>2.5806450843811035</v>
      </c>
      <c r="AL42" s="78">
        <v>0</v>
      </c>
      <c r="AM42" s="78"/>
      <c r="AN42" s="78"/>
      <c r="AO42" s="78"/>
      <c r="AP42" s="78"/>
      <c r="AQ42" s="78"/>
      <c r="AY42" s="78"/>
      <c r="AZ42" s="78"/>
      <c r="BA42" s="78"/>
      <c r="BB42" s="78"/>
      <c r="BC42" s="78"/>
      <c r="BD42" s="78"/>
      <c r="BE42" s="78"/>
      <c r="BF42" s="78"/>
      <c r="BG42" s="78"/>
      <c r="BH42" s="78"/>
      <c r="BI42" s="78"/>
      <c r="BJ42" s="78"/>
      <c r="BK42" s="78"/>
      <c r="BL42" s="78"/>
      <c r="BM42" s="78"/>
      <c r="BN42" s="78"/>
    </row>
    <row r="43" spans="1:66" x14ac:dyDescent="0.3">
      <c r="A43" s="87">
        <v>41</v>
      </c>
      <c r="B43" s="88"/>
      <c r="AH43" s="78"/>
      <c r="AI43" s="78"/>
      <c r="AJ43" s="78"/>
      <c r="AK43" s="78">
        <v>2.7096773386001587</v>
      </c>
      <c r="AL43" s="78">
        <v>0</v>
      </c>
      <c r="AM43" s="78"/>
      <c r="AN43" s="78"/>
      <c r="AO43" s="78"/>
      <c r="AP43" s="78"/>
      <c r="AQ43" s="78"/>
      <c r="AY43" s="78"/>
      <c r="AZ43" s="78"/>
      <c r="BA43" s="78"/>
      <c r="BB43" s="78"/>
      <c r="BC43" s="78"/>
      <c r="BD43" s="78"/>
      <c r="BE43" s="78"/>
      <c r="BF43" s="78"/>
      <c r="BG43" s="78"/>
      <c r="BH43" s="78"/>
      <c r="BI43" s="78"/>
      <c r="BJ43" s="78"/>
      <c r="BK43" s="78"/>
      <c r="BL43" s="78"/>
      <c r="BM43" s="78"/>
      <c r="BN43" s="78"/>
    </row>
    <row r="44" spans="1:66" x14ac:dyDescent="0.3">
      <c r="A44" s="87">
        <v>42</v>
      </c>
      <c r="B44" s="88"/>
      <c r="AH44" s="78"/>
      <c r="AI44" s="78"/>
      <c r="AJ44" s="78"/>
      <c r="AK44" s="78">
        <v>2.7096773386001587</v>
      </c>
      <c r="AL44" s="78">
        <v>0</v>
      </c>
      <c r="AM44" s="78"/>
      <c r="AN44" s="78"/>
      <c r="AO44" s="78"/>
      <c r="AP44" s="78"/>
      <c r="AQ44" s="78"/>
      <c r="AY44" s="78"/>
      <c r="AZ44" s="78"/>
      <c r="BA44" s="78"/>
      <c r="BB44" s="78"/>
      <c r="BC44" s="78"/>
      <c r="BD44" s="78"/>
      <c r="BE44" s="78"/>
      <c r="BF44" s="78"/>
      <c r="BG44" s="78"/>
      <c r="BH44" s="78"/>
      <c r="BI44" s="78"/>
      <c r="BJ44" s="78"/>
      <c r="BK44" s="78"/>
      <c r="BL44" s="78"/>
      <c r="BM44" s="78"/>
      <c r="BN44" s="78"/>
    </row>
    <row r="45" spans="1:66" x14ac:dyDescent="0.3">
      <c r="A45" s="87">
        <v>43</v>
      </c>
      <c r="B45" s="88"/>
      <c r="AH45" s="78"/>
      <c r="AI45" s="78"/>
      <c r="AJ45" s="78"/>
      <c r="AK45" s="78">
        <v>2.8387095928192139</v>
      </c>
      <c r="AL45" s="78">
        <v>0</v>
      </c>
      <c r="AM45" s="78"/>
      <c r="AN45" s="78"/>
      <c r="AO45" s="78"/>
      <c r="AP45" s="78"/>
      <c r="AQ45" s="78"/>
      <c r="AY45" s="78"/>
      <c r="AZ45" s="78"/>
      <c r="BA45" s="78"/>
      <c r="BB45" s="78"/>
      <c r="BC45" s="78"/>
      <c r="BD45" s="78"/>
      <c r="BE45" s="78"/>
      <c r="BF45" s="78"/>
      <c r="BG45" s="78"/>
      <c r="BH45" s="78"/>
      <c r="BI45" s="78"/>
      <c r="BJ45" s="78"/>
      <c r="BK45" s="78"/>
      <c r="BL45" s="78"/>
      <c r="BM45" s="78"/>
      <c r="BN45" s="78"/>
    </row>
    <row r="46" spans="1:66" x14ac:dyDescent="0.3">
      <c r="A46" s="87">
        <v>44</v>
      </c>
      <c r="B46" s="88"/>
      <c r="AH46" s="78"/>
      <c r="AI46" s="78"/>
      <c r="AJ46" s="78"/>
      <c r="AK46" s="78">
        <v>2.8387095928192139</v>
      </c>
      <c r="AL46" s="78">
        <v>0</v>
      </c>
      <c r="AM46" s="78"/>
      <c r="AN46" s="78"/>
      <c r="AO46" s="78"/>
      <c r="AP46" s="78"/>
      <c r="AQ46" s="78"/>
      <c r="AY46" s="78"/>
      <c r="AZ46" s="78"/>
      <c r="BA46" s="78"/>
      <c r="BB46" s="78"/>
      <c r="BC46" s="78"/>
      <c r="BD46" s="78"/>
      <c r="BE46" s="78"/>
      <c r="BF46" s="78"/>
      <c r="BG46" s="78"/>
      <c r="BH46" s="78"/>
      <c r="BI46" s="78"/>
      <c r="BJ46" s="78"/>
      <c r="BK46" s="78"/>
      <c r="BL46" s="78"/>
      <c r="BM46" s="78"/>
      <c r="BN46" s="78"/>
    </row>
    <row r="47" spans="1:66" x14ac:dyDescent="0.3">
      <c r="A47" s="87">
        <v>45</v>
      </c>
      <c r="B47" s="88"/>
      <c r="AH47" s="78"/>
      <c r="AI47" s="78"/>
      <c r="AJ47" s="78"/>
      <c r="AK47" s="78">
        <v>2.967741847038269</v>
      </c>
      <c r="AL47" s="78">
        <v>0</v>
      </c>
      <c r="AM47" s="78"/>
      <c r="AN47" s="78"/>
      <c r="AO47" s="78"/>
      <c r="AP47" s="78"/>
      <c r="AQ47" s="78"/>
      <c r="AY47" s="78"/>
      <c r="AZ47" s="78"/>
      <c r="BA47" s="78"/>
      <c r="BB47" s="78"/>
      <c r="BC47" s="78"/>
      <c r="BD47" s="78"/>
      <c r="BE47" s="78"/>
      <c r="BF47" s="78"/>
      <c r="BG47" s="78"/>
      <c r="BH47" s="78"/>
      <c r="BI47" s="78"/>
      <c r="BJ47" s="78"/>
      <c r="BK47" s="78"/>
      <c r="BL47" s="78"/>
      <c r="BM47" s="78"/>
      <c r="BN47" s="78"/>
    </row>
    <row r="48" spans="1:66" x14ac:dyDescent="0.3">
      <c r="A48" s="87">
        <v>46</v>
      </c>
      <c r="B48" s="88"/>
      <c r="AH48" s="78"/>
      <c r="AI48" s="78"/>
      <c r="AJ48" s="78"/>
      <c r="AK48" s="78">
        <v>2.967741847038269</v>
      </c>
      <c r="AL48" s="78">
        <v>0</v>
      </c>
      <c r="AM48" s="78"/>
      <c r="AN48" s="78"/>
      <c r="AO48" s="78"/>
      <c r="AP48" s="78"/>
      <c r="AQ48" s="78"/>
      <c r="AY48" s="78"/>
      <c r="AZ48" s="78"/>
      <c r="BA48" s="78"/>
      <c r="BB48" s="78"/>
      <c r="BC48" s="78"/>
      <c r="BD48" s="78"/>
      <c r="BE48" s="78"/>
      <c r="BF48" s="78"/>
      <c r="BG48" s="78"/>
      <c r="BH48" s="78"/>
      <c r="BI48" s="78"/>
      <c r="BJ48" s="78"/>
      <c r="BK48" s="78"/>
      <c r="BL48" s="78"/>
      <c r="BM48" s="78"/>
      <c r="BN48" s="78"/>
    </row>
    <row r="49" spans="1:66" x14ac:dyDescent="0.3">
      <c r="A49" s="87">
        <v>47</v>
      </c>
      <c r="B49" s="88"/>
      <c r="AH49" s="78"/>
      <c r="AI49" s="78"/>
      <c r="AJ49" s="78"/>
      <c r="AK49" s="78">
        <v>3.0967741012573242</v>
      </c>
      <c r="AL49" s="78">
        <v>0</v>
      </c>
      <c r="AM49" s="78"/>
      <c r="AN49" s="78"/>
      <c r="AO49" s="78"/>
      <c r="AP49" s="78"/>
      <c r="AQ49" s="78"/>
      <c r="AY49" s="78"/>
      <c r="AZ49" s="78"/>
      <c r="BA49" s="78"/>
      <c r="BB49" s="78"/>
      <c r="BC49" s="78"/>
      <c r="BD49" s="78"/>
      <c r="BE49" s="78"/>
      <c r="BF49" s="78"/>
      <c r="BG49" s="78"/>
      <c r="BH49" s="78"/>
      <c r="BI49" s="78"/>
      <c r="BJ49" s="78"/>
      <c r="BK49" s="78"/>
      <c r="BL49" s="78"/>
      <c r="BM49" s="78"/>
      <c r="BN49" s="78"/>
    </row>
    <row r="50" spans="1:66" x14ac:dyDescent="0.3">
      <c r="A50" s="87">
        <v>48</v>
      </c>
      <c r="B50" s="88"/>
      <c r="AH50" s="78"/>
      <c r="AI50" s="78"/>
      <c r="AJ50" s="78"/>
      <c r="AK50" s="78">
        <v>3.0967741012573242</v>
      </c>
      <c r="AL50" s="78">
        <v>0</v>
      </c>
      <c r="AM50" s="78"/>
      <c r="AN50" s="78"/>
      <c r="AO50" s="78"/>
      <c r="AP50" s="78"/>
      <c r="AQ50" s="78"/>
      <c r="AY50" s="78"/>
      <c r="AZ50" s="78"/>
      <c r="BA50" s="78"/>
      <c r="BB50" s="78"/>
      <c r="BC50" s="78"/>
      <c r="BD50" s="78"/>
      <c r="BE50" s="78"/>
      <c r="BF50" s="78"/>
      <c r="BG50" s="78"/>
      <c r="BH50" s="78"/>
      <c r="BI50" s="78"/>
      <c r="BJ50" s="78"/>
      <c r="BK50" s="78"/>
      <c r="BL50" s="78"/>
      <c r="BM50" s="78"/>
      <c r="BN50" s="78"/>
    </row>
    <row r="51" spans="1:66" x14ac:dyDescent="0.3">
      <c r="A51" s="87">
        <v>49</v>
      </c>
      <c r="B51" s="88"/>
      <c r="AH51" s="78"/>
      <c r="AI51" s="78"/>
      <c r="AJ51" s="78"/>
      <c r="AK51" s="78">
        <v>3.2258063554763794</v>
      </c>
      <c r="AL51" s="78">
        <v>0</v>
      </c>
      <c r="AM51" s="78"/>
      <c r="AN51" s="78"/>
      <c r="AO51" s="78"/>
      <c r="AP51" s="78"/>
      <c r="AQ51" s="78"/>
      <c r="AY51" s="78"/>
      <c r="AZ51" s="78"/>
      <c r="BA51" s="78"/>
      <c r="BB51" s="78"/>
      <c r="BC51" s="78"/>
      <c r="BD51" s="78"/>
      <c r="BE51" s="78"/>
      <c r="BF51" s="78"/>
      <c r="BG51" s="78"/>
      <c r="BH51" s="78"/>
      <c r="BI51" s="78"/>
      <c r="BJ51" s="78"/>
      <c r="BK51" s="78"/>
      <c r="BL51" s="78"/>
      <c r="BM51" s="78"/>
      <c r="BN51" s="78"/>
    </row>
    <row r="52" spans="1:66" x14ac:dyDescent="0.3">
      <c r="A52" s="87">
        <v>50</v>
      </c>
      <c r="B52" s="88"/>
      <c r="AH52" s="78"/>
      <c r="AI52" s="78"/>
      <c r="AJ52" s="78"/>
      <c r="AK52" s="78">
        <v>3.2258063554763794</v>
      </c>
      <c r="AL52" s="78">
        <v>0</v>
      </c>
      <c r="AM52" s="78"/>
      <c r="AN52" s="78"/>
      <c r="AO52" s="78"/>
      <c r="AP52" s="78"/>
      <c r="AQ52" s="78"/>
      <c r="AY52" s="78"/>
      <c r="AZ52" s="78"/>
      <c r="BA52" s="78"/>
      <c r="BB52" s="78"/>
      <c r="BC52" s="78"/>
      <c r="BD52" s="78"/>
      <c r="BE52" s="78"/>
      <c r="BF52" s="78"/>
      <c r="BG52" s="78"/>
      <c r="BH52" s="78"/>
      <c r="BI52" s="78"/>
      <c r="BJ52" s="78"/>
      <c r="BK52" s="78"/>
      <c r="BL52" s="78"/>
      <c r="BM52" s="78"/>
      <c r="BN52" s="78"/>
    </row>
    <row r="53" spans="1:66" x14ac:dyDescent="0.3">
      <c r="A53" s="87">
        <v>51</v>
      </c>
      <c r="B53" s="88"/>
      <c r="AH53" s="78"/>
      <c r="AI53" s="78"/>
      <c r="AJ53" s="78"/>
      <c r="AK53" s="78">
        <v>3.3548386096954346</v>
      </c>
      <c r="AL53" s="78">
        <v>0</v>
      </c>
      <c r="AM53" s="78"/>
      <c r="AN53" s="78"/>
      <c r="AO53" s="78"/>
      <c r="AP53" s="78"/>
      <c r="AQ53" s="78"/>
      <c r="AY53" s="78"/>
      <c r="AZ53" s="78"/>
      <c r="BA53" s="78"/>
      <c r="BB53" s="78"/>
      <c r="BC53" s="78"/>
      <c r="BD53" s="78"/>
      <c r="BE53" s="78"/>
      <c r="BF53" s="78"/>
      <c r="BG53" s="78"/>
      <c r="BH53" s="78"/>
      <c r="BI53" s="78"/>
      <c r="BJ53" s="78"/>
      <c r="BK53" s="78"/>
      <c r="BL53" s="78"/>
      <c r="BM53" s="78"/>
      <c r="BN53" s="78"/>
    </row>
    <row r="54" spans="1:66" x14ac:dyDescent="0.3">
      <c r="A54" s="87">
        <v>52</v>
      </c>
      <c r="B54" s="88"/>
      <c r="AH54" s="78"/>
      <c r="AI54" s="78"/>
      <c r="AJ54" s="78"/>
      <c r="AK54" s="78">
        <v>3.3548386096954346</v>
      </c>
      <c r="AL54" s="78">
        <v>0</v>
      </c>
      <c r="AM54" s="78"/>
      <c r="AN54" s="78"/>
      <c r="AO54" s="78"/>
      <c r="AP54" s="78"/>
      <c r="AQ54" s="78"/>
      <c r="AY54" s="78"/>
      <c r="AZ54" s="78"/>
      <c r="BA54" s="78"/>
      <c r="BB54" s="78"/>
      <c r="BC54" s="78"/>
      <c r="BD54" s="78"/>
      <c r="BE54" s="78"/>
      <c r="BF54" s="78"/>
      <c r="BG54" s="78"/>
      <c r="BH54" s="78"/>
      <c r="BI54" s="78"/>
      <c r="BJ54" s="78"/>
      <c r="BK54" s="78"/>
      <c r="BL54" s="78"/>
      <c r="BM54" s="78"/>
      <c r="BN54" s="78"/>
    </row>
    <row r="55" spans="1:66" x14ac:dyDescent="0.3">
      <c r="A55" s="87">
        <v>53</v>
      </c>
      <c r="B55" s="88"/>
      <c r="AH55" s="78"/>
      <c r="AI55" s="78"/>
      <c r="AJ55" s="78"/>
      <c r="AK55" s="78">
        <v>3.4838708639144897</v>
      </c>
      <c r="AL55" s="78">
        <v>0</v>
      </c>
      <c r="AM55" s="78"/>
      <c r="AN55" s="78"/>
      <c r="AO55" s="78"/>
      <c r="AP55" s="78"/>
      <c r="AQ55" s="78"/>
      <c r="AY55" s="78"/>
      <c r="AZ55" s="78"/>
      <c r="BA55" s="78"/>
      <c r="BB55" s="78"/>
      <c r="BC55" s="78"/>
      <c r="BD55" s="78"/>
      <c r="BE55" s="78"/>
      <c r="BF55" s="78"/>
      <c r="BG55" s="78"/>
      <c r="BH55" s="78"/>
      <c r="BI55" s="78"/>
      <c r="BJ55" s="78"/>
      <c r="BK55" s="78"/>
      <c r="BL55" s="78"/>
      <c r="BM55" s="78"/>
      <c r="BN55" s="78"/>
    </row>
    <row r="56" spans="1:66" x14ac:dyDescent="0.3">
      <c r="A56" s="87">
        <v>54</v>
      </c>
      <c r="B56" s="88"/>
      <c r="AH56" s="78"/>
      <c r="AI56" s="78"/>
      <c r="AJ56" s="78"/>
      <c r="AK56" s="78">
        <v>3.4838708639144897</v>
      </c>
      <c r="AL56" s="78">
        <v>0</v>
      </c>
      <c r="AM56" s="78"/>
      <c r="AN56" s="78"/>
      <c r="AO56" s="78"/>
      <c r="AP56" s="78"/>
      <c r="AQ56" s="78"/>
      <c r="AY56" s="78"/>
      <c r="AZ56" s="78"/>
      <c r="BA56" s="78"/>
      <c r="BB56" s="78"/>
      <c r="BC56" s="78"/>
      <c r="BD56" s="78"/>
      <c r="BE56" s="78"/>
      <c r="BF56" s="78"/>
      <c r="BG56" s="78"/>
      <c r="BH56" s="78"/>
      <c r="BI56" s="78"/>
      <c r="BJ56" s="78"/>
      <c r="BK56" s="78"/>
      <c r="BL56" s="78"/>
      <c r="BM56" s="78"/>
      <c r="BN56" s="78"/>
    </row>
    <row r="57" spans="1:66" x14ac:dyDescent="0.3">
      <c r="A57" s="87">
        <v>55</v>
      </c>
      <c r="B57" s="88"/>
      <c r="AH57" s="78"/>
      <c r="AI57" s="78"/>
      <c r="AJ57" s="78"/>
      <c r="AK57" s="78">
        <v>3.6129031181335449</v>
      </c>
      <c r="AL57" s="78">
        <v>0</v>
      </c>
      <c r="AM57" s="78"/>
      <c r="AN57" s="78"/>
      <c r="AO57" s="78"/>
      <c r="AP57" s="78"/>
      <c r="AQ57" s="78"/>
      <c r="AY57" s="78"/>
      <c r="AZ57" s="78"/>
      <c r="BA57" s="78"/>
      <c r="BB57" s="78"/>
      <c r="BC57" s="78"/>
      <c r="BD57" s="78"/>
      <c r="BE57" s="78"/>
      <c r="BF57" s="78"/>
      <c r="BG57" s="78"/>
      <c r="BH57" s="78"/>
      <c r="BI57" s="78"/>
      <c r="BJ57" s="78"/>
      <c r="BK57" s="78"/>
      <c r="BL57" s="78"/>
      <c r="BM57" s="78"/>
      <c r="BN57" s="78"/>
    </row>
    <row r="58" spans="1:66" x14ac:dyDescent="0.3">
      <c r="A58" s="87">
        <v>56</v>
      </c>
      <c r="B58" s="88"/>
      <c r="AH58" s="78"/>
      <c r="AI58" s="78"/>
      <c r="AJ58" s="78"/>
      <c r="AK58" s="78">
        <v>3.6129031181335449</v>
      </c>
      <c r="AL58" s="78">
        <v>0</v>
      </c>
      <c r="AM58" s="78"/>
      <c r="AN58" s="78"/>
      <c r="AO58" s="78"/>
      <c r="AP58" s="78"/>
      <c r="AQ58" s="78"/>
      <c r="AY58" s="78"/>
      <c r="AZ58" s="78"/>
      <c r="BA58" s="78"/>
      <c r="BB58" s="78"/>
      <c r="BC58" s="78"/>
      <c r="BD58" s="78"/>
      <c r="BE58" s="78"/>
      <c r="BF58" s="78"/>
      <c r="BG58" s="78"/>
      <c r="BH58" s="78"/>
      <c r="BI58" s="78"/>
      <c r="BJ58" s="78"/>
      <c r="BK58" s="78"/>
      <c r="BL58" s="78"/>
      <c r="BM58" s="78"/>
      <c r="BN58" s="78"/>
    </row>
    <row r="59" spans="1:66" x14ac:dyDescent="0.3">
      <c r="A59" s="87">
        <v>57</v>
      </c>
      <c r="B59" s="88"/>
      <c r="AH59" s="78"/>
      <c r="AI59" s="78"/>
      <c r="AJ59" s="78"/>
      <c r="AK59" s="78">
        <v>3.7419353723526001</v>
      </c>
      <c r="AL59" s="78">
        <v>0</v>
      </c>
      <c r="AM59" s="78"/>
      <c r="AN59" s="78"/>
      <c r="AO59" s="78"/>
      <c r="AP59" s="78"/>
      <c r="AQ59" s="78"/>
      <c r="AY59" s="78"/>
      <c r="AZ59" s="78"/>
      <c r="BA59" s="78"/>
      <c r="BB59" s="78"/>
      <c r="BC59" s="78"/>
      <c r="BD59" s="78"/>
      <c r="BE59" s="78"/>
      <c r="BF59" s="78"/>
      <c r="BG59" s="78"/>
      <c r="BH59" s="78"/>
      <c r="BI59" s="78"/>
      <c r="BJ59" s="78"/>
      <c r="BK59" s="78"/>
      <c r="BL59" s="78"/>
      <c r="BM59" s="78"/>
      <c r="BN59" s="78"/>
    </row>
    <row r="60" spans="1:66" x14ac:dyDescent="0.3">
      <c r="A60" s="87">
        <v>58</v>
      </c>
      <c r="B60" s="88"/>
      <c r="AH60" s="78"/>
      <c r="AI60" s="78"/>
      <c r="AJ60" s="78"/>
      <c r="AK60" s="78">
        <v>3.7419353723526001</v>
      </c>
      <c r="AL60" s="78">
        <v>0</v>
      </c>
      <c r="AM60" s="78"/>
      <c r="AN60" s="78"/>
      <c r="AO60" s="78"/>
      <c r="AP60" s="78"/>
      <c r="AQ60" s="78"/>
      <c r="AY60" s="78"/>
      <c r="AZ60" s="78"/>
      <c r="BA60" s="78"/>
      <c r="BB60" s="78"/>
      <c r="BC60" s="78"/>
      <c r="BD60" s="78"/>
      <c r="BE60" s="78"/>
      <c r="BF60" s="78"/>
      <c r="BG60" s="78"/>
      <c r="BH60" s="78"/>
      <c r="BI60" s="78"/>
      <c r="BJ60" s="78"/>
      <c r="BK60" s="78"/>
      <c r="BL60" s="78"/>
      <c r="BM60" s="78"/>
      <c r="BN60" s="78"/>
    </row>
    <row r="61" spans="1:66" x14ac:dyDescent="0.3">
      <c r="A61" s="87">
        <v>59</v>
      </c>
      <c r="B61" s="88"/>
      <c r="AH61" s="78"/>
      <c r="AI61" s="78"/>
      <c r="AJ61" s="78"/>
      <c r="AK61" s="78">
        <v>3.8709676265716553</v>
      </c>
      <c r="AL61" s="78">
        <v>0</v>
      </c>
      <c r="AM61" s="78"/>
      <c r="AN61" s="78"/>
      <c r="AO61" s="78"/>
      <c r="AP61" s="78"/>
      <c r="AQ61" s="78"/>
      <c r="AY61" s="78"/>
      <c r="AZ61" s="78"/>
      <c r="BA61" s="78"/>
      <c r="BB61" s="78"/>
      <c r="BC61" s="78"/>
      <c r="BD61" s="78"/>
      <c r="BE61" s="78"/>
      <c r="BF61" s="78"/>
      <c r="BG61" s="78"/>
      <c r="BH61" s="78"/>
      <c r="BI61" s="78"/>
      <c r="BJ61" s="78"/>
      <c r="BK61" s="78"/>
      <c r="BL61" s="78"/>
      <c r="BM61" s="78"/>
      <c r="BN61" s="78"/>
    </row>
    <row r="62" spans="1:66" x14ac:dyDescent="0.3">
      <c r="A62" s="87">
        <v>60</v>
      </c>
      <c r="B62" s="88"/>
      <c r="AH62" s="78"/>
      <c r="AI62" s="78"/>
      <c r="AJ62" s="78"/>
      <c r="AK62" s="78">
        <v>3.8709676265716553</v>
      </c>
      <c r="AL62" s="78">
        <v>0</v>
      </c>
      <c r="AM62" s="78"/>
      <c r="AN62" s="78"/>
      <c r="AO62" s="78"/>
      <c r="AP62" s="78"/>
      <c r="AQ62" s="78"/>
      <c r="AY62" s="78"/>
      <c r="AZ62" s="78"/>
      <c r="BA62" s="78"/>
      <c r="BB62" s="78"/>
      <c r="BC62" s="78"/>
      <c r="BD62" s="78"/>
      <c r="BE62" s="78"/>
      <c r="BF62" s="78"/>
      <c r="BG62" s="78"/>
      <c r="BH62" s="78"/>
      <c r="BI62" s="78"/>
      <c r="BJ62" s="78"/>
      <c r="BK62" s="78"/>
      <c r="BL62" s="78"/>
      <c r="BM62" s="78"/>
      <c r="BN62" s="78"/>
    </row>
    <row r="63" spans="1:66" x14ac:dyDescent="0.3">
      <c r="A63" s="87">
        <v>61</v>
      </c>
      <c r="B63" s="88"/>
      <c r="AH63" s="78"/>
      <c r="AI63" s="78"/>
      <c r="AJ63" s="78"/>
      <c r="AK63" s="78">
        <v>3.9999998807907104</v>
      </c>
      <c r="AL63" s="78">
        <v>0</v>
      </c>
      <c r="AM63" s="78"/>
      <c r="AN63" s="78"/>
      <c r="AO63" s="78"/>
      <c r="AP63" s="78"/>
      <c r="AQ63" s="78"/>
      <c r="AY63" s="78"/>
      <c r="AZ63" s="78"/>
      <c r="BA63" s="78"/>
      <c r="BB63" s="78"/>
      <c r="BC63" s="78"/>
      <c r="BD63" s="78"/>
      <c r="BE63" s="78"/>
      <c r="BF63" s="78"/>
      <c r="BG63" s="78"/>
      <c r="BH63" s="78"/>
      <c r="BI63" s="78"/>
      <c r="BJ63" s="78"/>
      <c r="BK63" s="78"/>
      <c r="BL63" s="78"/>
      <c r="BM63" s="78"/>
      <c r="BN63" s="78"/>
    </row>
    <row r="64" spans="1:66" x14ac:dyDescent="0.3">
      <c r="A64" s="87">
        <v>62</v>
      </c>
      <c r="B64" s="88"/>
      <c r="AH64" s="78"/>
      <c r="AI64" s="78"/>
      <c r="AJ64" s="78"/>
      <c r="AK64" s="78">
        <v>3.9999998807907104</v>
      </c>
      <c r="AL64" s="78">
        <v>0</v>
      </c>
      <c r="AM64" s="78"/>
      <c r="AN64" s="78"/>
      <c r="AO64" s="78"/>
      <c r="AP64" s="78"/>
      <c r="AQ64" s="78"/>
      <c r="AY64" s="78"/>
      <c r="AZ64" s="78"/>
      <c r="BA64" s="78"/>
      <c r="BB64" s="78"/>
      <c r="BC64" s="78"/>
      <c r="BD64" s="78"/>
      <c r="BE64" s="78"/>
      <c r="BF64" s="78"/>
      <c r="BG64" s="78"/>
      <c r="BH64" s="78"/>
      <c r="BI64" s="78"/>
      <c r="BJ64" s="78"/>
      <c r="BK64" s="78"/>
      <c r="BL64" s="78"/>
      <c r="BM64" s="78"/>
      <c r="BN64" s="78"/>
    </row>
    <row r="65" spans="1:66" x14ac:dyDescent="0.3">
      <c r="A65" s="87">
        <v>63</v>
      </c>
      <c r="B65" s="88"/>
      <c r="AH65" s="78"/>
      <c r="AI65" s="78"/>
      <c r="AJ65" s="78"/>
      <c r="AK65" s="78"/>
      <c r="AL65" s="78"/>
      <c r="AM65" s="78"/>
      <c r="AN65" s="78"/>
      <c r="AO65" s="78"/>
      <c r="AP65" s="78"/>
      <c r="AQ65" s="78"/>
      <c r="AY65" s="78"/>
      <c r="AZ65" s="78"/>
      <c r="BA65" s="78"/>
      <c r="BB65" s="78"/>
      <c r="BC65" s="78"/>
      <c r="BD65" s="78"/>
      <c r="BE65" s="78"/>
      <c r="BF65" s="78"/>
      <c r="BG65" s="78"/>
      <c r="BH65" s="78"/>
      <c r="BI65" s="78"/>
      <c r="BJ65" s="78"/>
      <c r="BK65" s="78"/>
      <c r="BL65" s="78"/>
      <c r="BM65" s="78"/>
      <c r="BN65" s="78"/>
    </row>
    <row r="66" spans="1:66" x14ac:dyDescent="0.3">
      <c r="A66" s="87">
        <v>64</v>
      </c>
      <c r="B66" s="88"/>
      <c r="AH66" s="78"/>
      <c r="AI66" s="78"/>
      <c r="AJ66" s="78"/>
      <c r="AK66" s="78"/>
      <c r="AL66" s="78"/>
      <c r="AM66" s="78"/>
      <c r="AN66" s="78"/>
      <c r="AO66" s="78"/>
      <c r="AP66" s="78"/>
      <c r="AQ66" s="78"/>
      <c r="AY66" s="78"/>
      <c r="AZ66" s="78"/>
      <c r="BA66" s="78"/>
      <c r="BB66" s="78"/>
      <c r="BC66" s="78"/>
      <c r="BD66" s="78"/>
      <c r="BE66" s="78"/>
      <c r="BF66" s="78"/>
      <c r="BG66" s="78"/>
      <c r="BH66" s="78"/>
      <c r="BI66" s="78"/>
      <c r="BJ66" s="78"/>
      <c r="BK66" s="78"/>
      <c r="BL66" s="78"/>
      <c r="BM66" s="78"/>
      <c r="BN66" s="78"/>
    </row>
    <row r="67" spans="1:66" x14ac:dyDescent="0.3">
      <c r="A67" s="87">
        <v>65</v>
      </c>
      <c r="B67" s="88"/>
      <c r="AH67" s="78"/>
      <c r="AI67" s="78"/>
      <c r="AJ67" s="78"/>
      <c r="AK67" s="78"/>
      <c r="AL67" s="78"/>
      <c r="AM67" s="78"/>
      <c r="AN67" s="78"/>
      <c r="AO67" s="78"/>
      <c r="AP67" s="78"/>
      <c r="AQ67" s="78"/>
      <c r="AY67" s="78"/>
      <c r="AZ67" s="78"/>
      <c r="BA67" s="78"/>
      <c r="BB67" s="78"/>
      <c r="BC67" s="78"/>
      <c r="BD67" s="78"/>
      <c r="BE67" s="78"/>
      <c r="BF67" s="78"/>
      <c r="BG67" s="78"/>
      <c r="BH67" s="78"/>
      <c r="BI67" s="78"/>
      <c r="BJ67" s="78"/>
      <c r="BK67" s="78"/>
      <c r="BL67" s="78"/>
      <c r="BM67" s="78"/>
      <c r="BN67" s="78"/>
    </row>
    <row r="68" spans="1:66" x14ac:dyDescent="0.3">
      <c r="A68" s="87">
        <v>66</v>
      </c>
      <c r="B68" s="88"/>
      <c r="AH68" s="78"/>
      <c r="AI68" s="78"/>
      <c r="AJ68" s="78"/>
      <c r="AK68" s="78"/>
      <c r="AL68" s="78"/>
      <c r="AM68" s="78"/>
      <c r="AN68" s="78"/>
      <c r="AO68" s="78"/>
      <c r="AP68" s="78"/>
      <c r="AQ68" s="78"/>
      <c r="AY68" s="78"/>
      <c r="AZ68" s="78"/>
      <c r="BA68" s="78"/>
      <c r="BB68" s="78"/>
      <c r="BC68" s="78"/>
      <c r="BD68" s="78"/>
      <c r="BE68" s="78"/>
      <c r="BF68" s="78"/>
      <c r="BG68" s="78"/>
      <c r="BH68" s="78"/>
      <c r="BI68" s="78"/>
      <c r="BJ68" s="78"/>
      <c r="BK68" s="78"/>
      <c r="BL68" s="78"/>
      <c r="BM68" s="78"/>
      <c r="BN68" s="78"/>
    </row>
    <row r="69" spans="1:66" x14ac:dyDescent="0.3">
      <c r="A69" s="87">
        <v>67</v>
      </c>
      <c r="B69" s="88"/>
      <c r="AH69" s="78"/>
      <c r="AI69" s="78"/>
      <c r="AJ69" s="78"/>
      <c r="AK69" s="78"/>
      <c r="AL69" s="78"/>
      <c r="AM69" s="78"/>
      <c r="AN69" s="78"/>
      <c r="AO69" s="78"/>
      <c r="AP69" s="78"/>
      <c r="AQ69" s="78"/>
      <c r="AY69" s="78"/>
      <c r="AZ69" s="78"/>
      <c r="BA69" s="78"/>
      <c r="BB69" s="78"/>
      <c r="BC69" s="78"/>
      <c r="BD69" s="78"/>
      <c r="BE69" s="78"/>
      <c r="BF69" s="78"/>
      <c r="BG69" s="78"/>
      <c r="BH69" s="78"/>
      <c r="BI69" s="78"/>
      <c r="BJ69" s="78"/>
      <c r="BK69" s="78"/>
      <c r="BL69" s="78"/>
      <c r="BM69" s="78"/>
      <c r="BN69" s="78"/>
    </row>
    <row r="70" spans="1:66" x14ac:dyDescent="0.3">
      <c r="A70" s="87">
        <v>68</v>
      </c>
      <c r="B70" s="88"/>
      <c r="AH70" s="78"/>
      <c r="AI70" s="78"/>
      <c r="AJ70" s="78"/>
      <c r="AK70" s="78"/>
      <c r="AL70" s="78"/>
      <c r="AM70" s="78"/>
      <c r="AN70" s="78"/>
      <c r="AO70" s="78"/>
      <c r="AP70" s="78"/>
      <c r="AQ70" s="78"/>
      <c r="AY70" s="78"/>
      <c r="AZ70" s="78"/>
      <c r="BA70" s="78"/>
      <c r="BB70" s="78"/>
      <c r="BC70" s="78"/>
      <c r="BD70" s="78"/>
      <c r="BE70" s="78"/>
      <c r="BF70" s="78"/>
      <c r="BG70" s="78"/>
      <c r="BH70" s="78"/>
      <c r="BI70" s="78"/>
      <c r="BJ70" s="78"/>
      <c r="BK70" s="78"/>
      <c r="BL70" s="78"/>
      <c r="BM70" s="78"/>
      <c r="BN70" s="78"/>
    </row>
    <row r="71" spans="1:66" x14ac:dyDescent="0.3">
      <c r="A71" s="87">
        <v>69</v>
      </c>
      <c r="B71" s="88"/>
      <c r="AH71" s="78"/>
      <c r="AI71" s="78"/>
      <c r="AJ71" s="78"/>
      <c r="AK71" s="78"/>
      <c r="AL71" s="78"/>
      <c r="AM71" s="78"/>
      <c r="AN71" s="78"/>
      <c r="AO71" s="78"/>
      <c r="AP71" s="78"/>
      <c r="AQ71" s="78"/>
      <c r="AY71" s="78"/>
      <c r="AZ71" s="78"/>
      <c r="BA71" s="78"/>
      <c r="BB71" s="78"/>
      <c r="BC71" s="78"/>
      <c r="BD71" s="78"/>
      <c r="BE71" s="78"/>
      <c r="BF71" s="78"/>
      <c r="BG71" s="78"/>
      <c r="BH71" s="78"/>
      <c r="BI71" s="78"/>
      <c r="BJ71" s="78"/>
      <c r="BK71" s="78"/>
      <c r="BL71" s="78"/>
      <c r="BM71" s="78"/>
      <c r="BN71" s="78"/>
    </row>
    <row r="72" spans="1:66" x14ac:dyDescent="0.3">
      <c r="A72" s="87">
        <v>70</v>
      </c>
      <c r="B72" s="88"/>
      <c r="AH72" s="78"/>
      <c r="AI72" s="78"/>
      <c r="AJ72" s="78"/>
      <c r="AK72" s="78"/>
      <c r="AL72" s="78"/>
      <c r="AM72" s="78"/>
      <c r="AN72" s="78"/>
      <c r="AO72" s="78"/>
      <c r="AP72" s="78"/>
      <c r="AQ72" s="78"/>
      <c r="AY72" s="78"/>
      <c r="AZ72" s="78"/>
      <c r="BA72" s="78"/>
      <c r="BB72" s="78"/>
      <c r="BC72" s="78"/>
      <c r="BD72" s="78"/>
      <c r="BE72" s="78"/>
      <c r="BF72" s="78"/>
      <c r="BG72" s="78"/>
      <c r="BH72" s="78"/>
      <c r="BI72" s="78"/>
      <c r="BJ72" s="78"/>
      <c r="BK72" s="78"/>
      <c r="BL72" s="78"/>
      <c r="BM72" s="78"/>
      <c r="BN72" s="78"/>
    </row>
    <row r="73" spans="1:66" x14ac:dyDescent="0.3">
      <c r="A73" s="87">
        <v>71</v>
      </c>
      <c r="B73" s="88"/>
      <c r="AH73" s="78"/>
      <c r="AI73" s="78"/>
      <c r="AJ73" s="78"/>
      <c r="AK73" s="78"/>
      <c r="AL73" s="78"/>
      <c r="AM73" s="78"/>
      <c r="AN73" s="78"/>
      <c r="AO73" s="78"/>
      <c r="AP73" s="78"/>
      <c r="AQ73" s="78"/>
      <c r="AY73" s="78"/>
      <c r="AZ73" s="78"/>
      <c r="BA73" s="78"/>
      <c r="BB73" s="78"/>
      <c r="BC73" s="78"/>
      <c r="BD73" s="78"/>
      <c r="BE73" s="78"/>
      <c r="BF73" s="78"/>
      <c r="BG73" s="78"/>
      <c r="BH73" s="78"/>
      <c r="BI73" s="78"/>
      <c r="BJ73" s="78"/>
      <c r="BK73" s="78"/>
      <c r="BL73" s="78"/>
      <c r="BM73" s="78"/>
      <c r="BN73" s="78"/>
    </row>
    <row r="74" spans="1:66" x14ac:dyDescent="0.3">
      <c r="A74" s="87">
        <v>72</v>
      </c>
      <c r="B74" s="88"/>
      <c r="AH74" s="78"/>
      <c r="AI74" s="78"/>
      <c r="AJ74" s="78"/>
      <c r="AK74" s="78"/>
      <c r="AL74" s="78"/>
      <c r="AM74" s="78"/>
      <c r="AN74" s="78"/>
      <c r="AO74" s="78"/>
      <c r="AP74" s="78"/>
      <c r="AQ74" s="78"/>
      <c r="AY74" s="78"/>
      <c r="AZ74" s="78"/>
      <c r="BA74" s="78"/>
      <c r="BB74" s="78"/>
      <c r="BC74" s="78"/>
      <c r="BD74" s="78"/>
      <c r="BE74" s="78"/>
      <c r="BF74" s="78"/>
      <c r="BG74" s="78"/>
      <c r="BH74" s="78"/>
      <c r="BI74" s="78"/>
      <c r="BJ74" s="78"/>
      <c r="BK74" s="78"/>
      <c r="BL74" s="78"/>
      <c r="BM74" s="78"/>
      <c r="BN74" s="78"/>
    </row>
    <row r="75" spans="1:66" x14ac:dyDescent="0.3">
      <c r="A75" s="87">
        <v>73</v>
      </c>
      <c r="B75" s="88"/>
      <c r="AH75" s="78"/>
      <c r="AI75" s="78"/>
      <c r="AJ75" s="78"/>
      <c r="AK75" s="78"/>
      <c r="AL75" s="78"/>
      <c r="AM75" s="78"/>
      <c r="AN75" s="78"/>
      <c r="AO75" s="78"/>
      <c r="AP75" s="78"/>
      <c r="AQ75" s="78"/>
      <c r="AY75" s="78"/>
      <c r="AZ75" s="78"/>
      <c r="BA75" s="78"/>
      <c r="BB75" s="78"/>
      <c r="BC75" s="78"/>
      <c r="BD75" s="78"/>
      <c r="BE75" s="78"/>
      <c r="BF75" s="78"/>
      <c r="BG75" s="78"/>
      <c r="BH75" s="78"/>
      <c r="BI75" s="78"/>
      <c r="BJ75" s="78"/>
      <c r="BK75" s="78"/>
      <c r="BL75" s="78"/>
      <c r="BM75" s="78"/>
      <c r="BN75" s="78"/>
    </row>
    <row r="76" spans="1:66" x14ac:dyDescent="0.3">
      <c r="A76" s="87">
        <v>74</v>
      </c>
      <c r="B76" s="88"/>
      <c r="AH76" s="78"/>
      <c r="AI76" s="78"/>
      <c r="AJ76" s="78"/>
      <c r="AK76" s="78"/>
      <c r="AL76" s="78"/>
      <c r="AM76" s="78"/>
      <c r="AN76" s="78"/>
      <c r="AO76" s="78"/>
      <c r="AP76" s="78"/>
      <c r="AQ76" s="78"/>
      <c r="AY76" s="78"/>
      <c r="AZ76" s="78"/>
      <c r="BA76" s="78"/>
      <c r="BB76" s="78"/>
      <c r="BC76" s="78"/>
      <c r="BD76" s="78"/>
      <c r="BE76" s="78"/>
      <c r="BF76" s="78"/>
      <c r="BG76" s="78"/>
      <c r="BH76" s="78"/>
      <c r="BI76" s="78"/>
      <c r="BJ76" s="78"/>
      <c r="BK76" s="78"/>
      <c r="BL76" s="78"/>
      <c r="BM76" s="78"/>
      <c r="BN76" s="78"/>
    </row>
    <row r="77" spans="1:66" x14ac:dyDescent="0.3">
      <c r="A77" s="87">
        <v>75</v>
      </c>
      <c r="B77" s="88"/>
      <c r="AH77" s="78"/>
      <c r="AI77" s="78"/>
      <c r="AJ77" s="78"/>
      <c r="AK77" s="78"/>
      <c r="AL77" s="78"/>
      <c r="AM77" s="78"/>
      <c r="AN77" s="78"/>
      <c r="AO77" s="78"/>
      <c r="AP77" s="78"/>
      <c r="AQ77" s="78"/>
      <c r="AY77" s="78"/>
      <c r="AZ77" s="78"/>
      <c r="BA77" s="78"/>
      <c r="BB77" s="78"/>
      <c r="BC77" s="78"/>
      <c r="BD77" s="78"/>
      <c r="BE77" s="78"/>
      <c r="BF77" s="78"/>
      <c r="BG77" s="78"/>
      <c r="BH77" s="78"/>
      <c r="BI77" s="78"/>
      <c r="BJ77" s="78"/>
      <c r="BK77" s="78"/>
      <c r="BL77" s="78"/>
      <c r="BM77" s="78"/>
      <c r="BN77" s="78"/>
    </row>
    <row r="78" spans="1:66" x14ac:dyDescent="0.3">
      <c r="A78" s="87">
        <v>76</v>
      </c>
      <c r="B78" s="88"/>
      <c r="AH78" s="78"/>
      <c r="AI78" s="78"/>
      <c r="AJ78" s="78"/>
      <c r="AK78" s="78"/>
      <c r="AL78" s="78"/>
      <c r="AM78" s="78"/>
      <c r="AN78" s="78"/>
      <c r="AO78" s="78"/>
      <c r="AP78" s="78"/>
      <c r="AQ78" s="78"/>
      <c r="AY78" s="78"/>
      <c r="AZ78" s="78"/>
      <c r="BA78" s="78"/>
      <c r="BB78" s="78"/>
      <c r="BC78" s="78"/>
      <c r="BD78" s="78"/>
      <c r="BE78" s="78"/>
      <c r="BF78" s="78"/>
      <c r="BG78" s="78"/>
      <c r="BH78" s="78"/>
      <c r="BI78" s="78"/>
      <c r="BJ78" s="78"/>
      <c r="BK78" s="78"/>
      <c r="BL78" s="78"/>
      <c r="BM78" s="78"/>
      <c r="BN78" s="78"/>
    </row>
    <row r="79" spans="1:66" x14ac:dyDescent="0.3">
      <c r="A79" s="87">
        <v>77</v>
      </c>
      <c r="B79" s="88"/>
      <c r="AH79" s="78"/>
      <c r="AI79" s="78"/>
      <c r="AJ79" s="78"/>
      <c r="AK79" s="78"/>
      <c r="AL79" s="78"/>
      <c r="AM79" s="78"/>
      <c r="AN79" s="78"/>
      <c r="AO79" s="78"/>
      <c r="AP79" s="78"/>
      <c r="AQ79" s="78"/>
      <c r="AY79" s="78"/>
      <c r="AZ79" s="78"/>
      <c r="BA79" s="78"/>
      <c r="BB79" s="78"/>
      <c r="BC79" s="78"/>
      <c r="BD79" s="78"/>
      <c r="BE79" s="78"/>
      <c r="BF79" s="78"/>
      <c r="BG79" s="78"/>
      <c r="BH79" s="78"/>
      <c r="BI79" s="78"/>
      <c r="BJ79" s="78"/>
      <c r="BK79" s="78"/>
      <c r="BL79" s="78"/>
      <c r="BM79" s="78"/>
      <c r="BN79" s="78"/>
    </row>
    <row r="80" spans="1:66" x14ac:dyDescent="0.3">
      <c r="A80" s="87">
        <v>78</v>
      </c>
      <c r="B80" s="88"/>
      <c r="AH80" s="78"/>
      <c r="AI80" s="78"/>
      <c r="AJ80" s="78"/>
      <c r="AK80" s="78"/>
      <c r="AL80" s="78"/>
      <c r="AM80" s="78"/>
      <c r="AN80" s="78"/>
      <c r="AO80" s="78"/>
      <c r="AP80" s="78"/>
      <c r="AQ80" s="78"/>
      <c r="AY80" s="78"/>
      <c r="AZ80" s="78"/>
      <c r="BA80" s="78"/>
      <c r="BB80" s="78"/>
      <c r="BC80" s="78"/>
      <c r="BD80" s="78"/>
      <c r="BE80" s="78"/>
      <c r="BF80" s="78"/>
      <c r="BG80" s="78"/>
      <c r="BH80" s="78"/>
      <c r="BI80" s="78"/>
      <c r="BJ80" s="78"/>
      <c r="BK80" s="78"/>
      <c r="BL80" s="78"/>
      <c r="BM80" s="78"/>
      <c r="BN80" s="78"/>
    </row>
    <row r="81" spans="1:66" x14ac:dyDescent="0.3">
      <c r="A81" s="87">
        <v>79</v>
      </c>
      <c r="B81" s="88"/>
      <c r="AH81" s="78"/>
      <c r="AI81" s="78"/>
      <c r="AJ81" s="78"/>
      <c r="AK81" s="78"/>
      <c r="AL81" s="78"/>
      <c r="AM81" s="78"/>
      <c r="AN81" s="78"/>
      <c r="AO81" s="78"/>
      <c r="AP81" s="78"/>
      <c r="AQ81" s="78"/>
      <c r="AY81" s="78"/>
      <c r="AZ81" s="78"/>
      <c r="BA81" s="78"/>
      <c r="BB81" s="78"/>
      <c r="BC81" s="78"/>
      <c r="BD81" s="78"/>
      <c r="BE81" s="78"/>
      <c r="BF81" s="78"/>
      <c r="BG81" s="78"/>
      <c r="BH81" s="78"/>
      <c r="BI81" s="78"/>
      <c r="BJ81" s="78"/>
      <c r="BK81" s="78"/>
      <c r="BL81" s="78"/>
      <c r="BM81" s="78"/>
      <c r="BN81" s="78"/>
    </row>
    <row r="82" spans="1:66" x14ac:dyDescent="0.3">
      <c r="A82" s="87">
        <v>80</v>
      </c>
      <c r="B82" s="88"/>
      <c r="AH82" s="78"/>
      <c r="AI82" s="78"/>
      <c r="AJ82" s="78"/>
      <c r="AK82" s="78"/>
      <c r="AL82" s="78"/>
      <c r="AM82" s="78"/>
      <c r="AN82" s="78"/>
      <c r="AO82" s="78"/>
      <c r="AP82" s="78"/>
      <c r="AQ82" s="78"/>
      <c r="AY82" s="78"/>
      <c r="AZ82" s="78"/>
      <c r="BA82" s="78"/>
      <c r="BB82" s="78"/>
      <c r="BC82" s="78"/>
      <c r="BD82" s="78"/>
      <c r="BE82" s="78"/>
      <c r="BF82" s="78"/>
      <c r="BG82" s="78"/>
      <c r="BH82" s="78"/>
      <c r="BI82" s="78"/>
      <c r="BJ82" s="78"/>
      <c r="BK82" s="78"/>
      <c r="BL82" s="78"/>
      <c r="BM82" s="78"/>
      <c r="BN82" s="78"/>
    </row>
    <row r="83" spans="1:66" x14ac:dyDescent="0.3">
      <c r="A83" s="87">
        <v>81</v>
      </c>
      <c r="B83" s="88"/>
      <c r="AH83" s="78"/>
      <c r="AI83" s="78"/>
      <c r="AJ83" s="78"/>
      <c r="AK83" s="78"/>
      <c r="AL83" s="78"/>
      <c r="AM83" s="78"/>
      <c r="AN83" s="78"/>
      <c r="AO83" s="78"/>
      <c r="AP83" s="78"/>
      <c r="AQ83" s="78"/>
      <c r="AY83" s="78"/>
      <c r="AZ83" s="78"/>
      <c r="BA83" s="78"/>
      <c r="BB83" s="78"/>
      <c r="BC83" s="78"/>
      <c r="BD83" s="78"/>
      <c r="BE83" s="78"/>
      <c r="BF83" s="78"/>
      <c r="BG83" s="78"/>
      <c r="BH83" s="78"/>
      <c r="BI83" s="78"/>
      <c r="BJ83" s="78"/>
      <c r="BK83" s="78"/>
      <c r="BL83" s="78"/>
      <c r="BM83" s="78"/>
      <c r="BN83" s="78"/>
    </row>
    <row r="84" spans="1:66" x14ac:dyDescent="0.3">
      <c r="A84" s="87">
        <v>82</v>
      </c>
      <c r="B84" s="88"/>
      <c r="AH84" s="78"/>
      <c r="AI84" s="78"/>
      <c r="AJ84" s="78"/>
      <c r="AK84" s="78"/>
      <c r="AL84" s="78"/>
      <c r="AM84" s="78"/>
      <c r="AN84" s="78"/>
      <c r="AO84" s="78"/>
      <c r="AP84" s="78"/>
      <c r="AQ84" s="78"/>
      <c r="AY84" s="78"/>
      <c r="AZ84" s="78"/>
      <c r="BA84" s="78"/>
      <c r="BB84" s="78"/>
      <c r="BC84" s="78"/>
      <c r="BD84" s="78"/>
      <c r="BE84" s="78"/>
      <c r="BF84" s="78"/>
      <c r="BG84" s="78"/>
      <c r="BH84" s="78"/>
      <c r="BI84" s="78"/>
      <c r="BJ84" s="78"/>
      <c r="BK84" s="78"/>
      <c r="BL84" s="78"/>
      <c r="BM84" s="78"/>
      <c r="BN84" s="78"/>
    </row>
    <row r="85" spans="1:66" x14ac:dyDescent="0.3">
      <c r="A85" s="87">
        <v>83</v>
      </c>
      <c r="B85" s="88"/>
      <c r="AH85" s="78"/>
      <c r="AI85" s="78"/>
      <c r="AJ85" s="78"/>
      <c r="AK85" s="78"/>
      <c r="AL85" s="78"/>
      <c r="AM85" s="78"/>
      <c r="AN85" s="78"/>
      <c r="AO85" s="78"/>
      <c r="AP85" s="78"/>
      <c r="AQ85" s="78"/>
      <c r="AY85" s="78"/>
      <c r="AZ85" s="78"/>
      <c r="BA85" s="78"/>
      <c r="BB85" s="78"/>
      <c r="BC85" s="78"/>
      <c r="BD85" s="78"/>
      <c r="BE85" s="78"/>
      <c r="BF85" s="78"/>
      <c r="BG85" s="78"/>
      <c r="BH85" s="78"/>
      <c r="BI85" s="78"/>
      <c r="BJ85" s="78"/>
      <c r="BK85" s="78"/>
      <c r="BL85" s="78"/>
      <c r="BM85" s="78"/>
      <c r="BN85" s="78"/>
    </row>
    <row r="86" spans="1:66" x14ac:dyDescent="0.3">
      <c r="A86" s="87">
        <v>84</v>
      </c>
      <c r="B86" s="88"/>
      <c r="AH86" s="78"/>
      <c r="AI86" s="78"/>
      <c r="AJ86" s="78"/>
      <c r="AK86" s="78"/>
      <c r="AL86" s="78"/>
      <c r="AM86" s="78"/>
      <c r="AN86" s="78"/>
      <c r="AO86" s="78"/>
      <c r="AP86" s="78"/>
      <c r="AQ86" s="78"/>
      <c r="AY86" s="78"/>
      <c r="AZ86" s="78"/>
      <c r="BA86" s="78"/>
      <c r="BB86" s="78"/>
      <c r="BC86" s="78"/>
      <c r="BD86" s="78"/>
      <c r="BE86" s="78"/>
      <c r="BF86" s="78"/>
      <c r="BG86" s="78"/>
      <c r="BH86" s="78"/>
      <c r="BI86" s="78"/>
      <c r="BJ86" s="78"/>
      <c r="BK86" s="78"/>
      <c r="BL86" s="78"/>
      <c r="BM86" s="78"/>
      <c r="BN86" s="78"/>
    </row>
    <row r="87" spans="1:66" x14ac:dyDescent="0.3">
      <c r="A87" s="87">
        <v>85</v>
      </c>
      <c r="B87" s="88"/>
      <c r="AH87" s="78"/>
      <c r="AI87" s="78"/>
      <c r="AJ87" s="78"/>
      <c r="AK87" s="78"/>
      <c r="AL87" s="78"/>
      <c r="AM87" s="78"/>
      <c r="AN87" s="78"/>
      <c r="AO87" s="78"/>
      <c r="AP87" s="78"/>
      <c r="AQ87" s="78"/>
      <c r="AY87" s="78"/>
      <c r="AZ87" s="78"/>
      <c r="BA87" s="78"/>
      <c r="BB87" s="78"/>
      <c r="BC87" s="78"/>
      <c r="BD87" s="78"/>
      <c r="BE87" s="78"/>
      <c r="BF87" s="78"/>
      <c r="BG87" s="78"/>
      <c r="BH87" s="78"/>
      <c r="BI87" s="78"/>
      <c r="BJ87" s="78"/>
      <c r="BK87" s="78"/>
      <c r="BL87" s="78"/>
      <c r="BM87" s="78"/>
      <c r="BN87" s="78"/>
    </row>
    <row r="88" spans="1:66" x14ac:dyDescent="0.3">
      <c r="A88" s="87">
        <v>86</v>
      </c>
      <c r="B88" s="88"/>
      <c r="AH88" s="78"/>
      <c r="AI88" s="78"/>
      <c r="AJ88" s="78"/>
      <c r="AK88" s="78"/>
      <c r="AL88" s="78"/>
      <c r="AM88" s="78"/>
      <c r="AN88" s="78"/>
      <c r="AO88" s="78"/>
      <c r="AP88" s="78"/>
      <c r="AQ88" s="78"/>
      <c r="AY88" s="78"/>
      <c r="AZ88" s="78"/>
      <c r="BA88" s="78"/>
      <c r="BB88" s="78"/>
      <c r="BC88" s="78"/>
      <c r="BD88" s="78"/>
      <c r="BE88" s="78"/>
      <c r="BF88" s="78"/>
      <c r="BG88" s="78"/>
      <c r="BH88" s="78"/>
      <c r="BI88" s="78"/>
      <c r="BJ88" s="78"/>
      <c r="BK88" s="78"/>
      <c r="BL88" s="78"/>
      <c r="BM88" s="78"/>
      <c r="BN88" s="78"/>
    </row>
    <row r="89" spans="1:66" x14ac:dyDescent="0.3">
      <c r="A89" s="87">
        <v>87</v>
      </c>
      <c r="B89" s="88"/>
      <c r="AH89" s="78"/>
      <c r="AI89" s="78"/>
      <c r="AJ89" s="78"/>
      <c r="AK89" s="78"/>
      <c r="AL89" s="78"/>
      <c r="AM89" s="78"/>
      <c r="AN89" s="78"/>
      <c r="AO89" s="78"/>
      <c r="AP89" s="78"/>
      <c r="AQ89" s="78"/>
      <c r="AY89" s="78"/>
      <c r="AZ89" s="78"/>
      <c r="BA89" s="78"/>
      <c r="BB89" s="78"/>
      <c r="BC89" s="78"/>
      <c r="BD89" s="78"/>
      <c r="BE89" s="78"/>
      <c r="BF89" s="78"/>
      <c r="BG89" s="78"/>
      <c r="BH89" s="78"/>
      <c r="BI89" s="78"/>
      <c r="BJ89" s="78"/>
      <c r="BK89" s="78"/>
      <c r="BL89" s="78"/>
      <c r="BM89" s="78"/>
      <c r="BN89" s="78"/>
    </row>
    <row r="90" spans="1:66" x14ac:dyDescent="0.3">
      <c r="A90" s="87">
        <v>88</v>
      </c>
      <c r="B90" s="88"/>
      <c r="AH90" s="78"/>
      <c r="AI90" s="78"/>
      <c r="AJ90" s="78"/>
      <c r="AK90" s="78"/>
      <c r="AL90" s="78"/>
      <c r="AM90" s="78"/>
      <c r="AN90" s="78"/>
      <c r="AO90" s="78"/>
      <c r="AP90" s="78"/>
      <c r="AQ90" s="78"/>
      <c r="AY90" s="78"/>
      <c r="AZ90" s="78"/>
      <c r="BA90" s="78"/>
      <c r="BB90" s="78"/>
      <c r="BC90" s="78"/>
      <c r="BD90" s="78"/>
      <c r="BE90" s="78"/>
      <c r="BF90" s="78"/>
      <c r="BG90" s="78"/>
      <c r="BH90" s="78"/>
      <c r="BI90" s="78"/>
      <c r="BJ90" s="78"/>
      <c r="BK90" s="78"/>
      <c r="BL90" s="78"/>
      <c r="BM90" s="78"/>
      <c r="BN90" s="78"/>
    </row>
    <row r="91" spans="1:66" x14ac:dyDescent="0.3">
      <c r="A91" s="87">
        <v>89</v>
      </c>
      <c r="B91" s="88"/>
      <c r="AH91" s="78"/>
      <c r="AI91" s="78"/>
      <c r="AJ91" s="78"/>
      <c r="AK91" s="78"/>
      <c r="AL91" s="78"/>
      <c r="AM91" s="78"/>
      <c r="AN91" s="78"/>
      <c r="AO91" s="78"/>
      <c r="AP91" s="78"/>
      <c r="AQ91" s="78"/>
      <c r="AY91" s="78"/>
      <c r="AZ91" s="78"/>
      <c r="BA91" s="78"/>
      <c r="BB91" s="78"/>
      <c r="BC91" s="78"/>
      <c r="BD91" s="78"/>
      <c r="BE91" s="78"/>
      <c r="BF91" s="78"/>
      <c r="BG91" s="78"/>
      <c r="BH91" s="78"/>
      <c r="BI91" s="78"/>
      <c r="BJ91" s="78"/>
      <c r="BK91" s="78"/>
      <c r="BL91" s="78"/>
      <c r="BM91" s="78"/>
      <c r="BN91" s="78"/>
    </row>
    <row r="92" spans="1:66" x14ac:dyDescent="0.3">
      <c r="A92" s="87">
        <v>90</v>
      </c>
      <c r="B92" s="88"/>
      <c r="AH92" s="78"/>
      <c r="AI92" s="78"/>
      <c r="AJ92" s="78"/>
      <c r="AK92" s="78"/>
      <c r="AL92" s="78"/>
      <c r="AM92" s="78"/>
      <c r="AN92" s="78"/>
      <c r="AO92" s="78"/>
      <c r="AP92" s="78"/>
      <c r="AQ92" s="78"/>
      <c r="AY92" s="78"/>
      <c r="AZ92" s="78"/>
      <c r="BA92" s="78"/>
      <c r="BB92" s="78"/>
      <c r="BC92" s="78"/>
      <c r="BD92" s="78"/>
      <c r="BE92" s="78"/>
      <c r="BF92" s="78"/>
      <c r="BG92" s="78"/>
      <c r="BH92" s="78"/>
      <c r="BI92" s="78"/>
      <c r="BJ92" s="78"/>
      <c r="BK92" s="78"/>
      <c r="BL92" s="78"/>
      <c r="BM92" s="78"/>
      <c r="BN92" s="78"/>
    </row>
    <row r="93" spans="1:66" x14ac:dyDescent="0.3">
      <c r="A93" s="87">
        <v>91</v>
      </c>
      <c r="B93" s="88"/>
      <c r="AH93" s="78"/>
      <c r="AI93" s="78"/>
      <c r="AJ93" s="78"/>
      <c r="AK93" s="78"/>
      <c r="AL93" s="78"/>
      <c r="AM93" s="78"/>
      <c r="AN93" s="78"/>
      <c r="AO93" s="78"/>
      <c r="AP93" s="78"/>
      <c r="AQ93" s="78"/>
      <c r="AY93" s="78"/>
      <c r="AZ93" s="78"/>
      <c r="BA93" s="78"/>
      <c r="BB93" s="78"/>
      <c r="BC93" s="78"/>
      <c r="BD93" s="78"/>
      <c r="BE93" s="78"/>
      <c r="BF93" s="78"/>
      <c r="BG93" s="78"/>
      <c r="BH93" s="78"/>
      <c r="BI93" s="78"/>
      <c r="BJ93" s="78"/>
      <c r="BK93" s="78"/>
      <c r="BL93" s="78"/>
      <c r="BM93" s="78"/>
      <c r="BN93" s="78"/>
    </row>
    <row r="94" spans="1:66" x14ac:dyDescent="0.3">
      <c r="A94" s="87">
        <v>92</v>
      </c>
      <c r="B94" s="88"/>
      <c r="AH94" s="78"/>
      <c r="AI94" s="78"/>
      <c r="AJ94" s="78"/>
      <c r="AK94" s="78"/>
      <c r="AL94" s="78"/>
      <c r="AM94" s="78"/>
      <c r="AN94" s="78"/>
      <c r="AO94" s="78"/>
      <c r="AP94" s="78"/>
      <c r="AQ94" s="78"/>
      <c r="AY94" s="78"/>
      <c r="AZ94" s="78"/>
      <c r="BA94" s="78"/>
      <c r="BB94" s="78"/>
      <c r="BC94" s="78"/>
      <c r="BD94" s="78"/>
      <c r="BE94" s="78"/>
      <c r="BF94" s="78"/>
      <c r="BG94" s="78"/>
      <c r="BH94" s="78"/>
      <c r="BI94" s="78"/>
      <c r="BJ94" s="78"/>
      <c r="BK94" s="78"/>
      <c r="BL94" s="78"/>
      <c r="BM94" s="78"/>
      <c r="BN94" s="78"/>
    </row>
    <row r="95" spans="1:66" x14ac:dyDescent="0.3">
      <c r="A95" s="87">
        <v>93</v>
      </c>
      <c r="B95" s="88"/>
      <c r="AH95" s="78"/>
      <c r="AI95" s="78"/>
      <c r="AJ95" s="78"/>
      <c r="AK95" s="78"/>
      <c r="AL95" s="78"/>
      <c r="AM95" s="78"/>
      <c r="AN95" s="78"/>
      <c r="AO95" s="78"/>
      <c r="AP95" s="78"/>
      <c r="AQ95" s="78"/>
      <c r="AY95" s="78"/>
      <c r="AZ95" s="78"/>
      <c r="BA95" s="78"/>
      <c r="BB95" s="78"/>
      <c r="BC95" s="78"/>
      <c r="BD95" s="78"/>
      <c r="BE95" s="78"/>
      <c r="BF95" s="78"/>
      <c r="BG95" s="78"/>
      <c r="BH95" s="78"/>
      <c r="BI95" s="78"/>
      <c r="BJ95" s="78"/>
      <c r="BK95" s="78"/>
      <c r="BL95" s="78"/>
      <c r="BM95" s="78"/>
      <c r="BN95" s="78"/>
    </row>
    <row r="96" spans="1:66" x14ac:dyDescent="0.3">
      <c r="A96" s="87">
        <v>94</v>
      </c>
      <c r="B96" s="88"/>
      <c r="AH96" s="78"/>
      <c r="AI96" s="78"/>
      <c r="AJ96" s="78"/>
      <c r="AK96" s="78"/>
      <c r="AL96" s="78"/>
      <c r="AM96" s="78"/>
      <c r="AN96" s="78"/>
      <c r="AO96" s="78"/>
      <c r="AP96" s="78"/>
      <c r="AQ96" s="78"/>
      <c r="AY96" s="78"/>
      <c r="AZ96" s="78"/>
      <c r="BA96" s="78"/>
      <c r="BB96" s="78"/>
      <c r="BC96" s="78"/>
      <c r="BD96" s="78"/>
      <c r="BE96" s="78"/>
      <c r="BF96" s="78"/>
      <c r="BG96" s="78"/>
      <c r="BH96" s="78"/>
      <c r="BI96" s="78"/>
      <c r="BJ96" s="78"/>
      <c r="BK96" s="78"/>
      <c r="BL96" s="78"/>
      <c r="BM96" s="78"/>
      <c r="BN96" s="78"/>
    </row>
    <row r="97" spans="1:66" x14ac:dyDescent="0.3">
      <c r="A97" s="87">
        <v>95</v>
      </c>
      <c r="B97" s="88"/>
      <c r="AH97" s="78"/>
      <c r="AI97" s="78"/>
      <c r="AJ97" s="78"/>
      <c r="AK97" s="78"/>
      <c r="AL97" s="78"/>
      <c r="AM97" s="78"/>
      <c r="AN97" s="78"/>
      <c r="AO97" s="78"/>
      <c r="AP97" s="78"/>
      <c r="AQ97" s="78"/>
      <c r="AY97" s="78"/>
      <c r="AZ97" s="78"/>
      <c r="BA97" s="78"/>
      <c r="BB97" s="78"/>
      <c r="BC97" s="78"/>
      <c r="BD97" s="78"/>
      <c r="BE97" s="78"/>
      <c r="BF97" s="78"/>
      <c r="BG97" s="78"/>
      <c r="BH97" s="78"/>
      <c r="BI97" s="78"/>
      <c r="BJ97" s="78"/>
      <c r="BK97" s="78"/>
      <c r="BL97" s="78"/>
      <c r="BM97" s="78"/>
      <c r="BN97" s="78"/>
    </row>
    <row r="98" spans="1:66" x14ac:dyDescent="0.3">
      <c r="A98" s="87">
        <v>96</v>
      </c>
      <c r="B98" s="88"/>
      <c r="AH98" s="78"/>
      <c r="AI98" s="78"/>
      <c r="AJ98" s="78"/>
      <c r="AK98" s="78"/>
      <c r="AL98" s="78"/>
      <c r="AM98" s="78"/>
      <c r="AN98" s="78"/>
      <c r="AO98" s="78"/>
      <c r="AP98" s="78"/>
      <c r="AQ98" s="78"/>
      <c r="AY98" s="78"/>
      <c r="AZ98" s="78"/>
      <c r="BA98" s="78"/>
      <c r="BB98" s="78"/>
      <c r="BC98" s="78"/>
      <c r="BD98" s="78"/>
      <c r="BE98" s="78"/>
      <c r="BF98" s="78"/>
      <c r="BG98" s="78"/>
      <c r="BH98" s="78"/>
      <c r="BI98" s="78"/>
      <c r="BJ98" s="78"/>
      <c r="BK98" s="78"/>
      <c r="BL98" s="78"/>
      <c r="BM98" s="78"/>
      <c r="BN98" s="78"/>
    </row>
    <row r="99" spans="1:66" x14ac:dyDescent="0.3">
      <c r="A99" s="87">
        <v>97</v>
      </c>
      <c r="B99" s="88"/>
      <c r="AH99" s="78"/>
      <c r="AI99" s="78"/>
      <c r="AJ99" s="78"/>
      <c r="AK99" s="78"/>
      <c r="AL99" s="78"/>
      <c r="AM99" s="78"/>
      <c r="AN99" s="78"/>
      <c r="AO99" s="78"/>
      <c r="AP99" s="78"/>
      <c r="AQ99" s="78"/>
      <c r="AY99" s="78"/>
      <c r="AZ99" s="78"/>
      <c r="BA99" s="78"/>
      <c r="BB99" s="78"/>
      <c r="BC99" s="78"/>
      <c r="BD99" s="78"/>
      <c r="BE99" s="78"/>
      <c r="BF99" s="78"/>
      <c r="BG99" s="78"/>
      <c r="BH99" s="78"/>
      <c r="BI99" s="78"/>
      <c r="BJ99" s="78"/>
      <c r="BK99" s="78"/>
      <c r="BL99" s="78"/>
      <c r="BM99" s="78"/>
      <c r="BN99" s="78"/>
    </row>
    <row r="100" spans="1:66" x14ac:dyDescent="0.3">
      <c r="A100" s="87">
        <v>98</v>
      </c>
      <c r="B100" s="88"/>
      <c r="AH100" s="78"/>
      <c r="AI100" s="78"/>
      <c r="AJ100" s="78"/>
      <c r="AK100" s="78"/>
      <c r="AL100" s="78"/>
      <c r="AM100" s="78"/>
      <c r="AN100" s="78"/>
      <c r="AO100" s="78"/>
      <c r="AP100" s="78"/>
      <c r="AQ100" s="78"/>
      <c r="AY100" s="78"/>
      <c r="AZ100" s="78"/>
      <c r="BA100" s="78"/>
      <c r="BB100" s="78"/>
      <c r="BC100" s="78"/>
      <c r="BD100" s="78"/>
      <c r="BE100" s="78"/>
      <c r="BF100" s="78"/>
      <c r="BG100" s="78"/>
      <c r="BH100" s="78"/>
      <c r="BI100" s="78"/>
      <c r="BJ100" s="78"/>
      <c r="BK100" s="78"/>
      <c r="BL100" s="78"/>
      <c r="BM100" s="78"/>
      <c r="BN100" s="78"/>
    </row>
    <row r="101" spans="1:66" x14ac:dyDescent="0.3">
      <c r="A101" s="87">
        <v>99</v>
      </c>
      <c r="B101" s="88"/>
      <c r="AH101" s="78"/>
      <c r="AI101" s="78"/>
      <c r="AJ101" s="78"/>
      <c r="AK101" s="78"/>
      <c r="AL101" s="78"/>
      <c r="AM101" s="78"/>
      <c r="AN101" s="78"/>
      <c r="AO101" s="78"/>
      <c r="AP101" s="78"/>
      <c r="AQ101" s="78"/>
      <c r="AY101" s="78"/>
      <c r="AZ101" s="78"/>
      <c r="BA101" s="78"/>
      <c r="BB101" s="78"/>
      <c r="BC101" s="78"/>
      <c r="BD101" s="78"/>
      <c r="BE101" s="78"/>
      <c r="BF101" s="78"/>
      <c r="BG101" s="78"/>
      <c r="BH101" s="78"/>
      <c r="BI101" s="78"/>
      <c r="BJ101" s="78"/>
      <c r="BK101" s="78"/>
      <c r="BL101" s="78"/>
      <c r="BM101" s="78"/>
      <c r="BN101" s="78"/>
    </row>
    <row r="102" spans="1:66" x14ac:dyDescent="0.3">
      <c r="A102" s="87">
        <v>100</v>
      </c>
      <c r="B102" s="88"/>
      <c r="AH102" s="78"/>
      <c r="AI102" s="78"/>
      <c r="AJ102" s="78"/>
      <c r="AK102" s="78"/>
      <c r="AL102" s="78"/>
      <c r="AM102" s="78"/>
      <c r="AN102" s="78"/>
      <c r="AO102" s="78"/>
      <c r="AP102" s="78"/>
      <c r="AQ102" s="78"/>
      <c r="AY102" s="78"/>
      <c r="AZ102" s="78"/>
      <c r="BA102" s="78"/>
      <c r="BB102" s="78"/>
      <c r="BC102" s="78"/>
      <c r="BD102" s="78"/>
      <c r="BE102" s="78"/>
      <c r="BF102" s="78"/>
      <c r="BG102" s="78"/>
      <c r="BH102" s="78"/>
      <c r="BI102" s="78"/>
      <c r="BJ102" s="78"/>
      <c r="BK102" s="78"/>
      <c r="BL102" s="78"/>
      <c r="BM102" s="78"/>
      <c r="BN102" s="78"/>
    </row>
    <row r="103" spans="1:66" x14ac:dyDescent="0.3">
      <c r="A103" s="109" t="s">
        <v>107</v>
      </c>
    </row>
  </sheetData>
  <dataConsolidate/>
  <mergeCells count="3">
    <mergeCell ref="F2:G2"/>
    <mergeCell ref="I4:K4"/>
    <mergeCell ref="L4:N4"/>
  </mergeCells>
  <pageMargins left="0.75" right="0.75" top="1" bottom="1" header="0.5" footer="0.5"/>
  <pageSetup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N103"/>
  <sheetViews>
    <sheetView showGridLines="0" workbookViewId="0">
      <selection activeCell="C2" sqref="C2"/>
    </sheetView>
  </sheetViews>
  <sheetFormatPr defaultColWidth="9.21875" defaultRowHeight="15.6" x14ac:dyDescent="0.3"/>
  <cols>
    <col min="1" max="1" width="9.21875" style="87" customWidth="1"/>
    <col min="2" max="2" width="12.21875" style="110" customWidth="1"/>
    <col min="3" max="3" width="12.21875" style="111" customWidth="1"/>
    <col min="4" max="4" width="8.77734375" style="78" customWidth="1"/>
    <col min="5" max="5" width="8.77734375" style="79" customWidth="1"/>
    <col min="6" max="6" width="13.21875" style="112" customWidth="1"/>
    <col min="7" max="7" width="9.21875" style="79"/>
    <col min="8" max="8" width="7.5546875" style="79" customWidth="1"/>
    <col min="9" max="14" width="11.5546875" style="79" customWidth="1"/>
    <col min="15" max="17" width="9.21875" style="79"/>
    <col min="18" max="19" width="9.21875" style="78"/>
    <col min="20" max="20" width="16.21875" style="78" customWidth="1"/>
    <col min="21" max="22" width="12.77734375" style="78" customWidth="1"/>
    <col min="23" max="54" width="9.21875" style="78"/>
    <col min="55" max="16384" width="9.21875" style="79"/>
  </cols>
  <sheetData>
    <row r="1" spans="1:66" ht="31.2" thickBot="1" x14ac:dyDescent="0.6">
      <c r="A1" s="76" t="s">
        <v>101</v>
      </c>
      <c r="I1" s="78"/>
      <c r="J1" s="78"/>
      <c r="K1" s="78"/>
      <c r="L1" s="78"/>
      <c r="M1" s="78"/>
      <c r="N1" s="78"/>
      <c r="O1" s="78"/>
      <c r="Q1" s="78"/>
      <c r="AH1" s="81"/>
      <c r="AI1" s="81"/>
      <c r="AJ1" s="81"/>
      <c r="AK1" s="81"/>
      <c r="AL1" s="81"/>
      <c r="AM1" s="81"/>
      <c r="AN1" s="81"/>
      <c r="BC1" s="78"/>
      <c r="BD1" s="78"/>
      <c r="BE1" s="78"/>
      <c r="BF1" s="78"/>
      <c r="BG1" s="78"/>
      <c r="BH1" s="78"/>
      <c r="BI1" s="78"/>
      <c r="BJ1" s="78"/>
      <c r="BK1" s="78"/>
      <c r="BL1" s="78"/>
      <c r="BM1" s="78"/>
      <c r="BN1" s="78"/>
    </row>
    <row r="2" spans="1:66" s="85" customFormat="1" ht="39.75" customHeight="1" thickBot="1" x14ac:dyDescent="0.35">
      <c r="A2" s="82" t="s">
        <v>102</v>
      </c>
      <c r="B2" s="113" t="s">
        <v>108</v>
      </c>
      <c r="C2" s="114" t="s">
        <v>109</v>
      </c>
      <c r="D2" s="78"/>
      <c r="E2" s="84"/>
      <c r="F2" s="187" t="s">
        <v>103</v>
      </c>
      <c r="G2" s="194"/>
      <c r="I2" s="86"/>
      <c r="J2" s="86"/>
      <c r="K2" s="86"/>
      <c r="L2" s="86"/>
      <c r="M2" s="86"/>
      <c r="N2" s="86"/>
      <c r="O2" s="86"/>
      <c r="Q2" s="86"/>
      <c r="R2" s="78"/>
      <c r="S2" s="78"/>
      <c r="T2" s="78"/>
      <c r="U2" s="78"/>
      <c r="V2" s="78"/>
      <c r="W2" s="86"/>
      <c r="X2" s="86"/>
      <c r="Y2" s="78"/>
      <c r="Z2" s="78"/>
      <c r="AA2" s="78"/>
      <c r="AB2" s="78"/>
      <c r="AC2" s="78"/>
      <c r="AD2" s="78"/>
      <c r="AE2" s="78"/>
      <c r="AF2" s="78"/>
      <c r="AG2" s="78"/>
      <c r="AH2" s="81"/>
      <c r="AI2" s="81"/>
      <c r="AJ2" s="81"/>
      <c r="AK2" s="81"/>
      <c r="AL2" s="81"/>
      <c r="AM2" s="81"/>
      <c r="AN2" s="81"/>
      <c r="AO2" s="78"/>
      <c r="AP2" s="78"/>
      <c r="AQ2" s="78"/>
      <c r="AR2" s="78"/>
      <c r="AS2" s="78"/>
      <c r="AT2" s="78"/>
      <c r="AU2" s="78"/>
      <c r="AV2" s="78"/>
      <c r="AW2" s="78"/>
      <c r="AX2" s="78"/>
      <c r="AY2" s="78"/>
      <c r="AZ2" s="78"/>
      <c r="BA2" s="78"/>
      <c r="BB2" s="78"/>
      <c r="BC2" s="86"/>
      <c r="BD2" s="86"/>
      <c r="BE2" s="86"/>
      <c r="BF2" s="86"/>
      <c r="BG2" s="86"/>
      <c r="BH2" s="86"/>
      <c r="BI2" s="86"/>
      <c r="BJ2" s="86"/>
      <c r="BK2" s="86"/>
      <c r="BL2" s="86"/>
      <c r="BM2" s="86"/>
      <c r="BN2" s="86"/>
    </row>
    <row r="3" spans="1:66" ht="16.2" thickBot="1" x14ac:dyDescent="0.35">
      <c r="A3" s="87">
        <v>1</v>
      </c>
      <c r="B3" s="115"/>
      <c r="C3" s="116"/>
      <c r="E3" s="89"/>
      <c r="F3" s="90"/>
      <c r="G3" s="91" t="s">
        <v>104</v>
      </c>
      <c r="AH3" s="81"/>
      <c r="AI3" s="81"/>
      <c r="AJ3" s="81"/>
      <c r="AK3" s="81"/>
      <c r="AL3" s="81"/>
      <c r="AM3" s="81"/>
      <c r="AN3" s="81"/>
      <c r="BC3" s="78"/>
      <c r="BD3" s="78"/>
      <c r="BE3" s="78"/>
      <c r="BF3" s="78"/>
      <c r="BG3" s="78"/>
      <c r="BH3" s="78"/>
      <c r="BI3" s="78"/>
      <c r="BJ3" s="78"/>
      <c r="BK3" s="78"/>
      <c r="BL3" s="78"/>
      <c r="BM3" s="78"/>
      <c r="BN3" s="78"/>
    </row>
    <row r="4" spans="1:66" ht="16.2" thickBot="1" x14ac:dyDescent="0.35">
      <c r="A4" s="87">
        <v>2</v>
      </c>
      <c r="B4" s="115"/>
      <c r="C4" s="116"/>
      <c r="E4" s="89"/>
      <c r="F4" s="92"/>
      <c r="G4" s="117" t="s">
        <v>110</v>
      </c>
      <c r="I4" s="195" t="s">
        <v>108</v>
      </c>
      <c r="J4" s="196"/>
      <c r="K4" s="197" t="s">
        <v>109</v>
      </c>
      <c r="L4" s="198"/>
      <c r="M4" s="192" t="s">
        <v>106</v>
      </c>
      <c r="N4" s="193"/>
      <c r="P4" s="94"/>
      <c r="AH4" s="81"/>
      <c r="AI4" s="81"/>
      <c r="AJ4" s="81"/>
      <c r="AK4" s="81"/>
      <c r="AL4" s="81"/>
      <c r="AM4" s="81"/>
      <c r="AN4" s="81"/>
      <c r="BC4" s="78"/>
      <c r="BD4" s="78"/>
      <c r="BE4" s="78"/>
      <c r="BF4" s="78"/>
      <c r="BG4" s="78"/>
      <c r="BH4" s="78"/>
      <c r="BI4" s="78"/>
      <c r="BJ4" s="78"/>
      <c r="BK4" s="78"/>
      <c r="BL4" s="78"/>
      <c r="BM4" s="78"/>
      <c r="BN4" s="78"/>
    </row>
    <row r="5" spans="1:66" x14ac:dyDescent="0.3">
      <c r="A5" s="87">
        <v>3</v>
      </c>
      <c r="B5" s="115"/>
      <c r="C5" s="116"/>
      <c r="E5" s="95"/>
      <c r="F5" s="96"/>
      <c r="G5" s="95"/>
      <c r="I5" s="1" t="s">
        <v>0</v>
      </c>
      <c r="J5" s="2">
        <v>3.8919870765226666E-3</v>
      </c>
      <c r="K5" s="3" t="s">
        <v>0</v>
      </c>
      <c r="L5" s="4">
        <v>3.3556206172831171E-3</v>
      </c>
      <c r="M5" s="98"/>
      <c r="N5" s="118"/>
      <c r="P5" s="94"/>
      <c r="AH5" s="81"/>
      <c r="AI5" s="81"/>
      <c r="AJ5" s="81"/>
      <c r="AK5" s="81"/>
      <c r="AL5" s="81"/>
      <c r="AM5" s="81"/>
      <c r="AN5" s="81"/>
      <c r="BC5" s="78"/>
      <c r="BD5" s="78"/>
      <c r="BE5" s="78"/>
      <c r="BF5" s="78"/>
      <c r="BG5" s="78"/>
      <c r="BH5" s="78"/>
      <c r="BI5" s="78"/>
      <c r="BJ5" s="78"/>
      <c r="BK5" s="78"/>
      <c r="BL5" s="78"/>
      <c r="BM5" s="78"/>
      <c r="BN5" s="78"/>
    </row>
    <row r="6" spans="1:66" x14ac:dyDescent="0.3">
      <c r="A6" s="87">
        <v>4</v>
      </c>
      <c r="B6" s="115"/>
      <c r="C6" s="116"/>
      <c r="I6" s="1" t="s">
        <v>1</v>
      </c>
      <c r="J6" s="5">
        <v>0.16598652994176216</v>
      </c>
      <c r="K6" s="3" t="s">
        <v>1</v>
      </c>
      <c r="L6" s="6">
        <v>0.14882661448398982</v>
      </c>
      <c r="M6" s="119"/>
      <c r="N6" s="120"/>
      <c r="AH6" s="81"/>
      <c r="AI6" s="81"/>
      <c r="AJ6" s="81"/>
      <c r="AK6" s="81"/>
      <c r="AL6" s="81"/>
      <c r="AM6" s="81"/>
      <c r="AN6" s="81"/>
      <c r="BC6" s="78"/>
      <c r="BD6" s="78"/>
      <c r="BE6" s="78"/>
      <c r="BF6" s="78"/>
      <c r="BG6" s="78"/>
      <c r="BH6" s="78"/>
      <c r="BI6" s="78"/>
      <c r="BJ6" s="78"/>
      <c r="BK6" s="78"/>
      <c r="BL6" s="78"/>
      <c r="BM6" s="78"/>
      <c r="BN6" s="78"/>
    </row>
    <row r="7" spans="1:66" x14ac:dyDescent="0.3">
      <c r="A7" s="87">
        <v>5</v>
      </c>
      <c r="B7" s="115"/>
      <c r="C7" s="116"/>
      <c r="F7" s="121"/>
      <c r="I7" s="1" t="s">
        <v>2</v>
      </c>
      <c r="J7" s="2">
        <v>0.50081070155017959</v>
      </c>
      <c r="K7" s="3" t="s">
        <v>2</v>
      </c>
      <c r="L7" s="4">
        <v>0.40019025312581391</v>
      </c>
      <c r="M7" s="89"/>
      <c r="N7" s="7"/>
      <c r="AH7" s="81"/>
      <c r="AI7" s="81"/>
      <c r="AJ7" s="81"/>
      <c r="AK7" s="81"/>
      <c r="AL7" s="81"/>
      <c r="AM7" s="81"/>
      <c r="AN7" s="81"/>
      <c r="BC7" s="78"/>
      <c r="BD7" s="78"/>
      <c r="BE7" s="78"/>
      <c r="BF7" s="78"/>
      <c r="BG7" s="78"/>
      <c r="BH7" s="78"/>
      <c r="BI7" s="78"/>
      <c r="BJ7" s="78"/>
      <c r="BK7" s="78"/>
      <c r="BL7" s="78"/>
      <c r="BM7" s="78"/>
      <c r="BN7" s="78"/>
    </row>
    <row r="8" spans="1:66" ht="16.2" thickBot="1" x14ac:dyDescent="0.35">
      <c r="A8" s="87">
        <v>6</v>
      </c>
      <c r="B8" s="115"/>
      <c r="C8" s="116"/>
      <c r="F8" s="121"/>
      <c r="I8" s="8" t="s">
        <v>3</v>
      </c>
      <c r="J8" s="9">
        <v>-0.54963495662729456</v>
      </c>
      <c r="K8" s="10" t="s">
        <v>3</v>
      </c>
      <c r="L8" s="11">
        <v>-0.46734164154276719</v>
      </c>
      <c r="M8" s="105"/>
      <c r="N8" s="106"/>
      <c r="AH8" s="81"/>
      <c r="AI8" s="81"/>
      <c r="AJ8" s="81"/>
      <c r="AK8" s="81"/>
      <c r="AL8" s="81"/>
      <c r="AM8" s="81"/>
      <c r="AN8" s="81"/>
      <c r="BC8" s="78"/>
      <c r="BD8" s="78"/>
      <c r="BE8" s="78"/>
      <c r="BF8" s="78"/>
      <c r="BG8" s="78"/>
      <c r="BH8" s="78"/>
      <c r="BI8" s="78"/>
      <c r="BJ8" s="78"/>
      <c r="BK8" s="78"/>
      <c r="BL8" s="78"/>
      <c r="BM8" s="78"/>
      <c r="BN8" s="78"/>
    </row>
    <row r="9" spans="1:66" x14ac:dyDescent="0.3">
      <c r="A9" s="87">
        <v>7</v>
      </c>
      <c r="B9" s="115"/>
      <c r="C9" s="116"/>
      <c r="F9" s="121"/>
      <c r="I9" s="95"/>
      <c r="J9" s="107"/>
      <c r="K9" s="95"/>
      <c r="L9" s="95"/>
      <c r="M9" s="95"/>
      <c r="N9" s="95"/>
      <c r="AH9" s="81"/>
      <c r="AI9" s="81"/>
      <c r="AJ9" s="81"/>
      <c r="AK9" s="81"/>
      <c r="AL9" s="81"/>
      <c r="AM9" s="81"/>
      <c r="AN9" s="81"/>
      <c r="BC9" s="78"/>
      <c r="BD9" s="78"/>
      <c r="BE9" s="78"/>
      <c r="BF9" s="78"/>
      <c r="BG9" s="78"/>
      <c r="BH9" s="78"/>
      <c r="BI9" s="78"/>
      <c r="BJ9" s="78"/>
      <c r="BK9" s="78"/>
      <c r="BL9" s="78"/>
      <c r="BM9" s="78"/>
      <c r="BN9" s="78"/>
    </row>
    <row r="10" spans="1:66" x14ac:dyDescent="0.3">
      <c r="A10" s="87">
        <v>8</v>
      </c>
      <c r="B10" s="115"/>
      <c r="C10" s="116"/>
      <c r="F10" s="121"/>
      <c r="I10" s="89"/>
      <c r="J10" s="107"/>
      <c r="K10" s="95"/>
      <c r="L10" s="95"/>
      <c r="M10" s="95"/>
      <c r="N10" s="95"/>
      <c r="P10" s="94"/>
      <c r="AH10" s="81"/>
      <c r="AI10" s="81"/>
      <c r="AJ10" s="81"/>
      <c r="AK10" s="81"/>
      <c r="AL10" s="81"/>
      <c r="AM10" s="81"/>
      <c r="AN10" s="81"/>
      <c r="BC10" s="78"/>
      <c r="BD10" s="78"/>
      <c r="BE10" s="78"/>
      <c r="BF10" s="78"/>
      <c r="BG10" s="78"/>
      <c r="BH10" s="78"/>
      <c r="BI10" s="78"/>
      <c r="BJ10" s="78"/>
      <c r="BK10" s="78"/>
      <c r="BL10" s="78"/>
      <c r="BM10" s="78"/>
      <c r="BN10" s="78"/>
    </row>
    <row r="11" spans="1:66" x14ac:dyDescent="0.3">
      <c r="A11" s="87">
        <v>9</v>
      </c>
      <c r="B11" s="115"/>
      <c r="C11" s="116"/>
      <c r="I11" s="95"/>
      <c r="J11" s="107"/>
      <c r="K11" s="95"/>
      <c r="L11" s="95"/>
      <c r="M11" s="95"/>
      <c r="N11" s="95"/>
      <c r="P11" s="94"/>
      <c r="AH11" s="81"/>
      <c r="AI11" s="81"/>
      <c r="AJ11" s="81"/>
      <c r="AK11" s="81"/>
      <c r="AL11" s="81"/>
      <c r="AM11" s="81"/>
      <c r="AN11" s="81"/>
      <c r="BC11" s="78"/>
      <c r="BD11" s="78"/>
      <c r="BE11" s="78"/>
      <c r="BF11" s="78"/>
      <c r="BG11" s="78"/>
      <c r="BH11" s="78"/>
      <c r="BI11" s="78"/>
      <c r="BJ11" s="78"/>
      <c r="BK11" s="78"/>
      <c r="BL11" s="78"/>
      <c r="BM11" s="78"/>
      <c r="BN11" s="78"/>
    </row>
    <row r="12" spans="1:66" x14ac:dyDescent="0.3">
      <c r="A12" s="87">
        <v>10</v>
      </c>
      <c r="B12" s="115"/>
      <c r="C12" s="116"/>
      <c r="I12" s="95"/>
      <c r="J12" s="95"/>
      <c r="K12" s="95"/>
      <c r="L12" s="95"/>
      <c r="M12" s="95"/>
      <c r="N12" s="95"/>
      <c r="P12" s="94"/>
      <c r="AH12" s="81"/>
      <c r="AI12" s="81"/>
      <c r="AJ12" s="81"/>
      <c r="AK12" s="81"/>
      <c r="AL12" s="81"/>
      <c r="AM12" s="81"/>
      <c r="AN12" s="81"/>
      <c r="BC12" s="78"/>
      <c r="BD12" s="78"/>
      <c r="BE12" s="78"/>
      <c r="BF12" s="78"/>
      <c r="BG12" s="78"/>
      <c r="BH12" s="78"/>
      <c r="BI12" s="78"/>
      <c r="BJ12" s="78"/>
      <c r="BK12" s="78"/>
      <c r="BL12" s="78"/>
      <c r="BM12" s="78"/>
      <c r="BN12" s="78"/>
    </row>
    <row r="13" spans="1:66" x14ac:dyDescent="0.3">
      <c r="A13" s="87">
        <v>11</v>
      </c>
      <c r="B13" s="115"/>
      <c r="C13" s="116"/>
      <c r="I13" s="95"/>
      <c r="J13" s="95"/>
      <c r="K13" s="95"/>
      <c r="L13" s="95"/>
      <c r="M13" s="95"/>
      <c r="N13" s="95"/>
      <c r="AH13" s="81"/>
      <c r="AI13" s="81"/>
      <c r="AJ13" s="81"/>
      <c r="AK13" s="81"/>
      <c r="AL13" s="81"/>
      <c r="AM13" s="81"/>
      <c r="AN13" s="81"/>
      <c r="BC13" s="78"/>
      <c r="BD13" s="78"/>
      <c r="BE13" s="78"/>
      <c r="BF13" s="78"/>
      <c r="BG13" s="78"/>
      <c r="BH13" s="78"/>
      <c r="BI13" s="78"/>
      <c r="BJ13" s="78"/>
      <c r="BK13" s="78"/>
      <c r="BL13" s="78"/>
      <c r="BM13" s="78"/>
      <c r="BN13" s="78"/>
    </row>
    <row r="14" spans="1:66" x14ac:dyDescent="0.3">
      <c r="A14" s="87">
        <v>12</v>
      </c>
      <c r="B14" s="115"/>
      <c r="C14" s="116"/>
      <c r="E14" s="108"/>
      <c r="I14" s="95"/>
      <c r="J14" s="95"/>
      <c r="K14" s="95"/>
      <c r="L14" s="95"/>
      <c r="M14" s="95"/>
      <c r="N14" s="95"/>
      <c r="AH14" s="81"/>
      <c r="AI14" s="81"/>
      <c r="AJ14" s="81"/>
      <c r="AK14" s="81"/>
      <c r="AL14" s="81"/>
      <c r="AM14" s="81"/>
      <c r="AN14" s="81"/>
      <c r="BC14" s="78"/>
      <c r="BD14" s="78"/>
      <c r="BE14" s="78"/>
      <c r="BF14" s="78"/>
      <c r="BG14" s="78"/>
      <c r="BH14" s="78"/>
      <c r="BI14" s="78"/>
      <c r="BJ14" s="78"/>
      <c r="BK14" s="78"/>
      <c r="BL14" s="78"/>
      <c r="BM14" s="78"/>
      <c r="BN14" s="78"/>
    </row>
    <row r="15" spans="1:66" x14ac:dyDescent="0.3">
      <c r="A15" s="87">
        <v>13</v>
      </c>
      <c r="B15" s="115"/>
      <c r="C15" s="116"/>
      <c r="E15" s="108"/>
      <c r="I15" s="95"/>
      <c r="J15" s="95"/>
      <c r="K15" s="95"/>
      <c r="L15" s="95"/>
      <c r="M15" s="95"/>
      <c r="N15" s="95"/>
      <c r="AH15" s="81"/>
      <c r="AI15" s="81"/>
      <c r="AJ15" s="81"/>
      <c r="AK15" s="81"/>
      <c r="AL15" s="81"/>
      <c r="AM15" s="81"/>
      <c r="AN15" s="81"/>
      <c r="BC15" s="78"/>
      <c r="BD15" s="78"/>
      <c r="BE15" s="78"/>
      <c r="BF15" s="78"/>
      <c r="BG15" s="78"/>
      <c r="BH15" s="78"/>
      <c r="BI15" s="78"/>
      <c r="BJ15" s="78"/>
      <c r="BK15" s="78"/>
      <c r="BL15" s="78"/>
      <c r="BM15" s="78"/>
      <c r="BN15" s="78"/>
    </row>
    <row r="16" spans="1:66" x14ac:dyDescent="0.3">
      <c r="A16" s="87">
        <v>14</v>
      </c>
      <c r="B16" s="115"/>
      <c r="C16" s="116"/>
      <c r="E16" s="108"/>
      <c r="I16" s="95"/>
      <c r="J16" s="95"/>
      <c r="K16" s="95"/>
      <c r="L16" s="95"/>
      <c r="M16" s="95"/>
      <c r="N16" s="95"/>
      <c r="AH16" s="81"/>
      <c r="AI16" s="81"/>
      <c r="AJ16" s="81"/>
      <c r="AK16" s="81"/>
      <c r="AL16" s="81"/>
      <c r="AM16" s="81"/>
      <c r="AN16" s="81"/>
      <c r="BC16" s="78"/>
      <c r="BD16" s="78"/>
      <c r="BE16" s="78"/>
      <c r="BF16" s="78"/>
      <c r="BG16" s="78"/>
      <c r="BH16" s="78"/>
      <c r="BI16" s="78"/>
      <c r="BJ16" s="78"/>
      <c r="BK16" s="78"/>
      <c r="BL16" s="78"/>
      <c r="BM16" s="78"/>
      <c r="BN16" s="78"/>
    </row>
    <row r="17" spans="1:66" x14ac:dyDescent="0.3">
      <c r="A17" s="87">
        <v>15</v>
      </c>
      <c r="B17" s="115"/>
      <c r="C17" s="116"/>
      <c r="I17" s="95"/>
      <c r="J17" s="95"/>
      <c r="K17" s="95"/>
      <c r="L17" s="95"/>
      <c r="M17" s="95"/>
      <c r="N17" s="95"/>
      <c r="AH17" s="81"/>
      <c r="AI17" s="81"/>
      <c r="AJ17" s="81"/>
      <c r="AK17" s="81"/>
      <c r="AL17" s="81"/>
      <c r="AM17" s="81"/>
      <c r="AN17" s="81"/>
      <c r="BC17" s="78"/>
      <c r="BD17" s="78"/>
      <c r="BE17" s="78"/>
      <c r="BF17" s="78"/>
      <c r="BG17" s="78"/>
      <c r="BH17" s="78"/>
      <c r="BI17" s="78"/>
      <c r="BJ17" s="78"/>
      <c r="BK17" s="78"/>
      <c r="BL17" s="78"/>
      <c r="BM17" s="78"/>
      <c r="BN17" s="78"/>
    </row>
    <row r="18" spans="1:66" x14ac:dyDescent="0.3">
      <c r="A18" s="87">
        <v>16</v>
      </c>
      <c r="B18" s="115"/>
      <c r="C18" s="116"/>
      <c r="I18" s="95"/>
      <c r="J18" s="95"/>
      <c r="K18" s="95"/>
      <c r="L18" s="95"/>
      <c r="M18" s="95"/>
      <c r="N18" s="95"/>
      <c r="AH18" s="81"/>
      <c r="AI18" s="81"/>
      <c r="AJ18" s="81"/>
      <c r="AK18" s="81"/>
      <c r="AL18" s="81"/>
      <c r="AM18" s="81"/>
      <c r="AN18" s="81"/>
      <c r="BC18" s="78"/>
      <c r="BD18" s="78"/>
      <c r="BE18" s="78"/>
      <c r="BF18" s="78"/>
      <c r="BG18" s="78"/>
      <c r="BH18" s="78"/>
      <c r="BI18" s="78"/>
      <c r="BJ18" s="78"/>
      <c r="BK18" s="78"/>
      <c r="BL18" s="78"/>
      <c r="BM18" s="78"/>
      <c r="BN18" s="78"/>
    </row>
    <row r="19" spans="1:66" x14ac:dyDescent="0.3">
      <c r="A19" s="87">
        <v>17</v>
      </c>
      <c r="B19" s="115"/>
      <c r="C19" s="116"/>
      <c r="F19" s="122">
        <v>1</v>
      </c>
      <c r="I19" s="95"/>
      <c r="J19" s="95"/>
      <c r="K19" s="95"/>
      <c r="L19" s="95"/>
      <c r="M19" s="95"/>
      <c r="N19" s="95"/>
      <c r="AH19" s="81"/>
      <c r="AI19" s="81"/>
      <c r="AJ19" s="81"/>
      <c r="AK19" s="81"/>
      <c r="AL19" s="81"/>
      <c r="AM19" s="81"/>
      <c r="AN19" s="81"/>
      <c r="BC19" s="78"/>
      <c r="BD19" s="78"/>
      <c r="BE19" s="78"/>
      <c r="BF19" s="78"/>
      <c r="BG19" s="78"/>
      <c r="BH19" s="78"/>
      <c r="BI19" s="78"/>
      <c r="BJ19" s="78"/>
      <c r="BK19" s="78"/>
      <c r="BL19" s="78"/>
      <c r="BM19" s="78"/>
      <c r="BN19" s="78"/>
    </row>
    <row r="20" spans="1:66" x14ac:dyDescent="0.3">
      <c r="A20" s="87">
        <v>18</v>
      </c>
      <c r="B20" s="115"/>
      <c r="C20" s="116"/>
      <c r="I20" s="95"/>
      <c r="J20" s="95"/>
      <c r="K20" s="95"/>
      <c r="L20" s="95"/>
      <c r="M20" s="95"/>
      <c r="N20" s="95"/>
      <c r="AH20" s="81"/>
      <c r="AI20" s="81"/>
      <c r="AJ20" s="81"/>
      <c r="AK20" s="81"/>
      <c r="AL20" s="81"/>
      <c r="AM20" s="81"/>
      <c r="AN20" s="81"/>
      <c r="BC20" s="78"/>
      <c r="BD20" s="78"/>
      <c r="BE20" s="78"/>
      <c r="BF20" s="78"/>
      <c r="BG20" s="78"/>
      <c r="BH20" s="78"/>
      <c r="BI20" s="78"/>
      <c r="BJ20" s="78"/>
      <c r="BK20" s="78"/>
      <c r="BL20" s="78"/>
      <c r="BM20" s="78"/>
      <c r="BN20" s="78"/>
    </row>
    <row r="21" spans="1:66" x14ac:dyDescent="0.3">
      <c r="A21" s="87">
        <v>19</v>
      </c>
      <c r="B21" s="115"/>
      <c r="C21" s="116"/>
      <c r="I21" s="95"/>
      <c r="J21" s="95"/>
      <c r="K21" s="95"/>
      <c r="L21" s="95"/>
      <c r="M21" s="95"/>
      <c r="N21" s="95"/>
      <c r="AH21" s="81"/>
      <c r="AI21" s="81"/>
      <c r="AJ21" s="81"/>
      <c r="AK21" s="81"/>
      <c r="AL21" s="81"/>
      <c r="AM21" s="81"/>
      <c r="AN21" s="81"/>
      <c r="BC21" s="78"/>
      <c r="BD21" s="78"/>
      <c r="BE21" s="78"/>
      <c r="BF21" s="78"/>
      <c r="BG21" s="78"/>
      <c r="BH21" s="78"/>
      <c r="BI21" s="78"/>
      <c r="BJ21" s="78"/>
      <c r="BK21" s="78"/>
      <c r="BL21" s="78"/>
      <c r="BM21" s="78"/>
      <c r="BN21" s="78"/>
    </row>
    <row r="22" spans="1:66" x14ac:dyDescent="0.3">
      <c r="A22" s="87">
        <v>20</v>
      </c>
      <c r="B22" s="115"/>
      <c r="C22" s="116"/>
      <c r="I22" s="95"/>
      <c r="J22" s="95"/>
      <c r="K22" s="95"/>
      <c r="L22" s="95"/>
      <c r="M22" s="95"/>
      <c r="N22" s="95"/>
      <c r="AH22" s="81"/>
      <c r="AI22" s="81"/>
      <c r="AJ22" s="81"/>
      <c r="AK22" s="81"/>
      <c r="AL22" s="81"/>
      <c r="AM22" s="81"/>
      <c r="AN22" s="81"/>
      <c r="BC22" s="78"/>
      <c r="BD22" s="78"/>
      <c r="BE22" s="78"/>
      <c r="BF22" s="78"/>
      <c r="BG22" s="78"/>
      <c r="BH22" s="78"/>
      <c r="BI22" s="78"/>
      <c r="BJ22" s="78"/>
      <c r="BK22" s="78"/>
      <c r="BL22" s="78"/>
      <c r="BM22" s="78"/>
      <c r="BN22" s="78"/>
    </row>
    <row r="23" spans="1:66" x14ac:dyDescent="0.3">
      <c r="A23" s="87">
        <v>21</v>
      </c>
      <c r="B23" s="115"/>
      <c r="C23" s="116"/>
      <c r="AH23" s="81"/>
      <c r="AI23" s="81"/>
      <c r="AJ23" s="81"/>
      <c r="AK23" s="81"/>
      <c r="AL23" s="81"/>
      <c r="AM23" s="81"/>
      <c r="AN23" s="81"/>
      <c r="BC23" s="78"/>
      <c r="BD23" s="78"/>
      <c r="BE23" s="78"/>
      <c r="BF23" s="78"/>
      <c r="BG23" s="78"/>
      <c r="BH23" s="78"/>
      <c r="BI23" s="78"/>
      <c r="BJ23" s="78"/>
      <c r="BK23" s="78"/>
      <c r="BL23" s="78"/>
      <c r="BM23" s="78"/>
      <c r="BN23" s="78"/>
    </row>
    <row r="24" spans="1:66" x14ac:dyDescent="0.3">
      <c r="A24" s="87">
        <v>22</v>
      </c>
      <c r="B24" s="115"/>
      <c r="C24" s="116"/>
      <c r="I24" s="123"/>
      <c r="AH24" s="81"/>
      <c r="AI24" s="81"/>
      <c r="AJ24" s="81"/>
      <c r="AK24" s="81"/>
      <c r="AL24" s="81"/>
      <c r="AM24" s="81"/>
      <c r="AN24" s="81"/>
      <c r="BC24" s="78"/>
      <c r="BD24" s="78"/>
      <c r="BE24" s="78"/>
      <c r="BF24" s="78"/>
      <c r="BG24" s="78"/>
      <c r="BH24" s="78"/>
      <c r="BI24" s="78"/>
      <c r="BJ24" s="78"/>
      <c r="BK24" s="78"/>
      <c r="BL24" s="78"/>
      <c r="BM24" s="78"/>
      <c r="BN24" s="78"/>
    </row>
    <row r="25" spans="1:66" x14ac:dyDescent="0.3">
      <c r="A25" s="87">
        <v>23</v>
      </c>
      <c r="B25" s="115"/>
      <c r="C25" s="116"/>
      <c r="AH25" s="81"/>
      <c r="AI25" s="81"/>
      <c r="AJ25" s="81"/>
      <c r="AK25" s="81"/>
      <c r="AL25" s="81"/>
      <c r="AM25" s="81"/>
      <c r="AN25" s="81"/>
      <c r="BC25" s="78"/>
      <c r="BD25" s="78"/>
      <c r="BE25" s="78"/>
      <c r="BF25" s="78"/>
      <c r="BG25" s="78"/>
      <c r="BH25" s="78"/>
      <c r="BI25" s="78"/>
      <c r="BJ25" s="78"/>
      <c r="BK25" s="78"/>
      <c r="BL25" s="78"/>
      <c r="BM25" s="78"/>
      <c r="BN25" s="78"/>
    </row>
    <row r="26" spans="1:66" x14ac:dyDescent="0.3">
      <c r="A26" s="87">
        <v>24</v>
      </c>
      <c r="B26" s="115"/>
      <c r="C26" s="116"/>
      <c r="AH26" s="81"/>
      <c r="AI26" s="81"/>
      <c r="AJ26" s="81"/>
      <c r="AK26" s="81"/>
      <c r="AL26" s="81"/>
      <c r="AM26" s="81"/>
      <c r="AN26" s="81"/>
      <c r="BC26" s="78"/>
      <c r="BD26" s="78"/>
      <c r="BE26" s="78"/>
      <c r="BF26" s="78"/>
      <c r="BG26" s="78"/>
      <c r="BH26" s="78"/>
      <c r="BI26" s="78"/>
      <c r="BJ26" s="78"/>
      <c r="BK26" s="78"/>
      <c r="BL26" s="78"/>
      <c r="BM26" s="78"/>
      <c r="BN26" s="78"/>
    </row>
    <row r="27" spans="1:66" x14ac:dyDescent="0.3">
      <c r="A27" s="87">
        <v>25</v>
      </c>
      <c r="B27" s="115"/>
      <c r="C27" s="116"/>
      <c r="AH27" s="81"/>
      <c r="AI27" s="81"/>
      <c r="AJ27" s="81"/>
      <c r="AK27" s="81"/>
      <c r="AL27" s="81"/>
      <c r="AM27" s="81"/>
      <c r="AN27" s="81"/>
      <c r="BC27" s="78"/>
      <c r="BD27" s="78"/>
      <c r="BE27" s="78"/>
      <c r="BF27" s="78"/>
      <c r="BG27" s="78"/>
      <c r="BH27" s="78"/>
      <c r="BI27" s="78"/>
      <c r="BJ27" s="78"/>
      <c r="BK27" s="78"/>
      <c r="BL27" s="78"/>
      <c r="BM27" s="78"/>
      <c r="BN27" s="78"/>
    </row>
    <row r="28" spans="1:66" x14ac:dyDescent="0.3">
      <c r="A28" s="87">
        <v>26</v>
      </c>
      <c r="B28" s="115"/>
      <c r="C28" s="116"/>
      <c r="AH28" s="81"/>
      <c r="AI28" s="81"/>
      <c r="AJ28" s="81"/>
      <c r="AK28" s="81"/>
      <c r="AL28" s="81"/>
      <c r="AM28" s="81"/>
      <c r="AN28" s="81"/>
      <c r="BC28" s="78"/>
      <c r="BD28" s="78"/>
      <c r="BE28" s="78"/>
      <c r="BF28" s="78"/>
      <c r="BG28" s="78"/>
      <c r="BH28" s="78"/>
      <c r="BI28" s="78"/>
      <c r="BJ28" s="78"/>
      <c r="BK28" s="78"/>
      <c r="BL28" s="78"/>
      <c r="BM28" s="78"/>
      <c r="BN28" s="78"/>
    </row>
    <row r="29" spans="1:66" x14ac:dyDescent="0.3">
      <c r="A29" s="87">
        <v>27</v>
      </c>
      <c r="B29" s="115"/>
      <c r="C29" s="116"/>
      <c r="AH29" s="81"/>
      <c r="AI29" s="81"/>
      <c r="AJ29" s="81"/>
      <c r="AK29" s="81"/>
      <c r="AL29" s="81"/>
      <c r="AM29" s="81"/>
      <c r="AN29" s="81"/>
      <c r="BC29" s="78"/>
      <c r="BD29" s="78"/>
      <c r="BE29" s="78"/>
      <c r="BF29" s="78"/>
      <c r="BG29" s="78"/>
      <c r="BH29" s="78"/>
      <c r="BI29" s="78"/>
      <c r="BJ29" s="78"/>
      <c r="BK29" s="78"/>
      <c r="BL29" s="78"/>
      <c r="BM29" s="78"/>
      <c r="BN29" s="78"/>
    </row>
    <row r="30" spans="1:66" x14ac:dyDescent="0.3">
      <c r="A30" s="87">
        <v>28</v>
      </c>
      <c r="B30" s="115"/>
      <c r="C30" s="116"/>
      <c r="AH30" s="81"/>
      <c r="AI30" s="81"/>
      <c r="AJ30" s="81"/>
      <c r="AK30" s="81"/>
      <c r="AL30" s="81"/>
      <c r="AM30" s="81"/>
      <c r="AN30" s="81"/>
      <c r="BC30" s="78"/>
      <c r="BD30" s="78"/>
      <c r="BE30" s="78"/>
      <c r="BF30" s="78"/>
      <c r="BG30" s="78"/>
      <c r="BH30" s="78"/>
      <c r="BI30" s="78"/>
      <c r="BJ30" s="78"/>
      <c r="BK30" s="78"/>
      <c r="BL30" s="78"/>
      <c r="BM30" s="78"/>
      <c r="BN30" s="78"/>
    </row>
    <row r="31" spans="1:66" x14ac:dyDescent="0.3">
      <c r="A31" s="87">
        <v>29</v>
      </c>
      <c r="B31" s="115"/>
      <c r="C31" s="116"/>
      <c r="AH31" s="81"/>
      <c r="AI31" s="81"/>
      <c r="AJ31" s="81"/>
      <c r="AK31" s="81"/>
      <c r="AL31" s="81"/>
      <c r="AM31" s="81"/>
      <c r="AN31" s="81"/>
      <c r="BC31" s="78"/>
      <c r="BD31" s="78"/>
      <c r="BE31" s="78"/>
      <c r="BF31" s="78"/>
      <c r="BG31" s="78"/>
      <c r="BH31" s="78"/>
      <c r="BI31" s="78"/>
      <c r="BJ31" s="78"/>
      <c r="BK31" s="78"/>
      <c r="BL31" s="78"/>
      <c r="BM31" s="78"/>
      <c r="BN31" s="78"/>
    </row>
    <row r="32" spans="1:66" x14ac:dyDescent="0.3">
      <c r="A32" s="87">
        <v>30</v>
      </c>
      <c r="B32" s="115"/>
      <c r="C32" s="116"/>
      <c r="AH32" s="81"/>
      <c r="AI32" s="81"/>
      <c r="AJ32" s="81"/>
      <c r="AK32" s="81"/>
      <c r="AL32" s="81"/>
      <c r="AM32" s="81"/>
      <c r="AN32" s="81"/>
      <c r="BC32" s="78"/>
      <c r="BD32" s="78"/>
      <c r="BE32" s="78"/>
      <c r="BF32" s="78"/>
      <c r="BG32" s="78"/>
      <c r="BH32" s="78"/>
      <c r="BI32" s="78"/>
      <c r="BJ32" s="78"/>
      <c r="BK32" s="78"/>
      <c r="BL32" s="78"/>
      <c r="BM32" s="78"/>
      <c r="BN32" s="78"/>
    </row>
    <row r="33" spans="1:66" x14ac:dyDescent="0.3">
      <c r="A33" s="87">
        <v>31</v>
      </c>
      <c r="B33" s="115"/>
      <c r="C33" s="116"/>
      <c r="AH33" s="81"/>
      <c r="AI33" s="81"/>
      <c r="AJ33" s="81"/>
      <c r="AK33" s="81"/>
      <c r="AL33" s="81"/>
      <c r="AM33" s="81"/>
      <c r="AN33" s="81"/>
      <c r="BC33" s="78"/>
      <c r="BD33" s="78"/>
      <c r="BE33" s="78"/>
      <c r="BF33" s="78"/>
      <c r="BG33" s="78"/>
      <c r="BH33" s="78"/>
      <c r="BI33" s="78"/>
      <c r="BJ33" s="78"/>
      <c r="BK33" s="78"/>
      <c r="BL33" s="78"/>
      <c r="BM33" s="78"/>
      <c r="BN33" s="78"/>
    </row>
    <row r="34" spans="1:66" x14ac:dyDescent="0.3">
      <c r="A34" s="87">
        <v>32</v>
      </c>
      <c r="B34" s="115"/>
      <c r="C34" s="116"/>
      <c r="AH34" s="81"/>
      <c r="AI34" s="81"/>
      <c r="AJ34" s="81"/>
      <c r="AK34" s="81"/>
      <c r="AL34" s="81"/>
      <c r="AM34" s="81"/>
      <c r="AN34" s="81"/>
      <c r="BC34" s="78"/>
      <c r="BD34" s="78"/>
      <c r="BE34" s="78"/>
      <c r="BF34" s="78"/>
      <c r="BG34" s="78"/>
      <c r="BH34" s="78"/>
      <c r="BI34" s="78"/>
      <c r="BJ34" s="78"/>
      <c r="BK34" s="78"/>
      <c r="BL34" s="78"/>
      <c r="BM34" s="78"/>
      <c r="BN34" s="78"/>
    </row>
    <row r="35" spans="1:66" x14ac:dyDescent="0.3">
      <c r="A35" s="87">
        <v>33</v>
      </c>
      <c r="B35" s="115"/>
      <c r="C35" s="116"/>
      <c r="AH35" s="81"/>
      <c r="AI35" s="81"/>
      <c r="AJ35" s="81"/>
      <c r="AK35" s="81"/>
      <c r="AL35" s="81"/>
      <c r="AM35" s="81"/>
      <c r="AN35" s="81"/>
      <c r="BC35" s="78"/>
      <c r="BD35" s="78"/>
      <c r="BE35" s="78"/>
      <c r="BF35" s="78"/>
      <c r="BG35" s="78"/>
      <c r="BH35" s="78"/>
      <c r="BI35" s="78"/>
      <c r="BJ35" s="78"/>
      <c r="BK35" s="78"/>
      <c r="BL35" s="78"/>
      <c r="BM35" s="78"/>
      <c r="BN35" s="78"/>
    </row>
    <row r="36" spans="1:66" x14ac:dyDescent="0.3">
      <c r="A36" s="87">
        <v>34</v>
      </c>
      <c r="B36" s="115"/>
      <c r="C36" s="116"/>
      <c r="AH36" s="81"/>
      <c r="AI36" s="81"/>
      <c r="AJ36" s="81"/>
      <c r="AK36" s="81"/>
      <c r="AL36" s="81"/>
      <c r="AM36" s="81"/>
      <c r="AN36" s="81"/>
      <c r="BC36" s="78"/>
      <c r="BD36" s="78"/>
      <c r="BE36" s="78"/>
      <c r="BF36" s="78"/>
      <c r="BG36" s="78"/>
      <c r="BH36" s="78"/>
      <c r="BI36" s="78"/>
      <c r="BJ36" s="78"/>
      <c r="BK36" s="78"/>
      <c r="BL36" s="78"/>
      <c r="BM36" s="78"/>
      <c r="BN36" s="78"/>
    </row>
    <row r="37" spans="1:66" x14ac:dyDescent="0.3">
      <c r="A37" s="87">
        <v>35</v>
      </c>
      <c r="B37" s="115"/>
      <c r="C37" s="116"/>
      <c r="AH37" s="81"/>
      <c r="AI37" s="81"/>
      <c r="AJ37" s="81"/>
      <c r="AK37" s="81"/>
      <c r="AL37" s="81"/>
      <c r="AM37" s="81"/>
      <c r="AN37" s="81"/>
      <c r="BC37" s="78"/>
      <c r="BD37" s="78"/>
      <c r="BE37" s="78"/>
      <c r="BF37" s="78"/>
      <c r="BG37" s="78"/>
      <c r="BH37" s="78"/>
      <c r="BI37" s="78"/>
      <c r="BJ37" s="78"/>
      <c r="BK37" s="78"/>
      <c r="BL37" s="78"/>
      <c r="BM37" s="78"/>
      <c r="BN37" s="78"/>
    </row>
    <row r="38" spans="1:66" x14ac:dyDescent="0.3">
      <c r="A38" s="87">
        <v>36</v>
      </c>
      <c r="B38" s="115"/>
      <c r="C38" s="116"/>
      <c r="AH38" s="81"/>
      <c r="AI38" s="81"/>
      <c r="AJ38" s="81"/>
      <c r="AK38" s="81"/>
      <c r="AL38" s="81"/>
      <c r="AM38" s="81"/>
      <c r="AN38" s="81"/>
      <c r="BC38" s="78"/>
      <c r="BD38" s="78"/>
      <c r="BE38" s="78"/>
      <c r="BF38" s="78"/>
      <c r="BG38" s="78"/>
      <c r="BH38" s="78"/>
      <c r="BI38" s="78"/>
      <c r="BJ38" s="78"/>
      <c r="BK38" s="78"/>
      <c r="BL38" s="78"/>
      <c r="BM38" s="78"/>
      <c r="BN38" s="78"/>
    </row>
    <row r="39" spans="1:66" x14ac:dyDescent="0.3">
      <c r="A39" s="87">
        <v>37</v>
      </c>
      <c r="B39" s="115"/>
      <c r="C39" s="116"/>
      <c r="AH39" s="81"/>
      <c r="AI39" s="81"/>
      <c r="AJ39" s="81"/>
      <c r="AK39" s="81"/>
      <c r="AL39" s="81"/>
      <c r="AM39" s="81"/>
      <c r="AN39" s="81"/>
      <c r="BC39" s="78"/>
      <c r="BD39" s="78"/>
      <c r="BE39" s="78"/>
      <c r="BF39" s="78"/>
      <c r="BG39" s="78"/>
      <c r="BH39" s="78"/>
      <c r="BI39" s="78"/>
      <c r="BJ39" s="78"/>
      <c r="BK39" s="78"/>
      <c r="BL39" s="78"/>
      <c r="BM39" s="78"/>
      <c r="BN39" s="78"/>
    </row>
    <row r="40" spans="1:66" x14ac:dyDescent="0.3">
      <c r="A40" s="87">
        <v>38</v>
      </c>
      <c r="B40" s="115"/>
      <c r="C40" s="116"/>
      <c r="AH40" s="81"/>
      <c r="AI40" s="81"/>
      <c r="AJ40" s="81"/>
      <c r="AK40" s="81"/>
      <c r="AL40" s="81"/>
      <c r="AM40" s="81"/>
      <c r="AN40" s="81"/>
      <c r="BC40" s="78"/>
      <c r="BD40" s="78"/>
      <c r="BE40" s="78"/>
      <c r="BF40" s="78"/>
      <c r="BG40" s="78"/>
      <c r="BH40" s="78"/>
      <c r="BI40" s="78"/>
      <c r="BJ40" s="78"/>
      <c r="BK40" s="78"/>
      <c r="BL40" s="78"/>
      <c r="BM40" s="78"/>
      <c r="BN40" s="78"/>
    </row>
    <row r="41" spans="1:66" x14ac:dyDescent="0.3">
      <c r="A41" s="87">
        <v>39</v>
      </c>
      <c r="B41" s="115"/>
      <c r="C41" s="116"/>
      <c r="AH41" s="81"/>
      <c r="AI41" s="81"/>
      <c r="AJ41" s="81"/>
      <c r="AK41" s="81"/>
      <c r="AL41" s="81"/>
      <c r="AM41" s="81"/>
      <c r="AN41" s="81"/>
      <c r="BC41" s="78"/>
      <c r="BD41" s="78"/>
      <c r="BE41" s="78"/>
      <c r="BF41" s="78"/>
      <c r="BG41" s="78"/>
      <c r="BH41" s="78"/>
      <c r="BI41" s="78"/>
      <c r="BJ41" s="78"/>
      <c r="BK41" s="78"/>
      <c r="BL41" s="78"/>
      <c r="BM41" s="78"/>
      <c r="BN41" s="78"/>
    </row>
    <row r="42" spans="1:66" x14ac:dyDescent="0.3">
      <c r="A42" s="87">
        <v>40</v>
      </c>
      <c r="B42" s="115"/>
      <c r="C42" s="116"/>
      <c r="AH42" s="81"/>
      <c r="AI42" s="81"/>
      <c r="AJ42" s="81"/>
      <c r="AK42" s="81"/>
      <c r="AL42" s="81"/>
      <c r="AM42" s="81"/>
      <c r="AN42" s="81"/>
      <c r="BC42" s="78"/>
      <c r="BD42" s="78"/>
      <c r="BE42" s="78"/>
      <c r="BF42" s="78"/>
      <c r="BG42" s="78"/>
      <c r="BH42" s="78"/>
      <c r="BI42" s="78"/>
      <c r="BJ42" s="78"/>
      <c r="BK42" s="78"/>
      <c r="BL42" s="78"/>
      <c r="BM42" s="78"/>
      <c r="BN42" s="78"/>
    </row>
    <row r="43" spans="1:66" x14ac:dyDescent="0.3">
      <c r="A43" s="87">
        <v>41</v>
      </c>
      <c r="B43" s="115"/>
      <c r="C43" s="116"/>
      <c r="AH43" s="81"/>
      <c r="AI43" s="81"/>
      <c r="AJ43" s="81"/>
      <c r="AK43" s="81"/>
      <c r="AL43" s="81"/>
      <c r="AM43" s="81"/>
      <c r="AN43" s="81"/>
      <c r="BC43" s="78"/>
      <c r="BD43" s="78"/>
      <c r="BE43" s="78"/>
      <c r="BF43" s="78"/>
      <c r="BG43" s="78"/>
      <c r="BH43" s="78"/>
      <c r="BI43" s="78"/>
      <c r="BJ43" s="78"/>
      <c r="BK43" s="78"/>
      <c r="BL43" s="78"/>
      <c r="BM43" s="78"/>
      <c r="BN43" s="78"/>
    </row>
    <row r="44" spans="1:66" x14ac:dyDescent="0.3">
      <c r="A44" s="87">
        <v>42</v>
      </c>
      <c r="B44" s="115"/>
      <c r="C44" s="116"/>
      <c r="AH44" s="81"/>
      <c r="AI44" s="81"/>
      <c r="AJ44" s="81"/>
      <c r="AK44" s="81"/>
      <c r="AL44" s="81"/>
      <c r="AM44" s="81"/>
      <c r="AN44" s="81"/>
      <c r="BC44" s="78"/>
      <c r="BD44" s="78"/>
      <c r="BE44" s="78"/>
      <c r="BF44" s="78"/>
      <c r="BG44" s="78"/>
      <c r="BH44" s="78"/>
      <c r="BI44" s="78"/>
      <c r="BJ44" s="78"/>
      <c r="BK44" s="78"/>
      <c r="BL44" s="78"/>
      <c r="BM44" s="78"/>
      <c r="BN44" s="78"/>
    </row>
    <row r="45" spans="1:66" x14ac:dyDescent="0.3">
      <c r="A45" s="87">
        <v>43</v>
      </c>
      <c r="B45" s="115"/>
      <c r="C45" s="116"/>
      <c r="AH45" s="81"/>
      <c r="AI45" s="81"/>
      <c r="AJ45" s="81"/>
      <c r="AK45" s="81"/>
      <c r="AL45" s="81"/>
      <c r="AM45" s="81"/>
      <c r="AN45" s="81"/>
      <c r="BC45" s="78"/>
      <c r="BD45" s="78"/>
      <c r="BE45" s="78"/>
      <c r="BF45" s="78"/>
      <c r="BG45" s="78"/>
      <c r="BH45" s="78"/>
      <c r="BI45" s="78"/>
      <c r="BJ45" s="78"/>
      <c r="BK45" s="78"/>
      <c r="BL45" s="78"/>
      <c r="BM45" s="78"/>
      <c r="BN45" s="78"/>
    </row>
    <row r="46" spans="1:66" x14ac:dyDescent="0.3">
      <c r="A46" s="87">
        <v>44</v>
      </c>
      <c r="B46" s="115"/>
      <c r="C46" s="116"/>
      <c r="I46" s="123"/>
      <c r="AH46" s="81"/>
      <c r="AI46" s="81"/>
      <c r="AJ46" s="81"/>
      <c r="AK46" s="81"/>
      <c r="AL46" s="81"/>
      <c r="AM46" s="81"/>
      <c r="AN46" s="81"/>
      <c r="BC46" s="78"/>
      <c r="BD46" s="78"/>
      <c r="BE46" s="78"/>
      <c r="BF46" s="78"/>
      <c r="BG46" s="78"/>
      <c r="BH46" s="78"/>
      <c r="BI46" s="78"/>
      <c r="BJ46" s="78"/>
      <c r="BK46" s="78"/>
      <c r="BL46" s="78"/>
      <c r="BM46" s="78"/>
      <c r="BN46" s="78"/>
    </row>
    <row r="47" spans="1:66" x14ac:dyDescent="0.3">
      <c r="A47" s="87">
        <v>45</v>
      </c>
      <c r="B47" s="115"/>
      <c r="C47" s="116"/>
      <c r="AH47" s="81"/>
      <c r="AI47" s="81"/>
      <c r="AJ47" s="81"/>
      <c r="AK47" s="81"/>
      <c r="AL47" s="81"/>
      <c r="AM47" s="81"/>
      <c r="AN47" s="81"/>
      <c r="BC47" s="78"/>
      <c r="BD47" s="78"/>
      <c r="BE47" s="78"/>
      <c r="BF47" s="78"/>
      <c r="BG47" s="78"/>
      <c r="BH47" s="78"/>
      <c r="BI47" s="78"/>
      <c r="BJ47" s="78"/>
      <c r="BK47" s="78"/>
      <c r="BL47" s="78"/>
      <c r="BM47" s="78"/>
      <c r="BN47" s="78"/>
    </row>
    <row r="48" spans="1:66" x14ac:dyDescent="0.3">
      <c r="A48" s="87">
        <v>46</v>
      </c>
      <c r="B48" s="115"/>
      <c r="C48" s="116"/>
      <c r="AH48" s="81"/>
      <c r="AI48" s="81"/>
      <c r="AJ48" s="81"/>
      <c r="AK48" s="81"/>
      <c r="AL48" s="81"/>
      <c r="AM48" s="81"/>
      <c r="AN48" s="81"/>
      <c r="BC48" s="78"/>
      <c r="BD48" s="78"/>
      <c r="BE48" s="78"/>
      <c r="BF48" s="78"/>
      <c r="BG48" s="78"/>
      <c r="BH48" s="78"/>
      <c r="BI48" s="78"/>
      <c r="BJ48" s="78"/>
      <c r="BK48" s="78"/>
      <c r="BL48" s="78"/>
      <c r="BM48" s="78"/>
      <c r="BN48" s="78"/>
    </row>
    <row r="49" spans="1:66" x14ac:dyDescent="0.3">
      <c r="A49" s="87">
        <v>47</v>
      </c>
      <c r="B49" s="115"/>
      <c r="C49" s="116"/>
      <c r="AH49" s="81"/>
      <c r="AI49" s="81"/>
      <c r="AJ49" s="81"/>
      <c r="AK49" s="81"/>
      <c r="AL49" s="81"/>
      <c r="AM49" s="81"/>
      <c r="AN49" s="81"/>
      <c r="BC49" s="78"/>
      <c r="BD49" s="78"/>
      <c r="BE49" s="78"/>
      <c r="BF49" s="78"/>
      <c r="BG49" s="78"/>
      <c r="BH49" s="78"/>
      <c r="BI49" s="78"/>
      <c r="BJ49" s="78"/>
      <c r="BK49" s="78"/>
      <c r="BL49" s="78"/>
      <c r="BM49" s="78"/>
      <c r="BN49" s="78"/>
    </row>
    <row r="50" spans="1:66" x14ac:dyDescent="0.3">
      <c r="A50" s="87">
        <v>48</v>
      </c>
      <c r="B50" s="115"/>
      <c r="C50" s="116"/>
      <c r="AH50" s="81"/>
      <c r="AI50" s="81"/>
      <c r="AJ50" s="81"/>
      <c r="AK50" s="81"/>
      <c r="AL50" s="81"/>
      <c r="AM50" s="81"/>
      <c r="AN50" s="81"/>
      <c r="BC50" s="78"/>
      <c r="BD50" s="78"/>
      <c r="BE50" s="78"/>
      <c r="BF50" s="78"/>
      <c r="BG50" s="78"/>
      <c r="BH50" s="78"/>
      <c r="BI50" s="78"/>
      <c r="BJ50" s="78"/>
      <c r="BK50" s="78"/>
      <c r="BL50" s="78"/>
      <c r="BM50" s="78"/>
      <c r="BN50" s="78"/>
    </row>
    <row r="51" spans="1:66" x14ac:dyDescent="0.3">
      <c r="A51" s="87">
        <v>49</v>
      </c>
      <c r="B51" s="115"/>
      <c r="C51" s="116"/>
      <c r="AH51" s="81"/>
      <c r="AI51" s="81"/>
      <c r="AJ51" s="81"/>
      <c r="AK51" s="81"/>
      <c r="AL51" s="81"/>
      <c r="AM51" s="81"/>
      <c r="AN51" s="81"/>
      <c r="BC51" s="78"/>
      <c r="BD51" s="78"/>
      <c r="BE51" s="78"/>
      <c r="BF51" s="78"/>
      <c r="BG51" s="78"/>
      <c r="BH51" s="78"/>
      <c r="BI51" s="78"/>
      <c r="BJ51" s="78"/>
      <c r="BK51" s="78"/>
      <c r="BL51" s="78"/>
      <c r="BM51" s="78"/>
      <c r="BN51" s="78"/>
    </row>
    <row r="52" spans="1:66" x14ac:dyDescent="0.3">
      <c r="A52" s="87">
        <v>50</v>
      </c>
      <c r="B52" s="115"/>
      <c r="C52" s="116"/>
      <c r="AH52" s="81"/>
      <c r="AI52" s="81"/>
      <c r="AJ52" s="81"/>
      <c r="AK52" s="81"/>
      <c r="AL52" s="81"/>
      <c r="AM52" s="81"/>
      <c r="AN52" s="81"/>
      <c r="BC52" s="78"/>
      <c r="BD52" s="78"/>
      <c r="BE52" s="78"/>
      <c r="BF52" s="78"/>
      <c r="BG52" s="78"/>
      <c r="BH52" s="78"/>
      <c r="BI52" s="78"/>
      <c r="BJ52" s="78"/>
      <c r="BK52" s="78"/>
      <c r="BL52" s="78"/>
      <c r="BM52" s="78"/>
      <c r="BN52" s="78"/>
    </row>
    <row r="53" spans="1:66" x14ac:dyDescent="0.3">
      <c r="A53" s="87">
        <v>51</v>
      </c>
      <c r="B53" s="115"/>
      <c r="C53" s="116"/>
      <c r="AH53" s="81"/>
      <c r="AI53" s="81"/>
      <c r="AJ53" s="81"/>
      <c r="AK53" s="81"/>
      <c r="AL53" s="81"/>
      <c r="AM53" s="81"/>
      <c r="AN53" s="81"/>
      <c r="BC53" s="78"/>
      <c r="BD53" s="78"/>
      <c r="BE53" s="78"/>
      <c r="BF53" s="78"/>
      <c r="BG53" s="78"/>
      <c r="BH53" s="78"/>
      <c r="BI53" s="78"/>
      <c r="BJ53" s="78"/>
      <c r="BK53" s="78"/>
      <c r="BL53" s="78"/>
      <c r="BM53" s="78"/>
      <c r="BN53" s="78"/>
    </row>
    <row r="54" spans="1:66" x14ac:dyDescent="0.3">
      <c r="A54" s="87">
        <v>52</v>
      </c>
      <c r="B54" s="115"/>
      <c r="C54" s="116"/>
      <c r="AH54" s="81"/>
      <c r="AI54" s="81"/>
      <c r="AJ54" s="81"/>
      <c r="AK54" s="81"/>
      <c r="AL54" s="81"/>
      <c r="AM54" s="81"/>
      <c r="AN54" s="81"/>
      <c r="BC54" s="78"/>
      <c r="BD54" s="78"/>
      <c r="BE54" s="78"/>
      <c r="BF54" s="78"/>
      <c r="BG54" s="78"/>
      <c r="BH54" s="78"/>
      <c r="BI54" s="78"/>
      <c r="BJ54" s="78"/>
      <c r="BK54" s="78"/>
      <c r="BL54" s="78"/>
      <c r="BM54" s="78"/>
      <c r="BN54" s="78"/>
    </row>
    <row r="55" spans="1:66" x14ac:dyDescent="0.3">
      <c r="A55" s="87">
        <v>53</v>
      </c>
      <c r="B55" s="115"/>
      <c r="C55" s="116"/>
      <c r="AH55" s="81"/>
      <c r="AI55" s="81"/>
      <c r="AJ55" s="81"/>
      <c r="AK55" s="81"/>
      <c r="AL55" s="81"/>
      <c r="AM55" s="81"/>
      <c r="AN55" s="81"/>
      <c r="BC55" s="78"/>
      <c r="BD55" s="78"/>
      <c r="BE55" s="78"/>
      <c r="BF55" s="78"/>
      <c r="BG55" s="78"/>
      <c r="BH55" s="78"/>
      <c r="BI55" s="78"/>
      <c r="BJ55" s="78"/>
      <c r="BK55" s="78"/>
      <c r="BL55" s="78"/>
      <c r="BM55" s="78"/>
      <c r="BN55" s="78"/>
    </row>
    <row r="56" spans="1:66" x14ac:dyDescent="0.3">
      <c r="A56" s="87">
        <v>54</v>
      </c>
      <c r="B56" s="115"/>
      <c r="C56" s="116"/>
      <c r="AH56" s="81"/>
      <c r="AI56" s="81"/>
      <c r="AJ56" s="81"/>
      <c r="AK56" s="81"/>
      <c r="AL56" s="81"/>
      <c r="AM56" s="81"/>
      <c r="AN56" s="81"/>
      <c r="BC56" s="78"/>
      <c r="BD56" s="78"/>
      <c r="BE56" s="78"/>
      <c r="BF56" s="78"/>
      <c r="BG56" s="78"/>
      <c r="BH56" s="78"/>
      <c r="BI56" s="78"/>
      <c r="BJ56" s="78"/>
      <c r="BK56" s="78"/>
      <c r="BL56" s="78"/>
      <c r="BM56" s="78"/>
      <c r="BN56" s="78"/>
    </row>
    <row r="57" spans="1:66" x14ac:dyDescent="0.3">
      <c r="A57" s="87">
        <v>55</v>
      </c>
      <c r="B57" s="115"/>
      <c r="C57" s="116"/>
      <c r="AH57" s="81"/>
      <c r="AI57" s="81"/>
      <c r="AJ57" s="81"/>
      <c r="AK57" s="81"/>
      <c r="AL57" s="81"/>
      <c r="AM57" s="81"/>
      <c r="AN57" s="81"/>
      <c r="BC57" s="78"/>
      <c r="BD57" s="78"/>
      <c r="BE57" s="78"/>
      <c r="BF57" s="78"/>
      <c r="BG57" s="78"/>
      <c r="BH57" s="78"/>
      <c r="BI57" s="78"/>
      <c r="BJ57" s="78"/>
      <c r="BK57" s="78"/>
      <c r="BL57" s="78"/>
      <c r="BM57" s="78"/>
      <c r="BN57" s="78"/>
    </row>
    <row r="58" spans="1:66" x14ac:dyDescent="0.3">
      <c r="A58" s="87">
        <v>56</v>
      </c>
      <c r="B58" s="115"/>
      <c r="C58" s="116"/>
      <c r="AH58" s="81"/>
      <c r="AI58" s="81"/>
      <c r="AJ58" s="81"/>
      <c r="AK58" s="81"/>
      <c r="AL58" s="81"/>
      <c r="AM58" s="81"/>
      <c r="AN58" s="81"/>
      <c r="BC58" s="78"/>
      <c r="BD58" s="78"/>
      <c r="BE58" s="78"/>
      <c r="BF58" s="78"/>
      <c r="BG58" s="78"/>
      <c r="BH58" s="78"/>
      <c r="BI58" s="78"/>
      <c r="BJ58" s="78"/>
      <c r="BK58" s="78"/>
      <c r="BL58" s="78"/>
      <c r="BM58" s="78"/>
      <c r="BN58" s="78"/>
    </row>
    <row r="59" spans="1:66" x14ac:dyDescent="0.3">
      <c r="A59" s="87">
        <v>57</v>
      </c>
      <c r="B59" s="115"/>
      <c r="C59" s="116"/>
      <c r="AH59" s="81"/>
      <c r="AI59" s="81"/>
      <c r="AJ59" s="81"/>
      <c r="AK59" s="81"/>
      <c r="AL59" s="81"/>
      <c r="AM59" s="81"/>
      <c r="AN59" s="81"/>
      <c r="BC59" s="78"/>
      <c r="BD59" s="78"/>
      <c r="BE59" s="78"/>
      <c r="BF59" s="78"/>
      <c r="BG59" s="78"/>
      <c r="BH59" s="78"/>
      <c r="BI59" s="78"/>
      <c r="BJ59" s="78"/>
      <c r="BK59" s="78"/>
      <c r="BL59" s="78"/>
      <c r="BM59" s="78"/>
      <c r="BN59" s="78"/>
    </row>
    <row r="60" spans="1:66" x14ac:dyDescent="0.3">
      <c r="A60" s="87">
        <v>58</v>
      </c>
      <c r="B60" s="115"/>
      <c r="C60" s="116"/>
      <c r="AH60" s="81"/>
      <c r="AI60" s="81"/>
      <c r="AJ60" s="81"/>
      <c r="AK60" s="81"/>
      <c r="AL60" s="81"/>
      <c r="AM60" s="81"/>
      <c r="AN60" s="81"/>
      <c r="BC60" s="78"/>
      <c r="BD60" s="78"/>
      <c r="BE60" s="78"/>
      <c r="BF60" s="78"/>
      <c r="BG60" s="78"/>
      <c r="BH60" s="78"/>
      <c r="BI60" s="78"/>
      <c r="BJ60" s="78"/>
      <c r="BK60" s="78"/>
      <c r="BL60" s="78"/>
      <c r="BM60" s="78"/>
      <c r="BN60" s="78"/>
    </row>
    <row r="61" spans="1:66" x14ac:dyDescent="0.3">
      <c r="A61" s="87">
        <v>59</v>
      </c>
      <c r="B61" s="115"/>
      <c r="C61" s="116"/>
      <c r="AH61" s="81"/>
      <c r="AI61" s="81"/>
      <c r="AJ61" s="81"/>
      <c r="AK61" s="81"/>
      <c r="AL61" s="81"/>
      <c r="AM61" s="81"/>
      <c r="AN61" s="81"/>
      <c r="BC61" s="78"/>
      <c r="BD61" s="78"/>
      <c r="BE61" s="78"/>
      <c r="BF61" s="78"/>
      <c r="BG61" s="78"/>
      <c r="BH61" s="78"/>
      <c r="BI61" s="78"/>
      <c r="BJ61" s="78"/>
      <c r="BK61" s="78"/>
      <c r="BL61" s="78"/>
      <c r="BM61" s="78"/>
      <c r="BN61" s="78"/>
    </row>
    <row r="62" spans="1:66" x14ac:dyDescent="0.3">
      <c r="A62" s="87">
        <v>60</v>
      </c>
      <c r="B62" s="115"/>
      <c r="C62" s="116"/>
      <c r="AH62" s="81"/>
      <c r="AI62" s="81"/>
      <c r="AJ62" s="81"/>
      <c r="AK62" s="81"/>
      <c r="AL62" s="81"/>
      <c r="AM62" s="81"/>
      <c r="AN62" s="81"/>
      <c r="BC62" s="78"/>
      <c r="BD62" s="78"/>
      <c r="BE62" s="78"/>
      <c r="BF62" s="78"/>
      <c r="BG62" s="78"/>
      <c r="BH62" s="78"/>
      <c r="BI62" s="78"/>
      <c r="BJ62" s="78"/>
      <c r="BK62" s="78"/>
      <c r="BL62" s="78"/>
      <c r="BM62" s="78"/>
      <c r="BN62" s="78"/>
    </row>
    <row r="63" spans="1:66" x14ac:dyDescent="0.3">
      <c r="A63" s="87">
        <v>61</v>
      </c>
      <c r="B63" s="115"/>
      <c r="C63" s="116"/>
      <c r="AH63" s="81"/>
      <c r="AI63" s="81"/>
      <c r="AJ63" s="81"/>
      <c r="AK63" s="81"/>
      <c r="AL63" s="81"/>
      <c r="AM63" s="81"/>
      <c r="AN63" s="81"/>
      <c r="BC63" s="78"/>
      <c r="BD63" s="78"/>
      <c r="BE63" s="78"/>
      <c r="BF63" s="78"/>
      <c r="BG63" s="78"/>
      <c r="BH63" s="78"/>
      <c r="BI63" s="78"/>
      <c r="BJ63" s="78"/>
      <c r="BK63" s="78"/>
      <c r="BL63" s="78"/>
      <c r="BM63" s="78"/>
      <c r="BN63" s="78"/>
    </row>
    <row r="64" spans="1:66" x14ac:dyDescent="0.3">
      <c r="A64" s="87">
        <v>62</v>
      </c>
      <c r="B64" s="115"/>
      <c r="C64" s="116"/>
      <c r="AH64" s="81"/>
      <c r="AI64" s="81"/>
      <c r="AJ64" s="81"/>
      <c r="AK64" s="81"/>
      <c r="AL64" s="81"/>
      <c r="AM64" s="81"/>
      <c r="AN64" s="81"/>
      <c r="BC64" s="78"/>
      <c r="BD64" s="78"/>
      <c r="BE64" s="78"/>
      <c r="BF64" s="78"/>
      <c r="BG64" s="78"/>
      <c r="BH64" s="78"/>
      <c r="BI64" s="78"/>
      <c r="BJ64" s="78"/>
      <c r="BK64" s="78"/>
      <c r="BL64" s="78"/>
      <c r="BM64" s="78"/>
      <c r="BN64" s="78"/>
    </row>
    <row r="65" spans="1:66" x14ac:dyDescent="0.3">
      <c r="A65" s="87">
        <v>63</v>
      </c>
      <c r="B65" s="115"/>
      <c r="C65" s="116"/>
      <c r="AH65" s="81"/>
      <c r="AI65" s="81"/>
      <c r="AJ65" s="81"/>
      <c r="AK65" s="81"/>
      <c r="AL65" s="81"/>
      <c r="AM65" s="81"/>
      <c r="AN65" s="81"/>
      <c r="BC65" s="78"/>
      <c r="BD65" s="78"/>
      <c r="BE65" s="78"/>
      <c r="BF65" s="78"/>
      <c r="BG65" s="78"/>
      <c r="BH65" s="78"/>
      <c r="BI65" s="78"/>
      <c r="BJ65" s="78"/>
      <c r="BK65" s="78"/>
      <c r="BL65" s="78"/>
      <c r="BM65" s="78"/>
      <c r="BN65" s="78"/>
    </row>
    <row r="66" spans="1:66" x14ac:dyDescent="0.3">
      <c r="A66" s="87">
        <v>64</v>
      </c>
      <c r="B66" s="115"/>
      <c r="C66" s="116"/>
      <c r="AH66" s="81"/>
      <c r="AI66" s="81"/>
      <c r="AJ66" s="81"/>
      <c r="AK66" s="81"/>
      <c r="AL66" s="81"/>
      <c r="AM66" s="81"/>
      <c r="AN66" s="81"/>
      <c r="BC66" s="78"/>
      <c r="BD66" s="78"/>
      <c r="BE66" s="78"/>
      <c r="BF66" s="78"/>
      <c r="BG66" s="78"/>
      <c r="BH66" s="78"/>
      <c r="BI66" s="78"/>
      <c r="BJ66" s="78"/>
      <c r="BK66" s="78"/>
      <c r="BL66" s="78"/>
      <c r="BM66" s="78"/>
      <c r="BN66" s="78"/>
    </row>
    <row r="67" spans="1:66" x14ac:dyDescent="0.3">
      <c r="A67" s="87">
        <v>65</v>
      </c>
      <c r="B67" s="115"/>
      <c r="C67" s="116"/>
      <c r="AH67" s="81"/>
      <c r="AI67" s="81"/>
      <c r="AJ67" s="81"/>
      <c r="AK67" s="81"/>
      <c r="AL67" s="81"/>
      <c r="AM67" s="81"/>
      <c r="AN67" s="81"/>
      <c r="BC67" s="78"/>
      <c r="BD67" s="78"/>
      <c r="BE67" s="78"/>
      <c r="BF67" s="78"/>
      <c r="BG67" s="78"/>
      <c r="BH67" s="78"/>
      <c r="BI67" s="78"/>
      <c r="BJ67" s="78"/>
      <c r="BK67" s="78"/>
      <c r="BL67" s="78"/>
      <c r="BM67" s="78"/>
      <c r="BN67" s="78"/>
    </row>
    <row r="68" spans="1:66" x14ac:dyDescent="0.3">
      <c r="A68" s="87">
        <v>66</v>
      </c>
      <c r="B68" s="115"/>
      <c r="C68" s="116"/>
      <c r="BC68" s="78"/>
      <c r="BD68" s="78"/>
      <c r="BE68" s="78"/>
      <c r="BF68" s="78"/>
      <c r="BG68" s="78"/>
      <c r="BH68" s="78"/>
      <c r="BI68" s="78"/>
      <c r="BJ68" s="78"/>
      <c r="BK68" s="78"/>
      <c r="BL68" s="78"/>
      <c r="BM68" s="78"/>
      <c r="BN68" s="78"/>
    </row>
    <row r="69" spans="1:66" x14ac:dyDescent="0.3">
      <c r="A69" s="87">
        <v>67</v>
      </c>
      <c r="B69" s="115"/>
      <c r="C69" s="116"/>
      <c r="BC69" s="78"/>
      <c r="BD69" s="78"/>
      <c r="BE69" s="78"/>
      <c r="BF69" s="78"/>
      <c r="BG69" s="78"/>
      <c r="BH69" s="78"/>
      <c r="BI69" s="78"/>
      <c r="BJ69" s="78"/>
      <c r="BK69" s="78"/>
      <c r="BL69" s="78"/>
      <c r="BM69" s="78"/>
      <c r="BN69" s="78"/>
    </row>
    <row r="70" spans="1:66" x14ac:dyDescent="0.3">
      <c r="A70" s="87">
        <v>68</v>
      </c>
      <c r="B70" s="115"/>
      <c r="C70" s="116"/>
      <c r="BC70" s="78"/>
      <c r="BD70" s="78"/>
      <c r="BE70" s="78"/>
      <c r="BF70" s="78"/>
      <c r="BG70" s="78"/>
      <c r="BH70" s="78"/>
      <c r="BI70" s="78"/>
      <c r="BJ70" s="78"/>
      <c r="BK70" s="78"/>
      <c r="BL70" s="78"/>
      <c r="BM70" s="78"/>
      <c r="BN70" s="78"/>
    </row>
    <row r="71" spans="1:66" x14ac:dyDescent="0.3">
      <c r="A71" s="87">
        <v>69</v>
      </c>
      <c r="B71" s="115"/>
      <c r="C71" s="116"/>
      <c r="BC71" s="78"/>
      <c r="BD71" s="78"/>
      <c r="BE71" s="78"/>
      <c r="BF71" s="78"/>
      <c r="BG71" s="78"/>
      <c r="BH71" s="78"/>
      <c r="BI71" s="78"/>
      <c r="BJ71" s="78"/>
      <c r="BK71" s="78"/>
      <c r="BL71" s="78"/>
      <c r="BM71" s="78"/>
      <c r="BN71" s="78"/>
    </row>
    <row r="72" spans="1:66" x14ac:dyDescent="0.3">
      <c r="A72" s="87">
        <v>70</v>
      </c>
      <c r="B72" s="115"/>
      <c r="C72" s="116"/>
      <c r="BC72" s="78"/>
      <c r="BD72" s="78"/>
      <c r="BE72" s="78"/>
      <c r="BF72" s="78"/>
      <c r="BG72" s="78"/>
      <c r="BH72" s="78"/>
      <c r="BI72" s="78"/>
      <c r="BJ72" s="78"/>
      <c r="BK72" s="78"/>
      <c r="BL72" s="78"/>
      <c r="BM72" s="78"/>
      <c r="BN72" s="78"/>
    </row>
    <row r="73" spans="1:66" x14ac:dyDescent="0.3">
      <c r="A73" s="87">
        <v>71</v>
      </c>
      <c r="B73" s="115"/>
      <c r="C73" s="116"/>
      <c r="BC73" s="78"/>
      <c r="BD73" s="78"/>
      <c r="BE73" s="78"/>
      <c r="BF73" s="78"/>
      <c r="BG73" s="78"/>
      <c r="BH73" s="78"/>
      <c r="BI73" s="78"/>
      <c r="BJ73" s="78"/>
      <c r="BK73" s="78"/>
      <c r="BL73" s="78"/>
      <c r="BM73" s="78"/>
      <c r="BN73" s="78"/>
    </row>
    <row r="74" spans="1:66" x14ac:dyDescent="0.3">
      <c r="A74" s="87">
        <v>72</v>
      </c>
      <c r="B74" s="115"/>
      <c r="C74" s="116"/>
      <c r="BC74" s="78"/>
      <c r="BD74" s="78"/>
      <c r="BE74" s="78"/>
      <c r="BF74" s="78"/>
      <c r="BG74" s="78"/>
      <c r="BH74" s="78"/>
      <c r="BI74" s="78"/>
      <c r="BJ74" s="78"/>
      <c r="BK74" s="78"/>
      <c r="BL74" s="78"/>
      <c r="BM74" s="78"/>
      <c r="BN74" s="78"/>
    </row>
    <row r="75" spans="1:66" x14ac:dyDescent="0.3">
      <c r="A75" s="87">
        <v>73</v>
      </c>
      <c r="B75" s="115"/>
      <c r="C75" s="116"/>
      <c r="BC75" s="78"/>
      <c r="BD75" s="78"/>
      <c r="BE75" s="78"/>
      <c r="BF75" s="78"/>
      <c r="BG75" s="78"/>
      <c r="BH75" s="78"/>
      <c r="BI75" s="78"/>
      <c r="BJ75" s="78"/>
      <c r="BK75" s="78"/>
      <c r="BL75" s="78"/>
      <c r="BM75" s="78"/>
      <c r="BN75" s="78"/>
    </row>
    <row r="76" spans="1:66" x14ac:dyDescent="0.3">
      <c r="A76" s="87">
        <v>74</v>
      </c>
      <c r="B76" s="115"/>
      <c r="C76" s="116"/>
      <c r="BC76" s="78"/>
      <c r="BD76" s="78"/>
      <c r="BE76" s="78"/>
      <c r="BF76" s="78"/>
      <c r="BG76" s="78"/>
      <c r="BH76" s="78"/>
      <c r="BI76" s="78"/>
      <c r="BJ76" s="78"/>
      <c r="BK76" s="78"/>
      <c r="BL76" s="78"/>
      <c r="BM76" s="78"/>
      <c r="BN76" s="78"/>
    </row>
    <row r="77" spans="1:66" x14ac:dyDescent="0.3">
      <c r="A77" s="87">
        <v>75</v>
      </c>
      <c r="B77" s="115"/>
      <c r="C77" s="116"/>
      <c r="BC77" s="78"/>
      <c r="BD77" s="78"/>
      <c r="BE77" s="78"/>
      <c r="BF77" s="78"/>
      <c r="BG77" s="78"/>
      <c r="BH77" s="78"/>
      <c r="BI77" s="78"/>
      <c r="BJ77" s="78"/>
      <c r="BK77" s="78"/>
      <c r="BL77" s="78"/>
      <c r="BM77" s="78"/>
      <c r="BN77" s="78"/>
    </row>
    <row r="78" spans="1:66" x14ac:dyDescent="0.3">
      <c r="A78" s="87">
        <v>76</v>
      </c>
      <c r="B78" s="115"/>
      <c r="C78" s="116"/>
      <c r="BC78" s="78"/>
      <c r="BD78" s="78"/>
      <c r="BE78" s="78"/>
      <c r="BF78" s="78"/>
      <c r="BG78" s="78"/>
      <c r="BH78" s="78"/>
      <c r="BI78" s="78"/>
      <c r="BJ78" s="78"/>
      <c r="BK78" s="78"/>
      <c r="BL78" s="78"/>
      <c r="BM78" s="78"/>
      <c r="BN78" s="78"/>
    </row>
    <row r="79" spans="1:66" x14ac:dyDescent="0.3">
      <c r="A79" s="87">
        <v>77</v>
      </c>
      <c r="B79" s="115"/>
      <c r="C79" s="116"/>
      <c r="BC79" s="78"/>
      <c r="BD79" s="78"/>
      <c r="BE79" s="78"/>
      <c r="BF79" s="78"/>
      <c r="BG79" s="78"/>
      <c r="BH79" s="78"/>
      <c r="BI79" s="78"/>
      <c r="BJ79" s="78"/>
      <c r="BK79" s="78"/>
      <c r="BL79" s="78"/>
      <c r="BM79" s="78"/>
      <c r="BN79" s="78"/>
    </row>
    <row r="80" spans="1:66" x14ac:dyDescent="0.3">
      <c r="A80" s="87">
        <v>78</v>
      </c>
      <c r="B80" s="115"/>
      <c r="C80" s="116"/>
      <c r="BC80" s="78"/>
      <c r="BD80" s="78"/>
      <c r="BE80" s="78"/>
      <c r="BF80" s="78"/>
      <c r="BG80" s="78"/>
      <c r="BH80" s="78"/>
      <c r="BI80" s="78"/>
      <c r="BJ80" s="78"/>
      <c r="BK80" s="78"/>
      <c r="BL80" s="78"/>
      <c r="BM80" s="78"/>
      <c r="BN80" s="78"/>
    </row>
    <row r="81" spans="1:66" x14ac:dyDescent="0.3">
      <c r="A81" s="87">
        <v>79</v>
      </c>
      <c r="B81" s="115"/>
      <c r="C81" s="116"/>
      <c r="BC81" s="78"/>
      <c r="BD81" s="78"/>
      <c r="BE81" s="78"/>
      <c r="BF81" s="78"/>
      <c r="BG81" s="78"/>
      <c r="BH81" s="78"/>
      <c r="BI81" s="78"/>
      <c r="BJ81" s="78"/>
      <c r="BK81" s="78"/>
      <c r="BL81" s="78"/>
      <c r="BM81" s="78"/>
      <c r="BN81" s="78"/>
    </row>
    <row r="82" spans="1:66" x14ac:dyDescent="0.3">
      <c r="A82" s="87">
        <v>80</v>
      </c>
      <c r="B82" s="115"/>
      <c r="C82" s="116"/>
      <c r="BC82" s="78"/>
      <c r="BD82" s="78"/>
      <c r="BE82" s="78"/>
      <c r="BF82" s="78"/>
      <c r="BG82" s="78"/>
      <c r="BH82" s="78"/>
      <c r="BI82" s="78"/>
      <c r="BJ82" s="78"/>
      <c r="BK82" s="78"/>
      <c r="BL82" s="78"/>
      <c r="BM82" s="78"/>
      <c r="BN82" s="78"/>
    </row>
    <row r="83" spans="1:66" x14ac:dyDescent="0.3">
      <c r="A83" s="87">
        <v>81</v>
      </c>
      <c r="B83" s="115"/>
      <c r="C83" s="116"/>
      <c r="BC83" s="78"/>
      <c r="BD83" s="78"/>
      <c r="BE83" s="78"/>
      <c r="BF83" s="78"/>
      <c r="BG83" s="78"/>
      <c r="BH83" s="78"/>
      <c r="BI83" s="78"/>
      <c r="BJ83" s="78"/>
      <c r="BK83" s="78"/>
      <c r="BL83" s="78"/>
      <c r="BM83" s="78"/>
      <c r="BN83" s="78"/>
    </row>
    <row r="84" spans="1:66" x14ac:dyDescent="0.3">
      <c r="A84" s="87">
        <v>82</v>
      </c>
      <c r="B84" s="115"/>
      <c r="C84" s="116"/>
      <c r="BC84" s="78"/>
      <c r="BD84" s="78"/>
      <c r="BE84" s="78"/>
      <c r="BF84" s="78"/>
      <c r="BG84" s="78"/>
      <c r="BH84" s="78"/>
      <c r="BI84" s="78"/>
      <c r="BJ84" s="78"/>
      <c r="BK84" s="78"/>
      <c r="BL84" s="78"/>
      <c r="BM84" s="78"/>
      <c r="BN84" s="78"/>
    </row>
    <row r="85" spans="1:66" x14ac:dyDescent="0.3">
      <c r="A85" s="87">
        <v>83</v>
      </c>
      <c r="B85" s="115"/>
      <c r="C85" s="116"/>
      <c r="BC85" s="78"/>
      <c r="BD85" s="78"/>
      <c r="BE85" s="78"/>
      <c r="BF85" s="78"/>
      <c r="BG85" s="78"/>
      <c r="BH85" s="78"/>
      <c r="BI85" s="78"/>
      <c r="BJ85" s="78"/>
      <c r="BK85" s="78"/>
      <c r="BL85" s="78"/>
      <c r="BM85" s="78"/>
      <c r="BN85" s="78"/>
    </row>
    <row r="86" spans="1:66" x14ac:dyDescent="0.3">
      <c r="A86" s="87">
        <v>84</v>
      </c>
      <c r="B86" s="115"/>
      <c r="C86" s="116"/>
      <c r="BC86" s="78"/>
      <c r="BD86" s="78"/>
      <c r="BE86" s="78"/>
      <c r="BF86" s="78"/>
      <c r="BG86" s="78"/>
      <c r="BH86" s="78"/>
      <c r="BI86" s="78"/>
      <c r="BJ86" s="78"/>
      <c r="BK86" s="78"/>
      <c r="BL86" s="78"/>
      <c r="BM86" s="78"/>
      <c r="BN86" s="78"/>
    </row>
    <row r="87" spans="1:66" x14ac:dyDescent="0.3">
      <c r="A87" s="87">
        <v>85</v>
      </c>
      <c r="B87" s="115"/>
      <c r="C87" s="116"/>
      <c r="BC87" s="78"/>
      <c r="BD87" s="78"/>
      <c r="BE87" s="78"/>
      <c r="BF87" s="78"/>
      <c r="BG87" s="78"/>
      <c r="BH87" s="78"/>
      <c r="BI87" s="78"/>
      <c r="BJ87" s="78"/>
      <c r="BK87" s="78"/>
      <c r="BL87" s="78"/>
      <c r="BM87" s="78"/>
      <c r="BN87" s="78"/>
    </row>
    <row r="88" spans="1:66" x14ac:dyDescent="0.3">
      <c r="A88" s="87">
        <v>86</v>
      </c>
      <c r="B88" s="115"/>
      <c r="C88" s="116"/>
      <c r="BC88" s="78"/>
      <c r="BD88" s="78"/>
      <c r="BE88" s="78"/>
      <c r="BF88" s="78"/>
      <c r="BG88" s="78"/>
      <c r="BH88" s="78"/>
      <c r="BI88" s="78"/>
      <c r="BJ88" s="78"/>
      <c r="BK88" s="78"/>
      <c r="BL88" s="78"/>
      <c r="BM88" s="78"/>
      <c r="BN88" s="78"/>
    </row>
    <row r="89" spans="1:66" x14ac:dyDescent="0.3">
      <c r="A89" s="87">
        <v>87</v>
      </c>
      <c r="B89" s="115"/>
      <c r="C89" s="116"/>
      <c r="BC89" s="78"/>
      <c r="BD89" s="78"/>
      <c r="BE89" s="78"/>
      <c r="BF89" s="78"/>
      <c r="BG89" s="78"/>
      <c r="BH89" s="78"/>
      <c r="BI89" s="78"/>
      <c r="BJ89" s="78"/>
      <c r="BK89" s="78"/>
      <c r="BL89" s="78"/>
      <c r="BM89" s="78"/>
      <c r="BN89" s="78"/>
    </row>
    <row r="90" spans="1:66" x14ac:dyDescent="0.3">
      <c r="A90" s="87">
        <v>88</v>
      </c>
      <c r="B90" s="115"/>
      <c r="C90" s="116"/>
      <c r="BC90" s="78"/>
      <c r="BD90" s="78"/>
      <c r="BE90" s="78"/>
      <c r="BF90" s="78"/>
      <c r="BG90" s="78"/>
      <c r="BH90" s="78"/>
      <c r="BI90" s="78"/>
      <c r="BJ90" s="78"/>
      <c r="BK90" s="78"/>
      <c r="BL90" s="78"/>
      <c r="BM90" s="78"/>
      <c r="BN90" s="78"/>
    </row>
    <row r="91" spans="1:66" x14ac:dyDescent="0.3">
      <c r="A91" s="87">
        <v>89</v>
      </c>
      <c r="B91" s="115"/>
      <c r="C91" s="116"/>
      <c r="BC91" s="78"/>
      <c r="BD91" s="78"/>
      <c r="BE91" s="78"/>
      <c r="BF91" s="78"/>
      <c r="BG91" s="78"/>
      <c r="BH91" s="78"/>
      <c r="BI91" s="78"/>
      <c r="BJ91" s="78"/>
      <c r="BK91" s="78"/>
      <c r="BL91" s="78"/>
      <c r="BM91" s="78"/>
      <c r="BN91" s="78"/>
    </row>
    <row r="92" spans="1:66" x14ac:dyDescent="0.3">
      <c r="A92" s="87">
        <v>90</v>
      </c>
      <c r="B92" s="115"/>
      <c r="C92" s="116"/>
      <c r="BC92" s="78"/>
      <c r="BD92" s="78"/>
      <c r="BE92" s="78"/>
      <c r="BF92" s="78"/>
      <c r="BG92" s="78"/>
      <c r="BH92" s="78"/>
      <c r="BI92" s="78"/>
      <c r="BJ92" s="78"/>
      <c r="BK92" s="78"/>
      <c r="BL92" s="78"/>
      <c r="BM92" s="78"/>
      <c r="BN92" s="78"/>
    </row>
    <row r="93" spans="1:66" x14ac:dyDescent="0.3">
      <c r="A93" s="87">
        <v>91</v>
      </c>
      <c r="B93" s="115"/>
      <c r="C93" s="116"/>
      <c r="BC93" s="78"/>
      <c r="BD93" s="78"/>
      <c r="BE93" s="78"/>
      <c r="BF93" s="78"/>
      <c r="BG93" s="78"/>
      <c r="BH93" s="78"/>
      <c r="BI93" s="78"/>
      <c r="BJ93" s="78"/>
      <c r="BK93" s="78"/>
      <c r="BL93" s="78"/>
      <c r="BM93" s="78"/>
      <c r="BN93" s="78"/>
    </row>
    <row r="94" spans="1:66" x14ac:dyDescent="0.3">
      <c r="A94" s="87">
        <v>92</v>
      </c>
      <c r="B94" s="115"/>
      <c r="C94" s="116"/>
      <c r="BC94" s="78"/>
      <c r="BD94" s="78"/>
      <c r="BE94" s="78"/>
      <c r="BF94" s="78"/>
      <c r="BG94" s="78"/>
      <c r="BH94" s="78"/>
      <c r="BI94" s="78"/>
      <c r="BJ94" s="78"/>
      <c r="BK94" s="78"/>
      <c r="BL94" s="78"/>
      <c r="BM94" s="78"/>
      <c r="BN94" s="78"/>
    </row>
    <row r="95" spans="1:66" x14ac:dyDescent="0.3">
      <c r="A95" s="87">
        <v>93</v>
      </c>
      <c r="B95" s="115"/>
      <c r="C95" s="116"/>
      <c r="BC95" s="78"/>
      <c r="BD95" s="78"/>
      <c r="BE95" s="78"/>
      <c r="BF95" s="78"/>
      <c r="BG95" s="78"/>
      <c r="BH95" s="78"/>
      <c r="BI95" s="78"/>
      <c r="BJ95" s="78"/>
      <c r="BK95" s="78"/>
      <c r="BL95" s="78"/>
      <c r="BM95" s="78"/>
      <c r="BN95" s="78"/>
    </row>
    <row r="96" spans="1:66" x14ac:dyDescent="0.3">
      <c r="A96" s="87">
        <v>94</v>
      </c>
      <c r="B96" s="115"/>
      <c r="C96" s="116"/>
      <c r="BC96" s="78"/>
      <c r="BD96" s="78"/>
      <c r="BE96" s="78"/>
      <c r="BF96" s="78"/>
      <c r="BG96" s="78"/>
      <c r="BH96" s="78"/>
      <c r="BI96" s="78"/>
      <c r="BJ96" s="78"/>
      <c r="BK96" s="78"/>
      <c r="BL96" s="78"/>
      <c r="BM96" s="78"/>
      <c r="BN96" s="78"/>
    </row>
    <row r="97" spans="1:66" x14ac:dyDescent="0.3">
      <c r="A97" s="87">
        <v>95</v>
      </c>
      <c r="B97" s="115"/>
      <c r="C97" s="116"/>
      <c r="BC97" s="78"/>
      <c r="BD97" s="78"/>
      <c r="BE97" s="78"/>
      <c r="BF97" s="78"/>
      <c r="BG97" s="78"/>
      <c r="BH97" s="78"/>
      <c r="BI97" s="78"/>
      <c r="BJ97" s="78"/>
      <c r="BK97" s="78"/>
      <c r="BL97" s="78"/>
      <c r="BM97" s="78"/>
      <c r="BN97" s="78"/>
    </row>
    <row r="98" spans="1:66" x14ac:dyDescent="0.3">
      <c r="A98" s="87">
        <v>96</v>
      </c>
      <c r="B98" s="115"/>
      <c r="C98" s="116"/>
      <c r="BC98" s="78"/>
      <c r="BD98" s="78"/>
      <c r="BE98" s="78"/>
      <c r="BF98" s="78"/>
      <c r="BG98" s="78"/>
      <c r="BH98" s="78"/>
      <c r="BI98" s="78"/>
      <c r="BJ98" s="78"/>
      <c r="BK98" s="78"/>
      <c r="BL98" s="78"/>
      <c r="BM98" s="78"/>
      <c r="BN98" s="78"/>
    </row>
    <row r="99" spans="1:66" x14ac:dyDescent="0.3">
      <c r="A99" s="87">
        <v>97</v>
      </c>
      <c r="B99" s="115"/>
      <c r="C99" s="116"/>
      <c r="BC99" s="78"/>
      <c r="BD99" s="78"/>
      <c r="BE99" s="78"/>
      <c r="BF99" s="78"/>
      <c r="BG99" s="78"/>
      <c r="BH99" s="78"/>
      <c r="BI99" s="78"/>
      <c r="BJ99" s="78"/>
      <c r="BK99" s="78"/>
      <c r="BL99" s="78"/>
      <c r="BM99" s="78"/>
      <c r="BN99" s="78"/>
    </row>
    <row r="100" spans="1:66" x14ac:dyDescent="0.3">
      <c r="A100" s="87">
        <v>98</v>
      </c>
      <c r="B100" s="115"/>
      <c r="C100" s="116"/>
      <c r="BC100" s="78"/>
      <c r="BD100" s="78"/>
      <c r="BE100" s="78"/>
      <c r="BF100" s="78"/>
      <c r="BG100" s="78"/>
      <c r="BH100" s="78"/>
      <c r="BI100" s="78"/>
      <c r="BJ100" s="78"/>
      <c r="BK100" s="78"/>
      <c r="BL100" s="78"/>
      <c r="BM100" s="78"/>
      <c r="BN100" s="78"/>
    </row>
    <row r="101" spans="1:66" x14ac:dyDescent="0.3">
      <c r="A101" s="87">
        <v>99</v>
      </c>
      <c r="B101" s="115"/>
      <c r="C101" s="116"/>
      <c r="BC101" s="78"/>
      <c r="BD101" s="78"/>
      <c r="BE101" s="78"/>
      <c r="BF101" s="78"/>
      <c r="BG101" s="78"/>
      <c r="BH101" s="78"/>
      <c r="BI101" s="78"/>
      <c r="BJ101" s="78"/>
      <c r="BK101" s="78"/>
      <c r="BL101" s="78"/>
      <c r="BM101" s="78"/>
      <c r="BN101" s="78"/>
    </row>
    <row r="102" spans="1:66" x14ac:dyDescent="0.3">
      <c r="A102" s="87">
        <v>100</v>
      </c>
      <c r="B102" s="115"/>
      <c r="C102" s="116"/>
      <c r="BC102" s="78"/>
      <c r="BD102" s="78"/>
      <c r="BE102" s="78"/>
      <c r="BF102" s="78"/>
      <c r="BG102" s="78"/>
      <c r="BH102" s="78"/>
      <c r="BI102" s="78"/>
      <c r="BJ102" s="78"/>
      <c r="BK102" s="78"/>
      <c r="BL102" s="78"/>
      <c r="BM102" s="78"/>
      <c r="BN102" s="78"/>
    </row>
    <row r="103" spans="1:66" x14ac:dyDescent="0.3">
      <c r="A103" s="109" t="s">
        <v>107</v>
      </c>
    </row>
  </sheetData>
  <dataConsolidate/>
  <mergeCells count="4">
    <mergeCell ref="F2:G2"/>
    <mergeCell ref="I4:J4"/>
    <mergeCell ref="K4:L4"/>
    <mergeCell ref="M4:N4"/>
  </mergeCells>
  <pageMargins left="0.75" right="0.75" top="1" bottom="1" header="0.5" footer="0.5"/>
  <pageSetup orientation="portrait" horizontalDpi="200" verticalDpi="200"/>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38"/>
  <sheetViews>
    <sheetView showGridLines="0" tabSelected="1" zoomScaleNormal="100" workbookViewId="0">
      <selection activeCell="A2" sqref="A2"/>
    </sheetView>
  </sheetViews>
  <sheetFormatPr defaultRowHeight="14.4" x14ac:dyDescent="0.3"/>
  <cols>
    <col min="1" max="2" width="9" customWidth="1"/>
    <col min="26" max="26" width="14.33203125" customWidth="1"/>
  </cols>
  <sheetData>
    <row r="1" spans="1:10" x14ac:dyDescent="0.3">
      <c r="A1" s="12" t="s">
        <v>50</v>
      </c>
    </row>
    <row r="3" spans="1:10" x14ac:dyDescent="0.3">
      <c r="A3" t="s">
        <v>229</v>
      </c>
    </row>
    <row r="4" spans="1:10" x14ac:dyDescent="0.3">
      <c r="A4" t="s">
        <v>141</v>
      </c>
    </row>
    <row r="5" spans="1:10" x14ac:dyDescent="0.3">
      <c r="A5" s="43" t="s">
        <v>140</v>
      </c>
      <c r="B5" s="43"/>
      <c r="C5" s="43"/>
      <c r="D5" s="43"/>
      <c r="E5" s="43"/>
      <c r="F5" s="43"/>
      <c r="G5" s="43"/>
    </row>
    <row r="6" spans="1:10" x14ac:dyDescent="0.3">
      <c r="B6" s="43"/>
      <c r="C6" s="43"/>
      <c r="D6" s="43"/>
      <c r="E6" s="43"/>
      <c r="F6" s="43"/>
      <c r="G6" s="43"/>
      <c r="H6" s="43"/>
    </row>
    <row r="7" spans="1:10" x14ac:dyDescent="0.3">
      <c r="A7" t="s">
        <v>35</v>
      </c>
    </row>
    <row r="8" spans="1:10" x14ac:dyDescent="0.3">
      <c r="A8" t="s">
        <v>90</v>
      </c>
    </row>
    <row r="9" spans="1:10" x14ac:dyDescent="0.3">
      <c r="A9" t="s">
        <v>91</v>
      </c>
    </row>
    <row r="11" spans="1:10" x14ac:dyDescent="0.3">
      <c r="A11" s="177" t="s">
        <v>34</v>
      </c>
    </row>
    <row r="13" spans="1:10" x14ac:dyDescent="0.3">
      <c r="A13" t="s">
        <v>147</v>
      </c>
    </row>
    <row r="14" spans="1:10" x14ac:dyDescent="0.3">
      <c r="C14" s="43"/>
      <c r="D14" s="43"/>
      <c r="E14" s="43"/>
      <c r="F14" s="43"/>
      <c r="G14" s="43"/>
      <c r="H14" s="43"/>
    </row>
    <row r="15" spans="1:10" x14ac:dyDescent="0.3">
      <c r="A15" t="s">
        <v>100</v>
      </c>
    </row>
    <row r="16" spans="1:10" x14ac:dyDescent="0.3">
      <c r="A16" s="43" t="s">
        <v>36</v>
      </c>
      <c r="B16" s="43"/>
      <c r="C16" s="43"/>
      <c r="D16" s="43"/>
      <c r="E16" s="43"/>
      <c r="F16" s="43"/>
      <c r="G16" s="43"/>
      <c r="H16" s="43"/>
      <c r="I16" s="43"/>
      <c r="J16" s="43"/>
    </row>
    <row r="18" spans="1:28" ht="18" x14ac:dyDescent="0.35">
      <c r="A18" s="210" t="s">
        <v>148</v>
      </c>
      <c r="N18" t="s">
        <v>158</v>
      </c>
    </row>
    <row r="19" spans="1:28" x14ac:dyDescent="0.3">
      <c r="A19" t="s">
        <v>216</v>
      </c>
      <c r="N19" t="s">
        <v>157</v>
      </c>
    </row>
    <row r="20" spans="1:28" ht="15" thickBot="1" x14ac:dyDescent="0.35">
      <c r="A20" t="s">
        <v>149</v>
      </c>
      <c r="N20" s="178" t="s">
        <v>153</v>
      </c>
      <c r="O20" s="178" t="s">
        <v>156</v>
      </c>
      <c r="W20" s="178" t="s">
        <v>217</v>
      </c>
      <c r="X20" s="178" t="s">
        <v>170</v>
      </c>
      <c r="AA20" t="s">
        <v>174</v>
      </c>
    </row>
    <row r="21" spans="1:28" x14ac:dyDescent="0.3">
      <c r="N21" s="51" t="s">
        <v>154</v>
      </c>
      <c r="O21" s="51">
        <v>4</v>
      </c>
      <c r="W21" s="51" t="s">
        <v>164</v>
      </c>
      <c r="X21" s="51" t="s">
        <v>168</v>
      </c>
      <c r="Y21" s="51" t="str">
        <f ca="1">IF(RAND()&lt;0.5,"A","B")</f>
        <v>A</v>
      </c>
      <c r="Z21" t="s">
        <v>173</v>
      </c>
      <c r="AA21">
        <f ca="1">IF($Y$23=W21,1,0)</f>
        <v>0</v>
      </c>
      <c r="AB21">
        <f ca="1">IF($Y$23=X21,1,0)</f>
        <v>0</v>
      </c>
    </row>
    <row r="22" spans="1:28" x14ac:dyDescent="0.3">
      <c r="A22" t="s">
        <v>150</v>
      </c>
      <c r="N22" s="51" t="s">
        <v>155</v>
      </c>
      <c r="O22" s="51">
        <v>2</v>
      </c>
      <c r="W22" s="51" t="s">
        <v>165</v>
      </c>
      <c r="X22" s="51" t="s">
        <v>169</v>
      </c>
      <c r="Y22" s="51">
        <f ca="1">RAND()</f>
        <v>0.97825186483781124</v>
      </c>
      <c r="Z22" t="s">
        <v>171</v>
      </c>
      <c r="AA22">
        <f ca="1">IF($Y$23=W22,1,0)</f>
        <v>0</v>
      </c>
      <c r="AB22">
        <f ca="1">IF($Y$23=X22,1,0)</f>
        <v>0</v>
      </c>
    </row>
    <row r="23" spans="1:28" x14ac:dyDescent="0.3">
      <c r="A23" t="s">
        <v>151</v>
      </c>
      <c r="N23" t="s">
        <v>221</v>
      </c>
      <c r="W23" s="51" t="s">
        <v>166</v>
      </c>
      <c r="X23" s="51"/>
      <c r="Y23" s="51" t="str">
        <f ca="1">IF(Y21="A",IF(Y22&lt;0.25,W21,IF(Y22&lt;0.5,W22,IF(Y22&lt;0.75,W23,W24))),IF(Y22&lt;0.5,X21,X22))</f>
        <v>Delmi</v>
      </c>
      <c r="Z23" t="s">
        <v>172</v>
      </c>
      <c r="AA23">
        <f ca="1">IF($Y$23=W23,1,0)</f>
        <v>0</v>
      </c>
    </row>
    <row r="24" spans="1:28" x14ac:dyDescent="0.3">
      <c r="A24" t="s">
        <v>152</v>
      </c>
      <c r="N24" t="s">
        <v>159</v>
      </c>
      <c r="W24" s="51" t="s">
        <v>167</v>
      </c>
      <c r="X24" s="51"/>
      <c r="AA24">
        <f ca="1">IF($Y$23=W24,1,0)</f>
        <v>1</v>
      </c>
    </row>
    <row r="25" spans="1:28" x14ac:dyDescent="0.3">
      <c r="A25" t="s">
        <v>230</v>
      </c>
      <c r="N25" s="179" t="s">
        <v>163</v>
      </c>
      <c r="AA25" t="s">
        <v>178</v>
      </c>
    </row>
    <row r="26" spans="1:28" x14ac:dyDescent="0.3">
      <c r="O26" s="180">
        <f>(1/2)*(1/4)</f>
        <v>0.125</v>
      </c>
      <c r="AA26" t="s">
        <v>175</v>
      </c>
    </row>
    <row r="27" spans="1:28" x14ac:dyDescent="0.3">
      <c r="A27" t="s">
        <v>160</v>
      </c>
      <c r="N27" s="179" t="s">
        <v>176</v>
      </c>
    </row>
    <row r="28" spans="1:28" x14ac:dyDescent="0.3">
      <c r="A28" t="s">
        <v>161</v>
      </c>
      <c r="O28" s="180">
        <f>(1/2)*(1/2)</f>
        <v>0.25</v>
      </c>
    </row>
    <row r="29" spans="1:28" x14ac:dyDescent="0.3">
      <c r="A29" t="s">
        <v>162</v>
      </c>
      <c r="N29" s="179" t="s">
        <v>177</v>
      </c>
    </row>
    <row r="30" spans="1:28" x14ac:dyDescent="0.3">
      <c r="O30">
        <f>1/O26</f>
        <v>8</v>
      </c>
      <c r="P30" t="s">
        <v>179</v>
      </c>
    </row>
    <row r="31" spans="1:28" x14ac:dyDescent="0.3">
      <c r="A31" t="s">
        <v>220</v>
      </c>
      <c r="O31">
        <f>1/O28</f>
        <v>4</v>
      </c>
      <c r="P31" t="s">
        <v>180</v>
      </c>
    </row>
    <row r="32" spans="1:28" x14ac:dyDescent="0.3">
      <c r="A32" t="s">
        <v>184</v>
      </c>
      <c r="N32" t="s">
        <v>181</v>
      </c>
    </row>
    <row r="33" spans="1:14" x14ac:dyDescent="0.3">
      <c r="N33" t="s">
        <v>223</v>
      </c>
    </row>
    <row r="34" spans="1:14" x14ac:dyDescent="0.3">
      <c r="A34" s="182" t="s">
        <v>183</v>
      </c>
      <c r="N34" t="s">
        <v>218</v>
      </c>
    </row>
    <row r="35" spans="1:14" x14ac:dyDescent="0.3">
      <c r="A35" s="182"/>
      <c r="N35" t="s">
        <v>222</v>
      </c>
    </row>
    <row r="36" spans="1:14" x14ac:dyDescent="0.3">
      <c r="A36" s="182"/>
      <c r="N36" t="s">
        <v>182</v>
      </c>
    </row>
    <row r="37" spans="1:14" x14ac:dyDescent="0.3">
      <c r="A37" s="182"/>
    </row>
    <row r="38" spans="1:14" x14ac:dyDescent="0.3">
      <c r="A38" s="182"/>
    </row>
  </sheetData>
  <hyperlinks>
    <hyperlink ref="B14:H14" r:id="rId1" display="http://www.wabash.edu/econometrics/EconometricsBook/Basic%20Tools/ExcelAddIns/MCSim.htm" xr:uid="{00000000-0004-0000-0200-000000000000}"/>
    <hyperlink ref="A16:J16" r:id="rId2" display="http://www.wabash.edu/econometrics/EconometricsBook/Basic%20Tools/ExcelAddIns/MCSim.htm" xr:uid="{00000000-0004-0000-0200-000001000000}"/>
    <hyperlink ref="A5:G5" r:id="rId3" display="https://www.degruyterbrill.com/document/doi/10.1515/jem-2012-0017/html" xr:uid="{00000000-0004-0000-0200-000002000000}"/>
  </hyperlinks>
  <pageMargins left="0.7" right="0.7" top="0.75" bottom="0.75" header="0.3" footer="0.3"/>
  <pageSetup orientation="portrait"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536001" r:id="rId7" name="ButtonOLS">
              <controlPr defaultSize="0" print="0" autoFill="0" autoPict="0" macro="[1]!ShowMCForm">
                <anchor moveWithCells="1" sizeWithCells="1">
                  <from>
                    <xdr:col>26</xdr:col>
                    <xdr:colOff>601980</xdr:colOff>
                    <xdr:row>26</xdr:row>
                    <xdr:rowOff>38100</xdr:rowOff>
                  </from>
                  <to>
                    <xdr:col>28</xdr:col>
                    <xdr:colOff>91440</xdr:colOff>
                    <xdr:row>28</xdr:row>
                    <xdr:rowOff>114300</xdr:rowOff>
                  </to>
                </anchor>
              </controlPr>
            </control>
          </mc:Choice>
        </mc:AlternateContent>
        <mc:AlternateContent xmlns:mc="http://schemas.openxmlformats.org/markup-compatibility/2006">
          <mc:Choice Requires="x14">
            <control shapeId="1536002" r:id="rId8" name="Button 2">
              <controlPr defaultSize="0" print="0" autoFill="0" autoPict="0" macro="[0]!ChatGPTAnswer">
                <anchor moveWithCells="1" sizeWithCells="1">
                  <from>
                    <xdr:col>2</xdr:col>
                    <xdr:colOff>129540</xdr:colOff>
                    <xdr:row>39</xdr:row>
                    <xdr:rowOff>129540</xdr:rowOff>
                  </from>
                  <to>
                    <xdr:col>4</xdr:col>
                    <xdr:colOff>137160</xdr:colOff>
                    <xdr:row>41</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38A4C-E7C3-49FE-8A13-0B25D7C632E6}">
  <sheetPr codeName="Sheet7"/>
  <dimension ref="A1:G76"/>
  <sheetViews>
    <sheetView showGridLines="0" topLeftCell="A59" workbookViewId="0">
      <selection activeCell="A77" sqref="A77"/>
    </sheetView>
  </sheetViews>
  <sheetFormatPr defaultRowHeight="14.4" x14ac:dyDescent="0.3"/>
  <sheetData>
    <row r="1" spans="1:7" x14ac:dyDescent="0.3">
      <c r="A1" s="186" t="s">
        <v>183</v>
      </c>
    </row>
    <row r="3" spans="1:7" x14ac:dyDescent="0.3">
      <c r="A3" t="s">
        <v>219</v>
      </c>
    </row>
    <row r="5" spans="1:7" x14ac:dyDescent="0.3">
      <c r="A5" t="s">
        <v>185</v>
      </c>
    </row>
    <row r="7" spans="1:7" ht="31.2" x14ac:dyDescent="0.3">
      <c r="A7" s="183" t="s">
        <v>186</v>
      </c>
    </row>
    <row r="9" spans="1:7" x14ac:dyDescent="0.3">
      <c r="A9" t="s">
        <v>187</v>
      </c>
      <c r="G9" s="12" t="s">
        <v>224</v>
      </c>
    </row>
    <row r="11" spans="1:7" x14ac:dyDescent="0.3">
      <c r="A11" t="s">
        <v>188</v>
      </c>
    </row>
    <row r="13" spans="1:7" x14ac:dyDescent="0.3">
      <c r="A13" s="53" t="s">
        <v>189</v>
      </c>
    </row>
    <row r="14" spans="1:7" x14ac:dyDescent="0.3">
      <c r="A14" s="181"/>
    </row>
    <row r="15" spans="1:7" x14ac:dyDescent="0.3">
      <c r="A15" s="184" t="s">
        <v>190</v>
      </c>
    </row>
    <row r="16" spans="1:7" x14ac:dyDescent="0.3">
      <c r="A16" s="181"/>
    </row>
    <row r="17" spans="1:1" x14ac:dyDescent="0.3">
      <c r="A17" s="181" t="s">
        <v>191</v>
      </c>
    </row>
    <row r="19" spans="1:1" x14ac:dyDescent="0.3">
      <c r="A19" t="s">
        <v>192</v>
      </c>
    </row>
    <row r="23" spans="1:1" ht="31.2" x14ac:dyDescent="0.3">
      <c r="A23" s="183" t="s">
        <v>193</v>
      </c>
    </row>
    <row r="25" spans="1:1" x14ac:dyDescent="0.3">
      <c r="A25" t="s">
        <v>194</v>
      </c>
    </row>
    <row r="26" spans="1:1" x14ac:dyDescent="0.3">
      <c r="A26" s="181"/>
    </row>
    <row r="27" spans="1:1" x14ac:dyDescent="0.3">
      <c r="A27" s="181" t="s">
        <v>195</v>
      </c>
    </row>
    <row r="28" spans="1:1" x14ac:dyDescent="0.3">
      <c r="A28" s="181"/>
    </row>
    <row r="29" spans="1:1" x14ac:dyDescent="0.3">
      <c r="A29" s="181" t="s">
        <v>196</v>
      </c>
    </row>
    <row r="30" spans="1:1" x14ac:dyDescent="0.3">
      <c r="A30" s="181"/>
    </row>
    <row r="31" spans="1:1" x14ac:dyDescent="0.3">
      <c r="A31" s="181" t="s">
        <v>197</v>
      </c>
    </row>
    <row r="32" spans="1:1" x14ac:dyDescent="0.3">
      <c r="A32" s="181"/>
    </row>
    <row r="33" spans="1:1" x14ac:dyDescent="0.3">
      <c r="A33" s="181" t="s">
        <v>198</v>
      </c>
    </row>
    <row r="35" spans="1:1" x14ac:dyDescent="0.3">
      <c r="A35" s="53" t="s">
        <v>199</v>
      </c>
    </row>
    <row r="37" spans="1:1" ht="18" x14ac:dyDescent="0.3">
      <c r="A37" s="185" t="s">
        <v>200</v>
      </c>
    </row>
    <row r="38" spans="1:1" x14ac:dyDescent="0.3">
      <c r="A38" s="181"/>
    </row>
    <row r="39" spans="1:1" x14ac:dyDescent="0.3">
      <c r="A39" s="181" t="s">
        <v>201</v>
      </c>
    </row>
    <row r="40" spans="1:1" x14ac:dyDescent="0.3">
      <c r="A40" s="181"/>
    </row>
    <row r="41" spans="1:1" x14ac:dyDescent="0.3">
      <c r="A41" s="184" t="s">
        <v>202</v>
      </c>
    </row>
    <row r="43" spans="1:1" x14ac:dyDescent="0.3">
      <c r="A43" t="s">
        <v>203</v>
      </c>
    </row>
    <row r="45" spans="1:1" ht="18" x14ac:dyDescent="0.3">
      <c r="A45" s="185" t="s">
        <v>204</v>
      </c>
    </row>
    <row r="47" spans="1:1" x14ac:dyDescent="0.3">
      <c r="A47" t="s">
        <v>205</v>
      </c>
    </row>
    <row r="48" spans="1:1" x14ac:dyDescent="0.3">
      <c r="A48" s="181"/>
    </row>
    <row r="49" spans="1:1" x14ac:dyDescent="0.3">
      <c r="A49" s="181" t="s">
        <v>206</v>
      </c>
    </row>
    <row r="50" spans="1:1" x14ac:dyDescent="0.3">
      <c r="A50" s="181"/>
    </row>
    <row r="51" spans="1:1" x14ac:dyDescent="0.3">
      <c r="A51" s="181" t="s">
        <v>207</v>
      </c>
    </row>
    <row r="52" spans="1:1" x14ac:dyDescent="0.3">
      <c r="A52" s="181"/>
    </row>
    <row r="53" spans="1:1" x14ac:dyDescent="0.3">
      <c r="A53" s="181" t="s">
        <v>208</v>
      </c>
    </row>
    <row r="54" spans="1:1" x14ac:dyDescent="0.3">
      <c r="A54" s="181"/>
    </row>
    <row r="55" spans="1:1" x14ac:dyDescent="0.3">
      <c r="A55" s="181" t="s">
        <v>209</v>
      </c>
    </row>
    <row r="57" spans="1:1" x14ac:dyDescent="0.3">
      <c r="A57" t="s">
        <v>210</v>
      </c>
    </row>
    <row r="61" spans="1:1" ht="31.2" x14ac:dyDescent="0.3">
      <c r="A61" s="183" t="s">
        <v>211</v>
      </c>
    </row>
    <row r="63" spans="1:1" ht="18" x14ac:dyDescent="0.3">
      <c r="A63" s="185" t="s">
        <v>212</v>
      </c>
    </row>
    <row r="65" spans="1:1" ht="18" x14ac:dyDescent="0.3">
      <c r="A65" s="185" t="s">
        <v>213</v>
      </c>
    </row>
    <row r="67" spans="1:1" ht="21" x14ac:dyDescent="0.4">
      <c r="A67" s="209" t="s">
        <v>227</v>
      </c>
    </row>
    <row r="69" spans="1:1" x14ac:dyDescent="0.3">
      <c r="A69" t="s">
        <v>228</v>
      </c>
    </row>
    <row r="70" spans="1:1" x14ac:dyDescent="0.3">
      <c r="A70" t="s">
        <v>214</v>
      </c>
    </row>
    <row r="71" spans="1:1" x14ac:dyDescent="0.3">
      <c r="A71" t="s">
        <v>215</v>
      </c>
    </row>
    <row r="72" spans="1:1" x14ac:dyDescent="0.3">
      <c r="A72" t="s">
        <v>143</v>
      </c>
    </row>
    <row r="74" spans="1:1" x14ac:dyDescent="0.3">
      <c r="A74" t="s">
        <v>226</v>
      </c>
    </row>
    <row r="76" spans="1:1" ht="21" x14ac:dyDescent="0.4">
      <c r="A76" s="209" t="s">
        <v>225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4193" r:id="rId3" name="Button 1">
              <controlPr defaultSize="0" print="0" autoFill="0" autoPict="0" macro="[0]!DGPSheet">
                <anchor moveWithCells="1" sizeWithCells="1">
                  <from>
                    <xdr:col>2</xdr:col>
                    <xdr:colOff>137160</xdr:colOff>
                    <xdr:row>76</xdr:row>
                    <xdr:rowOff>167640</xdr:rowOff>
                  </from>
                  <to>
                    <xdr:col>4</xdr:col>
                    <xdr:colOff>144780</xdr:colOff>
                    <xdr:row>79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J1002"/>
  <sheetViews>
    <sheetView zoomScaleNormal="100" workbookViewId="0">
      <pane ySplit="1" topLeftCell="A2" activePane="bottomLeft" state="frozen"/>
      <selection activeCell="A77" sqref="A77"/>
      <selection pane="bottomLeft" activeCell="A77" sqref="A77"/>
    </sheetView>
  </sheetViews>
  <sheetFormatPr defaultRowHeight="14.4" x14ac:dyDescent="0.3"/>
  <cols>
    <col min="1" max="2" width="11.5546875" customWidth="1"/>
    <col min="3" max="4" width="9.44140625" customWidth="1"/>
    <col min="6" max="6" width="18.5546875" customWidth="1"/>
    <col min="7" max="7" width="19.77734375" customWidth="1"/>
    <col min="8" max="8" width="22" customWidth="1"/>
    <col min="9" max="9" width="22.21875" bestFit="1" customWidth="1"/>
    <col min="10" max="10" width="21" style="166" customWidth="1"/>
    <col min="12" max="12" width="13.44140625" customWidth="1"/>
    <col min="13" max="13" width="13.21875" customWidth="1"/>
    <col min="14" max="14" width="14.21875" customWidth="1"/>
    <col min="15" max="15" width="11.21875" customWidth="1"/>
    <col min="16" max="16" width="11.5546875" customWidth="1"/>
    <col min="17" max="17" width="21.21875" style="168" customWidth="1"/>
    <col min="18" max="18" width="9.77734375" style="155" customWidth="1"/>
    <col min="19" max="19" width="10.5546875" customWidth="1"/>
    <col min="20" max="20" width="9.21875" style="13" customWidth="1"/>
    <col min="21" max="21" width="9.21875" style="50" customWidth="1"/>
    <col min="24" max="24" width="22.6640625" bestFit="1" customWidth="1"/>
    <col min="25" max="25" width="5.21875" bestFit="1" customWidth="1"/>
  </cols>
  <sheetData>
    <row r="1" spans="1:62" s="72" customFormat="1" ht="28.8" x14ac:dyDescent="0.3">
      <c r="A1" s="199" t="s">
        <v>12</v>
      </c>
      <c r="B1" s="199"/>
      <c r="C1" s="72" t="s">
        <v>5</v>
      </c>
      <c r="D1" s="73" t="s">
        <v>4</v>
      </c>
      <c r="F1" s="200" t="s">
        <v>13</v>
      </c>
      <c r="G1" s="200"/>
      <c r="H1" s="200"/>
      <c r="J1" s="73"/>
      <c r="K1" s="72" t="s">
        <v>7</v>
      </c>
      <c r="L1" s="200" t="s">
        <v>92</v>
      </c>
      <c r="M1" s="200"/>
      <c r="N1" s="200"/>
      <c r="O1" s="72" t="s">
        <v>17</v>
      </c>
      <c r="P1" s="72" t="s">
        <v>18</v>
      </c>
      <c r="Q1" s="167"/>
      <c r="R1" s="161" t="s">
        <v>115</v>
      </c>
      <c r="S1" s="72" t="s">
        <v>5</v>
      </c>
      <c r="T1" s="74" t="s">
        <v>4</v>
      </c>
      <c r="U1" s="75" t="s">
        <v>99</v>
      </c>
      <c r="V1" s="200" t="str">
        <f ca="1">sampletype(R2)</f>
        <v>A Single Sample: Equal Prob, WR</v>
      </c>
      <c r="W1" s="200"/>
      <c r="X1" s="200"/>
      <c r="Y1" s="201"/>
      <c r="Z1" s="201"/>
      <c r="AA1" s="201"/>
      <c r="AB1" s="201"/>
      <c r="AF1"/>
      <c r="AG1"/>
      <c r="AH1"/>
      <c r="AI1"/>
      <c r="AJ1"/>
      <c r="AK1"/>
      <c r="BF1" s="72" t="s">
        <v>47</v>
      </c>
      <c r="BG1" s="72" t="s">
        <v>46</v>
      </c>
      <c r="BH1" s="72" t="s">
        <v>44</v>
      </c>
      <c r="BI1" s="72" t="s">
        <v>45</v>
      </c>
      <c r="BJ1" s="72" t="s">
        <v>48</v>
      </c>
    </row>
    <row r="2" spans="1:62" ht="15" thickBot="1" x14ac:dyDescent="0.35">
      <c r="A2" s="33" t="s">
        <v>6</v>
      </c>
      <c r="B2" s="33">
        <v>2</v>
      </c>
      <c r="C2">
        <v>14</v>
      </c>
      <c r="D2" s="36">
        <v>24.49</v>
      </c>
      <c r="K2" s="14">
        <f>1/1000</f>
        <v>1E-3</v>
      </c>
      <c r="L2" s="51"/>
      <c r="M2" s="51" t="s">
        <v>129</v>
      </c>
      <c r="N2" s="51" t="s">
        <v>16</v>
      </c>
      <c r="O2" s="14">
        <f t="shared" ref="O2:O65" si="0">IF(C2=12,$M$4,IF(C2=13,$M$5,IF(C2=14,$M$6,IF(C2=15,$M$7,$M$8))))</f>
        <v>4.7156372549026095E-4</v>
      </c>
      <c r="P2" s="14">
        <f t="shared" ref="P2:P65" si="1">IF(D2&lt;20,$M$14,IF(D2&lt;24,$M$15,IF(D2&lt;28,$M$16,IF(D2&lt;32,$M$17,$M$18))))</f>
        <v>7.8587786259546764E-4</v>
      </c>
      <c r="Q2" s="168">
        <f ca="1">IF(AND(S2=12,T2=7.97),1,0)</f>
        <v>0</v>
      </c>
      <c r="R2" s="155">
        <f t="array" aca="1" ref="R2:T101" ca="1">[1]!sample(C2:D1001,K2:K1001,100,1)</f>
        <v>1E-3</v>
      </c>
      <c r="S2">
        <f ca="1"/>
        <v>15</v>
      </c>
      <c r="T2" s="13">
        <f ca="1"/>
        <v>30.23</v>
      </c>
      <c r="U2" s="50">
        <f ca="1">1/(1-((1-R2)^100))</f>
        <v>10.503335278386448</v>
      </c>
      <c r="V2" t="s">
        <v>30</v>
      </c>
      <c r="W2" s="32"/>
      <c r="X2" s="32"/>
      <c r="Y2" s="32"/>
      <c r="Z2" s="47" t="s">
        <v>132</v>
      </c>
      <c r="AA2" s="48"/>
      <c r="BF2">
        <v>11.5</v>
      </c>
      <c r="BG2" s="28">
        <f>$I$8+$I$10*BF2</f>
        <v>22.671741979710372</v>
      </c>
      <c r="BH2" t="e">
        <f>IF($AD$9=1,$W$3+$V$3*BF2,#N/A)</f>
        <v>#N/A</v>
      </c>
      <c r="BI2" t="e">
        <f>IF($AD$12=1,$AA$3+$Z$3*BF2,#N/A)</f>
        <v>#N/A</v>
      </c>
      <c r="BJ2">
        <v>10</v>
      </c>
    </row>
    <row r="3" spans="1:62" ht="15.6" x14ac:dyDescent="0.35">
      <c r="A3" s="33" t="s">
        <v>1</v>
      </c>
      <c r="B3" s="33">
        <v>5</v>
      </c>
      <c r="C3">
        <v>14</v>
      </c>
      <c r="D3" s="36">
        <v>26.46</v>
      </c>
      <c r="K3" s="14">
        <f t="shared" ref="K3:K66" si="2">1/1000</f>
        <v>1E-3</v>
      </c>
      <c r="L3" s="160" t="s">
        <v>15</v>
      </c>
      <c r="M3" s="160" t="s">
        <v>97</v>
      </c>
      <c r="N3" s="160" t="s">
        <v>130</v>
      </c>
      <c r="O3" s="14">
        <f t="shared" si="0"/>
        <v>4.7156372549026095E-4</v>
      </c>
      <c r="P3" s="14">
        <f t="shared" si="1"/>
        <v>7.8587786259546764E-4</v>
      </c>
      <c r="Q3" s="168">
        <f t="shared" ref="Q3:Q66" ca="1" si="3">IF(AND(S3=12,T3=7.97),1,0)</f>
        <v>0</v>
      </c>
      <c r="R3" s="155">
        <f ca="1"/>
        <v>1E-3</v>
      </c>
      <c r="S3">
        <f ca="1"/>
        <v>12</v>
      </c>
      <c r="T3" s="13">
        <f ca="1"/>
        <v>13.81</v>
      </c>
      <c r="U3" s="50">
        <f t="shared" ref="U3:U66" ca="1" si="4">1/(1-((1-R3)^100))</f>
        <v>10.503335278386448</v>
      </c>
      <c r="V3" s="70">
        <f t="array" aca="1" ref="V3:W7" ca="1">LINEST(T2:T101,S2:S101,1,1)</f>
        <v>2.5852020202020207</v>
      </c>
      <c r="W3" s="49">
        <f ca="1"/>
        <v>-8.008328282828284</v>
      </c>
      <c r="X3" s="64" t="s">
        <v>88</v>
      </c>
      <c r="Y3" s="41"/>
      <c r="Z3" s="70">
        <f t="array" aca="1" ref="Z3:AA5" ca="1">LINESTw(T2:T101,S2:S101,U2:U101)</f>
        <v>2.5852020202018839</v>
      </c>
      <c r="AA3" s="49">
        <f ca="1"/>
        <v>-8.0083282828267404</v>
      </c>
      <c r="AC3" s="162"/>
      <c r="BF3">
        <v>11.51</v>
      </c>
      <c r="BG3" s="28">
        <f t="shared" ref="BG3:BG66" si="5">$I$8+$I$10*BF3</f>
        <v>22.691998469489651</v>
      </c>
      <c r="BH3" t="e">
        <f t="shared" ref="BH3:BH66" si="6">IF($AD$9=1,$W$3+$V$3*BF3,#N/A)</f>
        <v>#N/A</v>
      </c>
      <c r="BI3" t="e">
        <f t="shared" ref="BI3:BI66" si="7">IF($AD$12=1,$AA$3+$Z$3*BF3,#N/A)</f>
        <v>#N/A</v>
      </c>
      <c r="BJ3">
        <v>10</v>
      </c>
    </row>
    <row r="4" spans="1:62" ht="15" thickBot="1" x14ac:dyDescent="0.35">
      <c r="C4">
        <v>13</v>
      </c>
      <c r="D4" s="36">
        <v>24.09</v>
      </c>
      <c r="K4" s="14">
        <f t="shared" si="2"/>
        <v>1E-3</v>
      </c>
      <c r="L4" s="51">
        <v>12</v>
      </c>
      <c r="M4" s="156">
        <v>3.0000000000000001E-3</v>
      </c>
      <c r="N4" s="154">
        <f>(1-((1-M4)^100))</f>
        <v>0.25951574046021642</v>
      </c>
      <c r="O4" s="14">
        <f t="shared" si="0"/>
        <v>1E-3</v>
      </c>
      <c r="P4" s="14">
        <f t="shared" si="1"/>
        <v>7.8587786259546764E-4</v>
      </c>
      <c r="Q4" s="168">
        <f t="shared" ca="1" si="3"/>
        <v>0</v>
      </c>
      <c r="R4" s="155">
        <f ca="1"/>
        <v>1E-3</v>
      </c>
      <c r="S4">
        <f ca="1"/>
        <v>16</v>
      </c>
      <c r="T4" s="13">
        <f ca="1"/>
        <v>33.840000000000003</v>
      </c>
      <c r="U4" s="50">
        <f t="shared" ca="1" si="4"/>
        <v>10.503335278386448</v>
      </c>
      <c r="V4" s="49">
        <f ca="1"/>
        <v>0.35549663282986249</v>
      </c>
      <c r="W4" s="49">
        <f ca="1"/>
        <v>5.0020283807319812</v>
      </c>
      <c r="X4" s="66">
        <f>SLOPE($D$2:$D$1001,$C$2:$C$1001)</f>
        <v>2.0256489779277524</v>
      </c>
      <c r="Y4" s="41"/>
      <c r="Z4" s="49">
        <f ca="1"/>
        <v>0.36701956278088088</v>
      </c>
      <c r="AA4" s="49">
        <f ca="1"/>
        <v>5.232699350541008</v>
      </c>
      <c r="BF4">
        <v>11.52</v>
      </c>
      <c r="BG4" s="28">
        <f t="shared" si="5"/>
        <v>22.712254959268925</v>
      </c>
      <c r="BH4" t="e">
        <f t="shared" si="6"/>
        <v>#N/A</v>
      </c>
      <c r="BI4" t="e">
        <f t="shared" si="7"/>
        <v>#N/A</v>
      </c>
      <c r="BJ4">
        <v>10</v>
      </c>
    </row>
    <row r="5" spans="1:62" x14ac:dyDescent="0.3">
      <c r="A5" t="s">
        <v>29</v>
      </c>
      <c r="C5">
        <v>15</v>
      </c>
      <c r="D5" s="36">
        <v>26.08</v>
      </c>
      <c r="K5" s="14">
        <f t="shared" si="2"/>
        <v>1E-3</v>
      </c>
      <c r="L5" s="51">
        <v>13</v>
      </c>
      <c r="M5" s="156">
        <v>1E-3</v>
      </c>
      <c r="N5" s="154">
        <f>(1-((1-M5)^100))</f>
        <v>9.5207852886290301E-2</v>
      </c>
      <c r="O5" s="14">
        <f t="shared" si="0"/>
        <v>4.0000000000000002E-4</v>
      </c>
      <c r="P5" s="14">
        <f t="shared" si="1"/>
        <v>7.8587786259546764E-4</v>
      </c>
      <c r="Q5" s="168">
        <f t="shared" ca="1" si="3"/>
        <v>0</v>
      </c>
      <c r="R5" s="155">
        <f ca="1"/>
        <v>1E-3</v>
      </c>
      <c r="S5">
        <f ca="1"/>
        <v>16</v>
      </c>
      <c r="T5" s="13">
        <f ca="1"/>
        <v>27.28</v>
      </c>
      <c r="U5" s="50">
        <f t="shared" ca="1" si="4"/>
        <v>10.503335278386448</v>
      </c>
      <c r="V5" s="50">
        <f ca="1"/>
        <v>0.35049111386574827</v>
      </c>
      <c r="W5" s="50">
        <f ca="1"/>
        <v>5.00228102756805</v>
      </c>
      <c r="Z5" s="50">
        <f ca="1"/>
        <v>0.35049111386574827</v>
      </c>
      <c r="AA5" s="50">
        <f ca="1"/>
        <v>5.0022810275680527</v>
      </c>
      <c r="BF5">
        <v>11.53</v>
      </c>
      <c r="BG5" s="28">
        <f t="shared" si="5"/>
        <v>22.732511449048204</v>
      </c>
      <c r="BH5" t="e">
        <f t="shared" si="6"/>
        <v>#N/A</v>
      </c>
      <c r="BI5" t="e">
        <f t="shared" si="7"/>
        <v>#N/A</v>
      </c>
      <c r="BJ5">
        <v>10</v>
      </c>
    </row>
    <row r="6" spans="1:62" ht="15" thickBot="1" x14ac:dyDescent="0.35">
      <c r="A6">
        <f ca="1">ROUND(RAND()*5+11.5,0)</f>
        <v>12</v>
      </c>
      <c r="B6" s="42">
        <f ca="1">ROUND(slope*A6+NORMINV(RAND(),0,SD),2)</f>
        <v>23.16</v>
      </c>
      <c r="C6">
        <v>13</v>
      </c>
      <c r="D6" s="36">
        <v>31.29</v>
      </c>
      <c r="K6" s="14">
        <f t="shared" si="2"/>
        <v>1E-3</v>
      </c>
      <c r="L6" s="51">
        <v>14</v>
      </c>
      <c r="M6" s="156">
        <v>4.7156372549026095E-4</v>
      </c>
      <c r="N6" s="154">
        <f>(1-((1-M6)^100))</f>
        <v>4.6072393574350445E-2</v>
      </c>
      <c r="O6" s="14">
        <f t="shared" si="0"/>
        <v>1E-3</v>
      </c>
      <c r="P6" s="14">
        <f t="shared" si="1"/>
        <v>4.0000000000000002E-4</v>
      </c>
      <c r="Q6" s="168">
        <f t="shared" ca="1" si="3"/>
        <v>0</v>
      </c>
      <c r="R6" s="155">
        <f ca="1"/>
        <v>1E-3</v>
      </c>
      <c r="S6">
        <f ca="1"/>
        <v>14</v>
      </c>
      <c r="T6" s="13">
        <f ca="1"/>
        <v>29.42</v>
      </c>
      <c r="U6" s="50">
        <f t="shared" ca="1" si="4"/>
        <v>10.503335278386448</v>
      </c>
      <c r="V6" s="50">
        <f ca="1"/>
        <v>52.88323207289217</v>
      </c>
      <c r="W6" s="50">
        <f ca="1"/>
        <v>98</v>
      </c>
      <c r="X6" s="67" t="s">
        <v>114</v>
      </c>
      <c r="Z6" s="50"/>
      <c r="AA6" s="50"/>
      <c r="BF6">
        <v>11.54</v>
      </c>
      <c r="BG6" s="28">
        <f t="shared" si="5"/>
        <v>22.752767938827482</v>
      </c>
      <c r="BH6" t="e">
        <f t="shared" si="6"/>
        <v>#N/A</v>
      </c>
      <c r="BI6" t="e">
        <f t="shared" si="7"/>
        <v>#N/A</v>
      </c>
      <c r="BJ6">
        <v>10</v>
      </c>
    </row>
    <row r="7" spans="1:62" ht="15.6" x14ac:dyDescent="0.35">
      <c r="A7" t="s">
        <v>142</v>
      </c>
      <c r="C7">
        <v>15</v>
      </c>
      <c r="D7" s="36">
        <v>35.49</v>
      </c>
      <c r="I7" s="64" t="s">
        <v>87</v>
      </c>
      <c r="K7" s="14">
        <f t="shared" si="2"/>
        <v>1E-3</v>
      </c>
      <c r="L7" s="51">
        <v>15</v>
      </c>
      <c r="M7" s="156">
        <v>4.0000000000000002E-4</v>
      </c>
      <c r="N7" s="154">
        <f>(1-((1-M7)^100))</f>
        <v>3.9218249182720433E-2</v>
      </c>
      <c r="O7" s="14">
        <f t="shared" si="0"/>
        <v>4.0000000000000002E-4</v>
      </c>
      <c r="P7" s="14">
        <f t="shared" si="1"/>
        <v>1E-4</v>
      </c>
      <c r="Q7" s="168">
        <f t="shared" ca="1" si="3"/>
        <v>0</v>
      </c>
      <c r="R7" s="155">
        <f ca="1"/>
        <v>1E-3</v>
      </c>
      <c r="S7">
        <f ca="1"/>
        <v>14</v>
      </c>
      <c r="T7" s="13">
        <f ca="1"/>
        <v>33.950000000000003</v>
      </c>
      <c r="U7" s="50">
        <f t="shared" ca="1" si="4"/>
        <v>10.503335278386448</v>
      </c>
      <c r="V7" s="50">
        <f ca="1"/>
        <v>1323.2873580808077</v>
      </c>
      <c r="W7" s="50">
        <f ca="1"/>
        <v>2452.2359169191923</v>
      </c>
      <c r="X7" s="67" t="s">
        <v>113</v>
      </c>
      <c r="Z7" s="50"/>
      <c r="AA7" s="50"/>
      <c r="BF7">
        <v>11.55</v>
      </c>
      <c r="BG7" s="28">
        <f t="shared" si="5"/>
        <v>22.77302442860676</v>
      </c>
      <c r="BH7" t="e">
        <f t="shared" si="6"/>
        <v>#N/A</v>
      </c>
      <c r="BI7" t="e">
        <f t="shared" si="7"/>
        <v>#N/A</v>
      </c>
      <c r="BJ7">
        <v>10</v>
      </c>
    </row>
    <row r="8" spans="1:62" x14ac:dyDescent="0.3">
      <c r="A8" t="s">
        <v>72</v>
      </c>
      <c r="C8">
        <v>15</v>
      </c>
      <c r="D8" s="36">
        <v>27.42</v>
      </c>
      <c r="I8" s="65">
        <f>INTERCEPT($D$2:$D$1001,$C$2:$C$1001)</f>
        <v>-0.62322126645878129</v>
      </c>
      <c r="K8" s="14">
        <f t="shared" si="2"/>
        <v>1E-3</v>
      </c>
      <c r="L8" s="51">
        <v>16</v>
      </c>
      <c r="M8" s="157">
        <v>2.0000000000000001E-4</v>
      </c>
      <c r="N8" s="154">
        <f>(1-((1-M8)^100))</f>
        <v>1.9803287350054655E-2</v>
      </c>
      <c r="O8" s="14">
        <f t="shared" si="0"/>
        <v>4.0000000000000002E-4</v>
      </c>
      <c r="P8" s="14">
        <f t="shared" si="1"/>
        <v>7.8587786259546764E-4</v>
      </c>
      <c r="Q8" s="168">
        <f t="shared" ca="1" si="3"/>
        <v>0</v>
      </c>
      <c r="R8" s="155">
        <f ca="1"/>
        <v>1E-3</v>
      </c>
      <c r="S8">
        <f ca="1"/>
        <v>15</v>
      </c>
      <c r="T8" s="13">
        <f ca="1"/>
        <v>20.18</v>
      </c>
      <c r="U8" s="50">
        <f t="shared" ca="1" si="4"/>
        <v>10.503335278386448</v>
      </c>
      <c r="V8" s="50"/>
      <c r="W8" s="50"/>
      <c r="BF8">
        <v>11.56</v>
      </c>
      <c r="BG8" s="28">
        <f t="shared" si="5"/>
        <v>22.793280918386039</v>
      </c>
      <c r="BH8" t="e">
        <f t="shared" si="6"/>
        <v>#N/A</v>
      </c>
      <c r="BI8" t="e">
        <f t="shared" si="7"/>
        <v>#N/A</v>
      </c>
      <c r="BJ8">
        <v>10</v>
      </c>
    </row>
    <row r="9" spans="1:62" ht="15.6" x14ac:dyDescent="0.35">
      <c r="C9">
        <v>14</v>
      </c>
      <c r="D9" s="36">
        <v>25.53</v>
      </c>
      <c r="I9" s="65" t="s">
        <v>88</v>
      </c>
      <c r="K9" s="14">
        <f t="shared" si="2"/>
        <v>1E-3</v>
      </c>
      <c r="L9" s="51"/>
      <c r="M9" s="158"/>
      <c r="N9" s="51"/>
      <c r="O9" s="14">
        <f t="shared" si="0"/>
        <v>4.7156372549026095E-4</v>
      </c>
      <c r="P9" s="14">
        <f t="shared" si="1"/>
        <v>7.8587786259546764E-4</v>
      </c>
      <c r="Q9" s="168">
        <f t="shared" ca="1" si="3"/>
        <v>0</v>
      </c>
      <c r="R9" s="155">
        <f ca="1"/>
        <v>1E-3</v>
      </c>
      <c r="S9">
        <f ca="1"/>
        <v>13</v>
      </c>
      <c r="T9" s="13">
        <f ca="1"/>
        <v>19.18</v>
      </c>
      <c r="U9" s="50">
        <f t="shared" ca="1" si="4"/>
        <v>10.503335278386448</v>
      </c>
      <c r="V9" s="50"/>
      <c r="W9" s="50"/>
      <c r="Y9" s="40" t="s">
        <v>15</v>
      </c>
      <c r="Z9" s="40" t="s">
        <v>27</v>
      </c>
      <c r="AA9" s="40" t="s">
        <v>43</v>
      </c>
      <c r="AB9" s="40" t="s">
        <v>28</v>
      </c>
      <c r="AD9">
        <v>0</v>
      </c>
      <c r="BF9">
        <v>11.57</v>
      </c>
      <c r="BG9" s="28">
        <f t="shared" si="5"/>
        <v>22.813537408165317</v>
      </c>
      <c r="BH9" t="e">
        <f t="shared" si="6"/>
        <v>#N/A</v>
      </c>
      <c r="BI9" t="e">
        <f t="shared" si="7"/>
        <v>#N/A</v>
      </c>
      <c r="BJ9">
        <v>10</v>
      </c>
    </row>
    <row r="10" spans="1:62" ht="15" thickBot="1" x14ac:dyDescent="0.35">
      <c r="A10" t="s">
        <v>73</v>
      </c>
      <c r="C10">
        <v>12</v>
      </c>
      <c r="D10" s="36">
        <v>20.11</v>
      </c>
      <c r="I10" s="66">
        <f>SLOPE($D$2:$D$1001,$C$2:$C$1001)</f>
        <v>2.0256489779277524</v>
      </c>
      <c r="K10" s="14">
        <f t="shared" si="2"/>
        <v>1E-3</v>
      </c>
      <c r="L10" s="51" t="s">
        <v>93</v>
      </c>
      <c r="M10" s="159">
        <f>SUM(O2:O1001)</f>
        <v>0.99999900000000996</v>
      </c>
      <c r="N10" s="159"/>
      <c r="O10" s="14">
        <f t="shared" si="0"/>
        <v>3.0000000000000001E-3</v>
      </c>
      <c r="P10" s="14">
        <f t="shared" si="1"/>
        <v>1.5E-3</v>
      </c>
      <c r="Q10" s="168">
        <f t="shared" ca="1" si="3"/>
        <v>0</v>
      </c>
      <c r="R10" s="155">
        <f ca="1"/>
        <v>1E-3</v>
      </c>
      <c r="S10">
        <f ca="1"/>
        <v>12</v>
      </c>
      <c r="T10" s="13">
        <f ca="1"/>
        <v>26.84</v>
      </c>
      <c r="U10" s="50">
        <f t="shared" ca="1" si="4"/>
        <v>10.503335278386448</v>
      </c>
      <c r="Y10" s="40">
        <v>12</v>
      </c>
      <c r="Z10" s="45">
        <f>INTERCEPT($D$2:$D$1001,$C$2:$C$1001)+SLOPE($D$2:$D$1001,$C$2:$C$1001)*Y10</f>
        <v>23.684566468674248</v>
      </c>
      <c r="AA10" s="46">
        <f ca="1">$W$3+$V$3*Y10</f>
        <v>23.014095959595966</v>
      </c>
      <c r="AB10" s="46">
        <f ca="1">$AA$3+$Z$3*Y10</f>
        <v>23.014095959595871</v>
      </c>
      <c r="BF10">
        <v>11.58</v>
      </c>
      <c r="BG10" s="28">
        <f t="shared" si="5"/>
        <v>22.833793897944592</v>
      </c>
      <c r="BH10" t="e">
        <f t="shared" si="6"/>
        <v>#N/A</v>
      </c>
      <c r="BI10" t="e">
        <f t="shared" si="7"/>
        <v>#N/A</v>
      </c>
      <c r="BJ10">
        <v>10</v>
      </c>
    </row>
    <row r="11" spans="1:62" x14ac:dyDescent="0.3">
      <c r="A11" t="s">
        <v>74</v>
      </c>
      <c r="C11">
        <v>13</v>
      </c>
      <c r="D11" s="36">
        <v>25.09</v>
      </c>
      <c r="I11" s="51" t="s">
        <v>134</v>
      </c>
      <c r="K11" s="14">
        <f t="shared" si="2"/>
        <v>1E-3</v>
      </c>
      <c r="L11" s="51"/>
      <c r="M11" s="51"/>
      <c r="N11" s="51"/>
      <c r="O11" s="14">
        <f t="shared" si="0"/>
        <v>1E-3</v>
      </c>
      <c r="P11" s="14">
        <f t="shared" si="1"/>
        <v>7.8587786259546764E-4</v>
      </c>
      <c r="Q11" s="168">
        <f t="shared" ca="1" si="3"/>
        <v>0</v>
      </c>
      <c r="R11" s="155">
        <f ca="1"/>
        <v>1E-3</v>
      </c>
      <c r="S11">
        <f ca="1"/>
        <v>16</v>
      </c>
      <c r="T11" s="13">
        <f ca="1"/>
        <v>25.68</v>
      </c>
      <c r="U11" s="50">
        <f t="shared" ca="1" si="4"/>
        <v>10.503335278386448</v>
      </c>
      <c r="Y11" s="40">
        <v>16</v>
      </c>
      <c r="Z11" s="45">
        <f>INTERCEPT($D$2:$D$1001,$C$2:$C$1001)+SLOPE($D$2:$D$1001,$C$2:$C$1001)*Y11</f>
        <v>31.787162380385258</v>
      </c>
      <c r="AA11" s="46">
        <f ca="1">$W$3+$V$3*Y11</f>
        <v>33.354904040404051</v>
      </c>
      <c r="AB11" s="46">
        <f ca="1">$AA$3+$Z$3*Y11</f>
        <v>33.354904040403405</v>
      </c>
      <c r="BF11">
        <v>11.59</v>
      </c>
      <c r="BG11" s="28">
        <f t="shared" si="5"/>
        <v>22.85405038772387</v>
      </c>
      <c r="BH11" t="e">
        <f t="shared" si="6"/>
        <v>#N/A</v>
      </c>
      <c r="BI11" t="e">
        <f t="shared" si="7"/>
        <v>#N/A</v>
      </c>
      <c r="BJ11">
        <v>10</v>
      </c>
    </row>
    <row r="12" spans="1:62" x14ac:dyDescent="0.3">
      <c r="A12" t="s">
        <v>75</v>
      </c>
      <c r="C12">
        <v>15</v>
      </c>
      <c r="D12" s="36">
        <v>26.74</v>
      </c>
      <c r="K12" s="14">
        <f t="shared" si="2"/>
        <v>1E-3</v>
      </c>
      <c r="L12" s="51"/>
      <c r="M12" s="51" t="s">
        <v>129</v>
      </c>
      <c r="N12" s="51" t="s">
        <v>16</v>
      </c>
      <c r="O12" s="14">
        <f t="shared" si="0"/>
        <v>4.0000000000000002E-4</v>
      </c>
      <c r="P12" s="14">
        <f t="shared" si="1"/>
        <v>7.8587786259546764E-4</v>
      </c>
      <c r="Q12" s="168">
        <f t="shared" ca="1" si="3"/>
        <v>0</v>
      </c>
      <c r="R12" s="155">
        <f ca="1"/>
        <v>1E-3</v>
      </c>
      <c r="S12">
        <f ca="1"/>
        <v>13</v>
      </c>
      <c r="T12" s="13">
        <f ca="1"/>
        <v>30.9</v>
      </c>
      <c r="U12" s="50">
        <f t="shared" ca="1" si="4"/>
        <v>10.503335278386448</v>
      </c>
      <c r="Y12" s="40"/>
      <c r="Z12" s="45"/>
      <c r="AA12" s="46"/>
      <c r="AB12" s="46"/>
      <c r="AD12">
        <v>0</v>
      </c>
      <c r="BF12">
        <v>11.6</v>
      </c>
      <c r="BG12" s="28">
        <f t="shared" si="5"/>
        <v>22.874306877503145</v>
      </c>
      <c r="BH12" t="e">
        <f t="shared" si="6"/>
        <v>#N/A</v>
      </c>
      <c r="BI12" t="e">
        <f t="shared" si="7"/>
        <v>#N/A</v>
      </c>
      <c r="BJ12">
        <v>10</v>
      </c>
    </row>
    <row r="13" spans="1:62" x14ac:dyDescent="0.3">
      <c r="A13" t="s">
        <v>76</v>
      </c>
      <c r="C13">
        <v>13</v>
      </c>
      <c r="D13" s="36">
        <v>29.36</v>
      </c>
      <c r="K13" s="14">
        <f t="shared" si="2"/>
        <v>1E-3</v>
      </c>
      <c r="L13" s="160" t="s">
        <v>19</v>
      </c>
      <c r="M13" s="160" t="s">
        <v>97</v>
      </c>
      <c r="N13" s="160" t="s">
        <v>130</v>
      </c>
      <c r="O13" s="14">
        <f t="shared" si="0"/>
        <v>1E-3</v>
      </c>
      <c r="P13" s="14">
        <f t="shared" si="1"/>
        <v>4.0000000000000002E-4</v>
      </c>
      <c r="Q13" s="168">
        <f t="shared" ca="1" si="3"/>
        <v>0</v>
      </c>
      <c r="R13" s="155">
        <f ca="1"/>
        <v>1E-3</v>
      </c>
      <c r="S13">
        <f ca="1"/>
        <v>12</v>
      </c>
      <c r="T13" s="13">
        <f ca="1"/>
        <v>22.9</v>
      </c>
      <c r="U13" s="50">
        <f t="shared" ca="1" si="4"/>
        <v>10.503335278386448</v>
      </c>
      <c r="Y13" s="40"/>
      <c r="Z13" s="45"/>
      <c r="AA13" s="46"/>
      <c r="AB13" s="46"/>
      <c r="BF13">
        <v>11.61</v>
      </c>
      <c r="BG13" s="28">
        <f t="shared" si="5"/>
        <v>22.894563367282423</v>
      </c>
      <c r="BH13" t="e">
        <f t="shared" si="6"/>
        <v>#N/A</v>
      </c>
      <c r="BI13" t="e">
        <f t="shared" si="7"/>
        <v>#N/A</v>
      </c>
      <c r="BJ13">
        <v>10</v>
      </c>
    </row>
    <row r="14" spans="1:62" x14ac:dyDescent="0.3">
      <c r="A14" t="s">
        <v>77</v>
      </c>
      <c r="C14">
        <v>14</v>
      </c>
      <c r="D14" s="36">
        <v>29.42</v>
      </c>
      <c r="K14" s="14">
        <f t="shared" si="2"/>
        <v>1E-3</v>
      </c>
      <c r="L14" s="51" t="s">
        <v>20</v>
      </c>
      <c r="M14" s="156">
        <v>5.0000000000000001E-3</v>
      </c>
      <c r="N14" s="154">
        <f>(1-((1-M14)^100))</f>
        <v>0.3942295635092713</v>
      </c>
      <c r="O14" s="14">
        <f t="shared" si="0"/>
        <v>4.7156372549026095E-4</v>
      </c>
      <c r="P14" s="14">
        <f t="shared" si="1"/>
        <v>4.0000000000000002E-4</v>
      </c>
      <c r="Q14" s="168">
        <f t="shared" ca="1" si="3"/>
        <v>0</v>
      </c>
      <c r="R14" s="155">
        <f ca="1"/>
        <v>1E-3</v>
      </c>
      <c r="S14">
        <f ca="1"/>
        <v>16</v>
      </c>
      <c r="T14" s="13">
        <f ca="1"/>
        <v>32.39</v>
      </c>
      <c r="U14" s="50">
        <f t="shared" ca="1" si="4"/>
        <v>10.503335278386448</v>
      </c>
      <c r="Z14" s="38"/>
      <c r="AA14" s="42"/>
      <c r="AB14" s="39"/>
      <c r="BF14">
        <v>11.62</v>
      </c>
      <c r="BG14" s="28">
        <f t="shared" si="5"/>
        <v>22.914819857061701</v>
      </c>
      <c r="BH14" t="e">
        <f t="shared" si="6"/>
        <v>#N/A</v>
      </c>
      <c r="BI14" t="e">
        <f t="shared" si="7"/>
        <v>#N/A</v>
      </c>
      <c r="BJ14">
        <v>10</v>
      </c>
    </row>
    <row r="15" spans="1:62" x14ac:dyDescent="0.3">
      <c r="A15" t="s">
        <v>78</v>
      </c>
      <c r="C15">
        <v>15</v>
      </c>
      <c r="D15" s="36">
        <v>21.13</v>
      </c>
      <c r="K15" s="14">
        <f t="shared" si="2"/>
        <v>1E-3</v>
      </c>
      <c r="L15" s="51" t="s">
        <v>21</v>
      </c>
      <c r="M15" s="156">
        <v>1.5E-3</v>
      </c>
      <c r="N15" s="154">
        <f>(1-((1-M15)^100))</f>
        <v>0.13938894470362329</v>
      </c>
      <c r="O15" s="14">
        <f t="shared" si="0"/>
        <v>4.0000000000000002E-4</v>
      </c>
      <c r="P15" s="14">
        <f t="shared" si="1"/>
        <v>1.5E-3</v>
      </c>
      <c r="Q15" s="168">
        <f t="shared" ca="1" si="3"/>
        <v>0</v>
      </c>
      <c r="R15" s="155">
        <f ca="1"/>
        <v>1E-3</v>
      </c>
      <c r="S15">
        <f ca="1"/>
        <v>16</v>
      </c>
      <c r="T15" s="13">
        <f ca="1"/>
        <v>31.97</v>
      </c>
      <c r="U15" s="50">
        <f t="shared" ca="1" si="4"/>
        <v>10.503335278386448</v>
      </c>
      <c r="BF15">
        <v>11.63</v>
      </c>
      <c r="BG15" s="28">
        <f t="shared" si="5"/>
        <v>22.93507634684098</v>
      </c>
      <c r="BH15" t="e">
        <f t="shared" si="6"/>
        <v>#N/A</v>
      </c>
      <c r="BI15" t="e">
        <f t="shared" si="7"/>
        <v>#N/A</v>
      </c>
      <c r="BJ15">
        <v>10</v>
      </c>
    </row>
    <row r="16" spans="1:62" x14ac:dyDescent="0.3">
      <c r="A16" t="s">
        <v>135</v>
      </c>
      <c r="C16">
        <v>12</v>
      </c>
      <c r="D16" s="36">
        <v>28.93</v>
      </c>
      <c r="F16" s="15"/>
      <c r="G16" s="18" t="s">
        <v>10</v>
      </c>
      <c r="H16" s="16"/>
      <c r="I16" s="17"/>
      <c r="K16" s="14">
        <f t="shared" si="2"/>
        <v>1E-3</v>
      </c>
      <c r="L16" s="51" t="s">
        <v>24</v>
      </c>
      <c r="M16" s="156">
        <v>7.8587786259546764E-4</v>
      </c>
      <c r="N16" s="154">
        <f>(1-((1-M16)^100))</f>
        <v>7.5607655910688076E-2</v>
      </c>
      <c r="O16" s="14">
        <f t="shared" si="0"/>
        <v>3.0000000000000001E-3</v>
      </c>
      <c r="P16" s="14">
        <f t="shared" si="1"/>
        <v>4.0000000000000002E-4</v>
      </c>
      <c r="Q16" s="168">
        <f t="shared" ca="1" si="3"/>
        <v>0</v>
      </c>
      <c r="R16" s="155">
        <f ca="1"/>
        <v>1E-3</v>
      </c>
      <c r="S16">
        <f ca="1"/>
        <v>14</v>
      </c>
      <c r="T16" s="13">
        <f ca="1"/>
        <v>26.21</v>
      </c>
      <c r="U16" s="50">
        <f t="shared" ca="1" si="4"/>
        <v>10.503335278386448</v>
      </c>
      <c r="BF16">
        <v>11.64</v>
      </c>
      <c r="BG16" s="28">
        <f t="shared" si="5"/>
        <v>22.955332836620258</v>
      </c>
      <c r="BH16" t="e">
        <f t="shared" si="6"/>
        <v>#N/A</v>
      </c>
      <c r="BI16" t="e">
        <f t="shared" si="7"/>
        <v>#N/A</v>
      </c>
      <c r="BJ16">
        <v>10</v>
      </c>
    </row>
    <row r="17" spans="1:62" x14ac:dyDescent="0.3">
      <c r="A17" t="s">
        <v>136</v>
      </c>
      <c r="C17">
        <v>12</v>
      </c>
      <c r="D17" s="36">
        <v>14.97</v>
      </c>
      <c r="F17" s="18" t="s">
        <v>5</v>
      </c>
      <c r="G17" s="15" t="s">
        <v>9</v>
      </c>
      <c r="H17" s="25" t="s">
        <v>11</v>
      </c>
      <c r="I17" s="21" t="s">
        <v>14</v>
      </c>
      <c r="K17" s="14">
        <f t="shared" si="2"/>
        <v>1E-3</v>
      </c>
      <c r="L17" s="51" t="s">
        <v>22</v>
      </c>
      <c r="M17" s="156">
        <v>4.0000000000000002E-4</v>
      </c>
      <c r="N17" s="154">
        <f>(1-((1-M17)^100))</f>
        <v>3.9218249182720433E-2</v>
      </c>
      <c r="O17" s="14">
        <f t="shared" si="0"/>
        <v>3.0000000000000001E-3</v>
      </c>
      <c r="P17" s="14">
        <f t="shared" si="1"/>
        <v>5.0000000000000001E-3</v>
      </c>
      <c r="Q17" s="168">
        <f t="shared" ca="1" si="3"/>
        <v>0</v>
      </c>
      <c r="R17" s="155">
        <f ca="1"/>
        <v>1E-3</v>
      </c>
      <c r="S17">
        <f ca="1"/>
        <v>14</v>
      </c>
      <c r="T17" s="13">
        <f ca="1"/>
        <v>30.12</v>
      </c>
      <c r="U17" s="50">
        <f t="shared" ca="1" si="4"/>
        <v>10.503335278386448</v>
      </c>
      <c r="BF17">
        <v>11.65</v>
      </c>
      <c r="BG17" s="28">
        <f t="shared" si="5"/>
        <v>22.975589326399536</v>
      </c>
      <c r="BH17" t="e">
        <f t="shared" si="6"/>
        <v>#N/A</v>
      </c>
      <c r="BI17" t="e">
        <f t="shared" si="7"/>
        <v>#N/A</v>
      </c>
      <c r="BJ17">
        <v>10</v>
      </c>
    </row>
    <row r="18" spans="1:62" x14ac:dyDescent="0.3">
      <c r="A18" t="s">
        <v>137</v>
      </c>
      <c r="C18">
        <v>15</v>
      </c>
      <c r="D18" s="36">
        <v>23.72</v>
      </c>
      <c r="F18" s="15">
        <v>12</v>
      </c>
      <c r="G18" s="22">
        <v>196</v>
      </c>
      <c r="H18" s="26">
        <v>23.677959183673476</v>
      </c>
      <c r="I18" s="27">
        <v>4.6858466791364659</v>
      </c>
      <c r="K18" s="14">
        <f t="shared" si="2"/>
        <v>1E-3</v>
      </c>
      <c r="L18" s="51" t="s">
        <v>23</v>
      </c>
      <c r="M18" s="157">
        <v>1E-4</v>
      </c>
      <c r="N18" s="154">
        <f>(1-((1-M18)^100))</f>
        <v>9.9506613086266515E-3</v>
      </c>
      <c r="O18" s="14">
        <f t="shared" si="0"/>
        <v>4.0000000000000002E-4</v>
      </c>
      <c r="P18" s="14">
        <f t="shared" si="1"/>
        <v>1.5E-3</v>
      </c>
      <c r="Q18" s="168">
        <f t="shared" ca="1" si="3"/>
        <v>0</v>
      </c>
      <c r="R18" s="155">
        <f ca="1"/>
        <v>1E-3</v>
      </c>
      <c r="S18">
        <f ca="1"/>
        <v>13</v>
      </c>
      <c r="T18" s="13">
        <f ca="1"/>
        <v>28.51</v>
      </c>
      <c r="U18" s="50">
        <f t="shared" ca="1" si="4"/>
        <v>10.503335278386448</v>
      </c>
      <c r="BF18">
        <v>11.66</v>
      </c>
      <c r="BG18" s="28">
        <f t="shared" si="5"/>
        <v>22.995845816178811</v>
      </c>
      <c r="BH18" t="e">
        <f t="shared" si="6"/>
        <v>#N/A</v>
      </c>
      <c r="BI18" t="e">
        <f t="shared" si="7"/>
        <v>#N/A</v>
      </c>
      <c r="BJ18">
        <v>10</v>
      </c>
    </row>
    <row r="19" spans="1:62" x14ac:dyDescent="0.3">
      <c r="A19" t="s">
        <v>138</v>
      </c>
      <c r="C19">
        <v>15</v>
      </c>
      <c r="D19" s="36">
        <v>33.94</v>
      </c>
      <c r="F19" s="19">
        <v>13</v>
      </c>
      <c r="G19" s="23">
        <v>195</v>
      </c>
      <c r="H19" s="28">
        <v>25.981948717948715</v>
      </c>
      <c r="I19" s="29">
        <v>4.6606168071416523</v>
      </c>
      <c r="K19" s="14">
        <f t="shared" si="2"/>
        <v>1E-3</v>
      </c>
      <c r="L19" s="51"/>
      <c r="M19" s="158"/>
      <c r="N19" s="51"/>
      <c r="O19" s="14">
        <f t="shared" si="0"/>
        <v>4.0000000000000002E-4</v>
      </c>
      <c r="P19" s="14">
        <f t="shared" si="1"/>
        <v>1E-4</v>
      </c>
      <c r="Q19" s="168">
        <f t="shared" ca="1" si="3"/>
        <v>0</v>
      </c>
      <c r="R19" s="155">
        <f ca="1"/>
        <v>1E-3</v>
      </c>
      <c r="S19">
        <f ca="1"/>
        <v>15</v>
      </c>
      <c r="T19" s="13">
        <f ca="1"/>
        <v>26.63</v>
      </c>
      <c r="U19" s="50">
        <f t="shared" ca="1" si="4"/>
        <v>10.503335278386448</v>
      </c>
      <c r="BF19">
        <v>11.67</v>
      </c>
      <c r="BG19" s="28">
        <f t="shared" si="5"/>
        <v>23.016102305958089</v>
      </c>
      <c r="BH19" t="e">
        <f t="shared" si="6"/>
        <v>#N/A</v>
      </c>
      <c r="BI19" t="e">
        <f t="shared" si="7"/>
        <v>#N/A</v>
      </c>
      <c r="BJ19">
        <v>10</v>
      </c>
    </row>
    <row r="20" spans="1:62" x14ac:dyDescent="0.3">
      <c r="C20">
        <v>14</v>
      </c>
      <c r="D20" s="36">
        <v>38.06</v>
      </c>
      <c r="F20" s="19">
        <v>14</v>
      </c>
      <c r="G20" s="23">
        <v>204</v>
      </c>
      <c r="H20" s="28">
        <v>27.63196078431374</v>
      </c>
      <c r="I20" s="29">
        <v>5.1508390786499838</v>
      </c>
      <c r="K20" s="14">
        <f t="shared" si="2"/>
        <v>1E-3</v>
      </c>
      <c r="L20" s="51" t="s">
        <v>93</v>
      </c>
      <c r="M20" s="159">
        <f>SUM(P2:P1001)</f>
        <v>0.99999999999999722</v>
      </c>
      <c r="N20" s="159"/>
      <c r="O20" s="14">
        <f t="shared" si="0"/>
        <v>4.7156372549026095E-4</v>
      </c>
      <c r="P20" s="14">
        <f t="shared" si="1"/>
        <v>1E-4</v>
      </c>
      <c r="Q20" s="168">
        <f t="shared" ca="1" si="3"/>
        <v>0</v>
      </c>
      <c r="R20" s="155">
        <f ca="1"/>
        <v>1E-3</v>
      </c>
      <c r="S20">
        <f ca="1"/>
        <v>14</v>
      </c>
      <c r="T20" s="13">
        <f ca="1"/>
        <v>26.13</v>
      </c>
      <c r="U20" s="50">
        <f t="shared" ca="1" si="4"/>
        <v>10.503335278386448</v>
      </c>
      <c r="BF20">
        <v>11.68</v>
      </c>
      <c r="BG20" s="28">
        <f t="shared" si="5"/>
        <v>23.036358795737367</v>
      </c>
      <c r="BH20" t="e">
        <f t="shared" si="6"/>
        <v>#N/A</v>
      </c>
      <c r="BI20" t="e">
        <f t="shared" si="7"/>
        <v>#N/A</v>
      </c>
      <c r="BJ20">
        <v>10</v>
      </c>
    </row>
    <row r="21" spans="1:62" x14ac:dyDescent="0.3">
      <c r="C21">
        <v>12</v>
      </c>
      <c r="D21" s="36">
        <v>25.14</v>
      </c>
      <c r="F21" s="19">
        <v>15</v>
      </c>
      <c r="G21" s="23">
        <v>199</v>
      </c>
      <c r="H21" s="28">
        <v>29.201758793969866</v>
      </c>
      <c r="I21" s="29">
        <v>5.1541903157688669</v>
      </c>
      <c r="K21" s="14">
        <f t="shared" si="2"/>
        <v>1E-3</v>
      </c>
      <c r="L21" s="14"/>
      <c r="O21" s="14">
        <f t="shared" si="0"/>
        <v>3.0000000000000001E-3</v>
      </c>
      <c r="P21" s="14">
        <f t="shared" si="1"/>
        <v>7.8587786259546764E-4</v>
      </c>
      <c r="Q21" s="168">
        <f t="shared" ca="1" si="3"/>
        <v>0</v>
      </c>
      <c r="R21" s="155">
        <f ca="1"/>
        <v>1E-3</v>
      </c>
      <c r="S21">
        <f ca="1"/>
        <v>14</v>
      </c>
      <c r="T21" s="13">
        <f ca="1"/>
        <v>20.010000000000002</v>
      </c>
      <c r="U21" s="50">
        <f t="shared" ca="1" si="4"/>
        <v>10.503335278386448</v>
      </c>
      <c r="BF21">
        <v>11.69</v>
      </c>
      <c r="BG21" s="28">
        <f t="shared" si="5"/>
        <v>23.056615285516642</v>
      </c>
      <c r="BH21" t="e">
        <f t="shared" si="6"/>
        <v>#N/A</v>
      </c>
      <c r="BI21" t="e">
        <f t="shared" si="7"/>
        <v>#N/A</v>
      </c>
      <c r="BJ21">
        <v>10</v>
      </c>
    </row>
    <row r="22" spans="1:62" x14ac:dyDescent="0.3">
      <c r="C22">
        <v>13</v>
      </c>
      <c r="D22" s="36">
        <v>17.059999999999999</v>
      </c>
      <c r="F22" s="19">
        <v>16</v>
      </c>
      <c r="G22" s="23">
        <v>206</v>
      </c>
      <c r="H22" s="28">
        <v>32.179854368932055</v>
      </c>
      <c r="I22" s="29">
        <v>4.7856974898365037</v>
      </c>
      <c r="K22" s="14">
        <f t="shared" si="2"/>
        <v>1E-3</v>
      </c>
      <c r="L22" s="14"/>
      <c r="O22" s="14">
        <f t="shared" si="0"/>
        <v>1E-3</v>
      </c>
      <c r="P22" s="14">
        <f t="shared" si="1"/>
        <v>5.0000000000000001E-3</v>
      </c>
      <c r="Q22" s="168">
        <f t="shared" ca="1" si="3"/>
        <v>0</v>
      </c>
      <c r="R22" s="155">
        <f ca="1"/>
        <v>1E-3</v>
      </c>
      <c r="S22">
        <f ca="1"/>
        <v>15</v>
      </c>
      <c r="T22" s="13">
        <f ca="1"/>
        <v>30.86</v>
      </c>
      <c r="U22" s="50">
        <f t="shared" ca="1" si="4"/>
        <v>10.503335278386448</v>
      </c>
      <c r="V22" s="12" t="s">
        <v>112</v>
      </c>
      <c r="BF22">
        <v>11.7</v>
      </c>
      <c r="BG22" s="28">
        <f t="shared" si="5"/>
        <v>23.07687177529592</v>
      </c>
      <c r="BH22" t="e">
        <f t="shared" si="6"/>
        <v>#N/A</v>
      </c>
      <c r="BI22" t="e">
        <f t="shared" si="7"/>
        <v>#N/A</v>
      </c>
      <c r="BJ22">
        <v>10</v>
      </c>
    </row>
    <row r="23" spans="1:62" x14ac:dyDescent="0.3">
      <c r="C23">
        <v>14</v>
      </c>
      <c r="D23" s="36">
        <v>27.47</v>
      </c>
      <c r="F23" s="20" t="s">
        <v>8</v>
      </c>
      <c r="G23" s="24">
        <v>1000</v>
      </c>
      <c r="H23" s="30">
        <v>27.784480000000006</v>
      </c>
      <c r="I23" s="31">
        <v>5.6814844301116034</v>
      </c>
      <c r="K23" s="14">
        <f t="shared" si="2"/>
        <v>1E-3</v>
      </c>
      <c r="L23" s="14"/>
      <c r="O23" s="14">
        <f t="shared" si="0"/>
        <v>4.7156372549026095E-4</v>
      </c>
      <c r="P23" s="14">
        <f t="shared" si="1"/>
        <v>7.8587786259546764E-4</v>
      </c>
      <c r="Q23" s="168">
        <f t="shared" ca="1" si="3"/>
        <v>0</v>
      </c>
      <c r="R23" s="155">
        <f ca="1"/>
        <v>1E-3</v>
      </c>
      <c r="S23">
        <f ca="1"/>
        <v>16</v>
      </c>
      <c r="T23" s="13">
        <f ca="1"/>
        <v>35.380000000000003</v>
      </c>
      <c r="U23" s="50">
        <f t="shared" ca="1" si="4"/>
        <v>10.503335278386448</v>
      </c>
      <c r="X23" s="169" t="s">
        <v>32</v>
      </c>
      <c r="Y23" s="170"/>
      <c r="BF23">
        <v>11.71</v>
      </c>
      <c r="BG23" s="28">
        <f t="shared" si="5"/>
        <v>23.097128265075202</v>
      </c>
      <c r="BH23" t="e">
        <f t="shared" si="6"/>
        <v>#N/A</v>
      </c>
      <c r="BI23" t="e">
        <f t="shared" si="7"/>
        <v>#N/A</v>
      </c>
      <c r="BJ23">
        <v>10</v>
      </c>
    </row>
    <row r="24" spans="1:62" x14ac:dyDescent="0.3">
      <c r="C24">
        <v>13</v>
      </c>
      <c r="D24" s="36">
        <v>27.46</v>
      </c>
      <c r="K24" s="14">
        <f t="shared" si="2"/>
        <v>1E-3</v>
      </c>
      <c r="L24" s="14"/>
      <c r="O24" s="14">
        <f t="shared" si="0"/>
        <v>1E-3</v>
      </c>
      <c r="P24" s="14">
        <f t="shared" si="1"/>
        <v>7.8587786259546764E-4</v>
      </c>
      <c r="Q24" s="168">
        <f t="shared" ca="1" si="3"/>
        <v>0</v>
      </c>
      <c r="R24" s="155">
        <f ca="1"/>
        <v>1E-3</v>
      </c>
      <c r="S24">
        <f ca="1"/>
        <v>15</v>
      </c>
      <c r="T24" s="13">
        <f ca="1"/>
        <v>27.9</v>
      </c>
      <c r="U24" s="50">
        <f t="shared" ca="1" si="4"/>
        <v>10.503335278386448</v>
      </c>
      <c r="X24" s="169" t="s">
        <v>5</v>
      </c>
      <c r="Y24" s="170" t="s">
        <v>31</v>
      </c>
      <c r="Z24" s="71" t="s">
        <v>89</v>
      </c>
      <c r="BF24">
        <v>11.72</v>
      </c>
      <c r="BG24" s="28">
        <f t="shared" si="5"/>
        <v>23.117384754854477</v>
      </c>
      <c r="BH24" t="e">
        <f t="shared" si="6"/>
        <v>#N/A</v>
      </c>
      <c r="BI24" t="e">
        <f t="shared" si="7"/>
        <v>#N/A</v>
      </c>
      <c r="BJ24">
        <v>10</v>
      </c>
    </row>
    <row r="25" spans="1:62" x14ac:dyDescent="0.3">
      <c r="C25">
        <v>16</v>
      </c>
      <c r="D25" s="36">
        <v>37.409999999999997</v>
      </c>
      <c r="K25" s="14">
        <f t="shared" si="2"/>
        <v>1E-3</v>
      </c>
      <c r="L25" s="14"/>
      <c r="O25" s="14">
        <f t="shared" si="0"/>
        <v>2.0000000000000001E-4</v>
      </c>
      <c r="P25" s="14">
        <f t="shared" si="1"/>
        <v>1E-4</v>
      </c>
      <c r="Q25" s="168">
        <f t="shared" ca="1" si="3"/>
        <v>0</v>
      </c>
      <c r="R25" s="155">
        <f ca="1"/>
        <v>1E-3</v>
      </c>
      <c r="S25">
        <f ca="1"/>
        <v>13</v>
      </c>
      <c r="T25" s="13">
        <f ca="1"/>
        <v>26.68</v>
      </c>
      <c r="U25" s="50">
        <f t="shared" ca="1" si="4"/>
        <v>10.503335278386448</v>
      </c>
      <c r="X25" s="171">
        <v>12</v>
      </c>
      <c r="Y25" s="172">
        <v>22</v>
      </c>
      <c r="Z25" s="68">
        <f t="shared" ref="Z25:Z30" si="8">Y25/G18</f>
        <v>0.11224489795918367</v>
      </c>
      <c r="AC25" t="s">
        <v>144</v>
      </c>
      <c r="BF25">
        <v>11.73</v>
      </c>
      <c r="BG25" s="28">
        <f t="shared" si="5"/>
        <v>23.137641244633755</v>
      </c>
      <c r="BH25" t="e">
        <f t="shared" si="6"/>
        <v>#N/A</v>
      </c>
      <c r="BI25" t="e">
        <f t="shared" si="7"/>
        <v>#N/A</v>
      </c>
      <c r="BJ25">
        <v>10</v>
      </c>
    </row>
    <row r="26" spans="1:62" x14ac:dyDescent="0.3">
      <c r="C26">
        <v>15</v>
      </c>
      <c r="D26" s="36">
        <v>31.47</v>
      </c>
      <c r="F26" t="s">
        <v>25</v>
      </c>
      <c r="G26" t="s">
        <v>26</v>
      </c>
      <c r="K26" s="14">
        <f t="shared" si="2"/>
        <v>1E-3</v>
      </c>
      <c r="L26" s="14"/>
      <c r="O26" s="14">
        <f t="shared" si="0"/>
        <v>4.0000000000000002E-4</v>
      </c>
      <c r="P26" s="14">
        <f t="shared" si="1"/>
        <v>4.0000000000000002E-4</v>
      </c>
      <c r="Q26" s="168">
        <f t="shared" ca="1" si="3"/>
        <v>0</v>
      </c>
      <c r="R26" s="155">
        <f ca="1"/>
        <v>1E-3</v>
      </c>
      <c r="S26">
        <f ca="1"/>
        <v>16</v>
      </c>
      <c r="T26" s="13">
        <f ca="1"/>
        <v>35.06</v>
      </c>
      <c r="U26" s="50">
        <f t="shared" ca="1" si="4"/>
        <v>10.503335278386448</v>
      </c>
      <c r="X26" s="173">
        <v>13</v>
      </c>
      <c r="Y26" s="174">
        <v>20</v>
      </c>
      <c r="Z26" s="68">
        <f t="shared" si="8"/>
        <v>0.10256410256410256</v>
      </c>
      <c r="AC26" t="s">
        <v>145</v>
      </c>
      <c r="BF26">
        <v>11.74</v>
      </c>
      <c r="BG26" s="28">
        <f t="shared" si="5"/>
        <v>23.157897734413034</v>
      </c>
      <c r="BH26" t="e">
        <f t="shared" si="6"/>
        <v>#N/A</v>
      </c>
      <c r="BI26" t="e">
        <f t="shared" si="7"/>
        <v>#N/A</v>
      </c>
      <c r="BJ26">
        <v>10</v>
      </c>
    </row>
    <row r="27" spans="1:62" x14ac:dyDescent="0.3">
      <c r="C27">
        <v>13</v>
      </c>
      <c r="D27" s="36">
        <v>27.01</v>
      </c>
      <c r="F27" t="s">
        <v>20</v>
      </c>
      <c r="G27">
        <f>COUNTIF($D$2:$D$1001,"&lt;20")</f>
        <v>81</v>
      </c>
      <c r="K27" s="14">
        <f t="shared" si="2"/>
        <v>1E-3</v>
      </c>
      <c r="L27" s="14"/>
      <c r="O27" s="14">
        <f t="shared" si="0"/>
        <v>1E-3</v>
      </c>
      <c r="P27" s="14">
        <f t="shared" si="1"/>
        <v>7.8587786259546764E-4</v>
      </c>
      <c r="Q27" s="168">
        <f t="shared" ca="1" si="3"/>
        <v>0</v>
      </c>
      <c r="R27" s="155">
        <f ca="1"/>
        <v>1E-3</v>
      </c>
      <c r="S27">
        <f ca="1"/>
        <v>16</v>
      </c>
      <c r="T27" s="13">
        <f ca="1"/>
        <v>34.020000000000003</v>
      </c>
      <c r="U27" s="50">
        <f t="shared" ca="1" si="4"/>
        <v>10.503335278386448</v>
      </c>
      <c r="X27" s="173">
        <v>14</v>
      </c>
      <c r="Y27" s="174">
        <v>18</v>
      </c>
      <c r="Z27" s="68">
        <f t="shared" si="8"/>
        <v>8.8235294117647065E-2</v>
      </c>
      <c r="AC27" t="s">
        <v>146</v>
      </c>
      <c r="BF27">
        <v>11.75</v>
      </c>
      <c r="BG27" s="28">
        <f t="shared" si="5"/>
        <v>23.178154224192308</v>
      </c>
      <c r="BH27" t="e">
        <f t="shared" si="6"/>
        <v>#N/A</v>
      </c>
      <c r="BI27" t="e">
        <f t="shared" si="7"/>
        <v>#N/A</v>
      </c>
      <c r="BJ27">
        <v>10</v>
      </c>
    </row>
    <row r="28" spans="1:62" x14ac:dyDescent="0.3">
      <c r="C28">
        <v>12</v>
      </c>
      <c r="D28" s="36">
        <v>14.19</v>
      </c>
      <c r="F28" t="s">
        <v>21</v>
      </c>
      <c r="G28">
        <f>COUNTIF($D$2:$D$1001,"&lt;24")-COUNTIF($D$2:$D$1001,"&lt;20")</f>
        <v>177</v>
      </c>
      <c r="K28" s="14">
        <f t="shared" si="2"/>
        <v>1E-3</v>
      </c>
      <c r="L28" s="14"/>
      <c r="O28" s="14">
        <f t="shared" si="0"/>
        <v>3.0000000000000001E-3</v>
      </c>
      <c r="P28" s="14">
        <f t="shared" si="1"/>
        <v>5.0000000000000001E-3</v>
      </c>
      <c r="Q28" s="168">
        <f t="shared" ca="1" si="3"/>
        <v>0</v>
      </c>
      <c r="R28" s="155">
        <f ca="1"/>
        <v>1E-3</v>
      </c>
      <c r="S28">
        <f ca="1"/>
        <v>16</v>
      </c>
      <c r="T28" s="13">
        <f ca="1"/>
        <v>37.4</v>
      </c>
      <c r="U28" s="50">
        <f t="shared" ca="1" si="4"/>
        <v>10.503335278386448</v>
      </c>
      <c r="X28" s="173">
        <v>15</v>
      </c>
      <c r="Y28" s="174">
        <v>17</v>
      </c>
      <c r="Z28" s="68">
        <f t="shared" si="8"/>
        <v>8.5427135678391955E-2</v>
      </c>
      <c r="BF28">
        <v>11.76</v>
      </c>
      <c r="BG28" s="28">
        <f t="shared" si="5"/>
        <v>23.198410713971587</v>
      </c>
      <c r="BH28" t="e">
        <f t="shared" si="6"/>
        <v>#N/A</v>
      </c>
      <c r="BI28" t="e">
        <f t="shared" si="7"/>
        <v>#N/A</v>
      </c>
      <c r="BJ28">
        <v>10</v>
      </c>
    </row>
    <row r="29" spans="1:62" x14ac:dyDescent="0.3">
      <c r="C29">
        <v>13</v>
      </c>
      <c r="D29" s="36">
        <v>35.840000000000003</v>
      </c>
      <c r="F29" t="s">
        <v>24</v>
      </c>
      <c r="G29">
        <f>COUNTIF($D$2:$D$1001,"&lt;28")-COUNTIF($D$2:$D$1001,"&lt;24")</f>
        <v>262</v>
      </c>
      <c r="K29" s="14">
        <f t="shared" si="2"/>
        <v>1E-3</v>
      </c>
      <c r="L29" s="14"/>
      <c r="O29" s="14">
        <f t="shared" si="0"/>
        <v>1E-3</v>
      </c>
      <c r="P29" s="14">
        <f t="shared" si="1"/>
        <v>1E-4</v>
      </c>
      <c r="Q29" s="168">
        <f t="shared" ca="1" si="3"/>
        <v>0</v>
      </c>
      <c r="R29" s="155">
        <f ca="1"/>
        <v>1E-3</v>
      </c>
      <c r="S29">
        <f ca="1"/>
        <v>14</v>
      </c>
      <c r="T29" s="13">
        <f ca="1"/>
        <v>29.77</v>
      </c>
      <c r="U29" s="50">
        <f t="shared" ca="1" si="4"/>
        <v>10.503335278386448</v>
      </c>
      <c r="X29" s="173">
        <v>16</v>
      </c>
      <c r="Y29" s="174">
        <v>23</v>
      </c>
      <c r="Z29" s="68">
        <f t="shared" si="8"/>
        <v>0.11165048543689321</v>
      </c>
      <c r="AA29">
        <v>1</v>
      </c>
      <c r="BF29">
        <v>11.77</v>
      </c>
      <c r="BG29" s="28">
        <f t="shared" si="5"/>
        <v>23.218667203750865</v>
      </c>
      <c r="BH29" t="e">
        <f t="shared" si="6"/>
        <v>#N/A</v>
      </c>
      <c r="BI29" t="e">
        <f t="shared" si="7"/>
        <v>#N/A</v>
      </c>
      <c r="BJ29">
        <v>10</v>
      </c>
    </row>
    <row r="30" spans="1:62" x14ac:dyDescent="0.3">
      <c r="C30">
        <v>13</v>
      </c>
      <c r="D30" s="36">
        <v>32.770000000000003</v>
      </c>
      <c r="F30" t="s">
        <v>22</v>
      </c>
      <c r="G30">
        <f>COUNTIF($D$2:$D$1001,"&lt;32")-COUNTIF($D$2:$D$1001,"&lt;28")</f>
        <v>252</v>
      </c>
      <c r="K30" s="14">
        <f t="shared" si="2"/>
        <v>1E-3</v>
      </c>
      <c r="L30" s="14"/>
      <c r="O30" s="14">
        <f t="shared" si="0"/>
        <v>1E-3</v>
      </c>
      <c r="P30" s="14">
        <f t="shared" si="1"/>
        <v>1E-4</v>
      </c>
      <c r="Q30" s="168">
        <f t="shared" ca="1" si="3"/>
        <v>0</v>
      </c>
      <c r="R30" s="155">
        <f ca="1"/>
        <v>1E-3</v>
      </c>
      <c r="S30">
        <f ca="1"/>
        <v>14</v>
      </c>
      <c r="T30" s="13">
        <f ca="1"/>
        <v>30.12</v>
      </c>
      <c r="U30" s="50">
        <f t="shared" ca="1" si="4"/>
        <v>10.503335278386448</v>
      </c>
      <c r="X30" s="175" t="s">
        <v>8</v>
      </c>
      <c r="Y30" s="176">
        <v>100</v>
      </c>
      <c r="Z30" s="69">
        <f t="shared" si="8"/>
        <v>0.1</v>
      </c>
      <c r="BF30">
        <v>11.78</v>
      </c>
      <c r="BG30" s="28">
        <f t="shared" si="5"/>
        <v>23.23892369353014</v>
      </c>
      <c r="BH30" t="e">
        <f t="shared" si="6"/>
        <v>#N/A</v>
      </c>
      <c r="BI30" t="e">
        <f t="shared" si="7"/>
        <v>#N/A</v>
      </c>
      <c r="BJ30">
        <v>10</v>
      </c>
    </row>
    <row r="31" spans="1:62" ht="15" thickBot="1" x14ac:dyDescent="0.35">
      <c r="C31">
        <v>12</v>
      </c>
      <c r="D31" s="36">
        <v>20.53</v>
      </c>
      <c r="F31" t="s">
        <v>23</v>
      </c>
      <c r="G31" s="37">
        <f>COUNTIF($D$2:$D$1001,"&gt;=32")</f>
        <v>228</v>
      </c>
      <c r="K31" s="14">
        <f t="shared" si="2"/>
        <v>1E-3</v>
      </c>
      <c r="L31" s="14"/>
      <c r="O31" s="14">
        <f t="shared" si="0"/>
        <v>3.0000000000000001E-3</v>
      </c>
      <c r="P31" s="14">
        <f t="shared" si="1"/>
        <v>1.5E-3</v>
      </c>
      <c r="Q31" s="168">
        <f t="shared" ca="1" si="3"/>
        <v>0</v>
      </c>
      <c r="R31" s="155">
        <f ca="1"/>
        <v>1E-3</v>
      </c>
      <c r="S31">
        <f ca="1"/>
        <v>16</v>
      </c>
      <c r="T31" s="13">
        <f ca="1"/>
        <v>34.72</v>
      </c>
      <c r="U31" s="50">
        <f t="shared" ca="1" si="4"/>
        <v>10.503335278386448</v>
      </c>
      <c r="BF31">
        <v>11.79</v>
      </c>
      <c r="BG31" s="28">
        <f t="shared" si="5"/>
        <v>23.259180183309418</v>
      </c>
      <c r="BH31" t="e">
        <f t="shared" si="6"/>
        <v>#N/A</v>
      </c>
      <c r="BI31" t="e">
        <f t="shared" si="7"/>
        <v>#N/A</v>
      </c>
      <c r="BJ31">
        <v>10</v>
      </c>
    </row>
    <row r="32" spans="1:62" ht="15" thickTop="1" x14ac:dyDescent="0.3">
      <c r="C32">
        <v>12</v>
      </c>
      <c r="D32" s="36">
        <v>16.329999999999998</v>
      </c>
      <c r="G32">
        <f>SUM(G27:G31)</f>
        <v>1000</v>
      </c>
      <c r="K32" s="14">
        <f t="shared" si="2"/>
        <v>1E-3</v>
      </c>
      <c r="L32" s="14"/>
      <c r="O32" s="14">
        <f t="shared" si="0"/>
        <v>3.0000000000000001E-3</v>
      </c>
      <c r="P32" s="14">
        <f t="shared" si="1"/>
        <v>5.0000000000000001E-3</v>
      </c>
      <c r="Q32" s="168">
        <f t="shared" ca="1" si="3"/>
        <v>0</v>
      </c>
      <c r="R32" s="155">
        <f ca="1"/>
        <v>1E-3</v>
      </c>
      <c r="S32">
        <f ca="1"/>
        <v>15</v>
      </c>
      <c r="T32" s="13">
        <f ca="1"/>
        <v>30.54</v>
      </c>
      <c r="U32" s="50">
        <f t="shared" ca="1" si="4"/>
        <v>10.503335278386448</v>
      </c>
      <c r="BF32">
        <v>11.8</v>
      </c>
      <c r="BG32" s="28">
        <f t="shared" si="5"/>
        <v>23.2794366730887</v>
      </c>
      <c r="BH32" t="e">
        <f t="shared" si="6"/>
        <v>#N/A</v>
      </c>
      <c r="BI32" t="e">
        <f t="shared" si="7"/>
        <v>#N/A</v>
      </c>
      <c r="BJ32">
        <v>10</v>
      </c>
    </row>
    <row r="33" spans="3:62" x14ac:dyDescent="0.3">
      <c r="C33">
        <v>14</v>
      </c>
      <c r="D33" s="36">
        <v>34.76</v>
      </c>
      <c r="K33" s="14">
        <f t="shared" si="2"/>
        <v>1E-3</v>
      </c>
      <c r="L33" s="14"/>
      <c r="O33" s="14">
        <f t="shared" si="0"/>
        <v>4.7156372549026095E-4</v>
      </c>
      <c r="P33" s="14">
        <f t="shared" si="1"/>
        <v>1E-4</v>
      </c>
      <c r="Q33" s="168">
        <f t="shared" ca="1" si="3"/>
        <v>0</v>
      </c>
      <c r="R33" s="155">
        <f ca="1"/>
        <v>1E-3</v>
      </c>
      <c r="S33">
        <f ca="1"/>
        <v>13</v>
      </c>
      <c r="T33" s="13">
        <f ca="1"/>
        <v>33.89</v>
      </c>
      <c r="U33" s="50">
        <f t="shared" ca="1" si="4"/>
        <v>10.503335278386448</v>
      </c>
      <c r="BF33">
        <v>11.81</v>
      </c>
      <c r="BG33" s="28">
        <f t="shared" si="5"/>
        <v>23.299693162867975</v>
      </c>
      <c r="BH33" t="e">
        <f t="shared" si="6"/>
        <v>#N/A</v>
      </c>
      <c r="BI33" t="e">
        <f t="shared" si="7"/>
        <v>#N/A</v>
      </c>
      <c r="BJ33">
        <v>10</v>
      </c>
    </row>
    <row r="34" spans="3:62" x14ac:dyDescent="0.3">
      <c r="C34">
        <v>13</v>
      </c>
      <c r="D34" s="36">
        <v>25.09</v>
      </c>
      <c r="K34" s="14">
        <f t="shared" si="2"/>
        <v>1E-3</v>
      </c>
      <c r="L34" s="14"/>
      <c r="O34" s="14">
        <f t="shared" si="0"/>
        <v>1E-3</v>
      </c>
      <c r="P34" s="14">
        <f t="shared" si="1"/>
        <v>7.8587786259546764E-4</v>
      </c>
      <c r="Q34" s="168">
        <f t="shared" ca="1" si="3"/>
        <v>0</v>
      </c>
      <c r="R34" s="155">
        <f ca="1"/>
        <v>1E-3</v>
      </c>
      <c r="S34">
        <f ca="1"/>
        <v>15</v>
      </c>
      <c r="T34" s="13">
        <f ca="1"/>
        <v>21.93</v>
      </c>
      <c r="U34" s="50">
        <f t="shared" ca="1" si="4"/>
        <v>10.503335278386448</v>
      </c>
      <c r="BF34">
        <v>11.82</v>
      </c>
      <c r="BG34" s="28">
        <f t="shared" si="5"/>
        <v>23.319949652647253</v>
      </c>
      <c r="BH34" t="e">
        <f t="shared" si="6"/>
        <v>#N/A</v>
      </c>
      <c r="BI34" t="e">
        <f t="shared" si="7"/>
        <v>#N/A</v>
      </c>
      <c r="BJ34">
        <v>10</v>
      </c>
    </row>
    <row r="35" spans="3:62" x14ac:dyDescent="0.3">
      <c r="C35">
        <v>13</v>
      </c>
      <c r="D35" s="36">
        <v>29.97</v>
      </c>
      <c r="K35" s="14">
        <f t="shared" si="2"/>
        <v>1E-3</v>
      </c>
      <c r="L35" s="14"/>
      <c r="O35" s="14">
        <f t="shared" si="0"/>
        <v>1E-3</v>
      </c>
      <c r="P35" s="14">
        <f t="shared" si="1"/>
        <v>4.0000000000000002E-4</v>
      </c>
      <c r="Q35" s="168">
        <f t="shared" ca="1" si="3"/>
        <v>0</v>
      </c>
      <c r="R35" s="155">
        <f ca="1"/>
        <v>1E-3</v>
      </c>
      <c r="S35">
        <f ca="1"/>
        <v>12</v>
      </c>
      <c r="T35" s="13">
        <f ca="1"/>
        <v>29.06</v>
      </c>
      <c r="U35" s="50">
        <f t="shared" ca="1" si="4"/>
        <v>10.503335278386448</v>
      </c>
      <c r="BF35">
        <v>11.83</v>
      </c>
      <c r="BG35" s="28">
        <f t="shared" si="5"/>
        <v>23.340206142426531</v>
      </c>
      <c r="BH35" t="e">
        <f t="shared" si="6"/>
        <v>#N/A</v>
      </c>
      <c r="BI35" t="e">
        <f t="shared" si="7"/>
        <v>#N/A</v>
      </c>
      <c r="BJ35">
        <v>10</v>
      </c>
    </row>
    <row r="36" spans="3:62" x14ac:dyDescent="0.3">
      <c r="C36">
        <v>15</v>
      </c>
      <c r="D36" s="36">
        <v>29.89</v>
      </c>
      <c r="K36" s="14">
        <f t="shared" si="2"/>
        <v>1E-3</v>
      </c>
      <c r="L36" s="14"/>
      <c r="O36" s="14">
        <f t="shared" si="0"/>
        <v>4.0000000000000002E-4</v>
      </c>
      <c r="P36" s="14">
        <f t="shared" si="1"/>
        <v>4.0000000000000002E-4</v>
      </c>
      <c r="Q36" s="168">
        <f t="shared" ca="1" si="3"/>
        <v>0</v>
      </c>
      <c r="R36" s="155">
        <f ca="1"/>
        <v>1E-3</v>
      </c>
      <c r="S36">
        <f ca="1"/>
        <v>16</v>
      </c>
      <c r="T36" s="13">
        <f ca="1"/>
        <v>35.270000000000003</v>
      </c>
      <c r="U36" s="50">
        <f t="shared" ca="1" si="4"/>
        <v>10.503335278386448</v>
      </c>
      <c r="BF36">
        <v>11.84</v>
      </c>
      <c r="BG36" s="28">
        <f t="shared" si="5"/>
        <v>23.360462632205806</v>
      </c>
      <c r="BH36" t="e">
        <f t="shared" si="6"/>
        <v>#N/A</v>
      </c>
      <c r="BI36" t="e">
        <f t="shared" si="7"/>
        <v>#N/A</v>
      </c>
      <c r="BJ36">
        <v>10</v>
      </c>
    </row>
    <row r="37" spans="3:62" x14ac:dyDescent="0.3">
      <c r="C37">
        <v>12</v>
      </c>
      <c r="D37" s="36">
        <v>21.62</v>
      </c>
      <c r="K37" s="14">
        <f t="shared" si="2"/>
        <v>1E-3</v>
      </c>
      <c r="L37" s="14"/>
      <c r="O37" s="14">
        <f t="shared" si="0"/>
        <v>3.0000000000000001E-3</v>
      </c>
      <c r="P37" s="14">
        <f t="shared" si="1"/>
        <v>1.5E-3</v>
      </c>
      <c r="Q37" s="168">
        <f t="shared" ca="1" si="3"/>
        <v>0</v>
      </c>
      <c r="R37" s="155">
        <f ca="1"/>
        <v>1E-3</v>
      </c>
      <c r="S37">
        <f ca="1"/>
        <v>12</v>
      </c>
      <c r="T37" s="13">
        <f ca="1"/>
        <v>15.96</v>
      </c>
      <c r="U37" s="50">
        <f t="shared" ca="1" si="4"/>
        <v>10.503335278386448</v>
      </c>
      <c r="BF37">
        <v>11.85</v>
      </c>
      <c r="BG37" s="28">
        <f t="shared" si="5"/>
        <v>23.380719121985084</v>
      </c>
      <c r="BH37" t="e">
        <f t="shared" si="6"/>
        <v>#N/A</v>
      </c>
      <c r="BI37" t="e">
        <f t="shared" si="7"/>
        <v>#N/A</v>
      </c>
      <c r="BJ37">
        <v>10</v>
      </c>
    </row>
    <row r="38" spans="3:62" x14ac:dyDescent="0.3">
      <c r="C38">
        <v>16</v>
      </c>
      <c r="D38" s="36">
        <v>29.89</v>
      </c>
      <c r="K38" s="14">
        <f t="shared" si="2"/>
        <v>1E-3</v>
      </c>
      <c r="L38" s="14"/>
      <c r="O38" s="14">
        <f t="shared" si="0"/>
        <v>2.0000000000000001E-4</v>
      </c>
      <c r="P38" s="14">
        <f t="shared" si="1"/>
        <v>4.0000000000000002E-4</v>
      </c>
      <c r="Q38" s="168">
        <f t="shared" ca="1" si="3"/>
        <v>0</v>
      </c>
      <c r="R38" s="155">
        <f ca="1"/>
        <v>1E-3</v>
      </c>
      <c r="S38">
        <f ca="1"/>
        <v>12</v>
      </c>
      <c r="T38" s="13">
        <f ca="1"/>
        <v>14.36</v>
      </c>
      <c r="U38" s="50">
        <f t="shared" ca="1" si="4"/>
        <v>10.503335278386448</v>
      </c>
      <c r="BF38">
        <v>11.86</v>
      </c>
      <c r="BG38" s="28">
        <f t="shared" si="5"/>
        <v>23.400975611764363</v>
      </c>
      <c r="BH38" t="e">
        <f t="shared" si="6"/>
        <v>#N/A</v>
      </c>
      <c r="BI38" t="e">
        <f t="shared" si="7"/>
        <v>#N/A</v>
      </c>
      <c r="BJ38">
        <v>10</v>
      </c>
    </row>
    <row r="39" spans="3:62" x14ac:dyDescent="0.3">
      <c r="C39">
        <v>14</v>
      </c>
      <c r="D39" s="36">
        <v>19.2</v>
      </c>
      <c r="K39" s="14">
        <f t="shared" si="2"/>
        <v>1E-3</v>
      </c>
      <c r="L39" s="14"/>
      <c r="O39" s="14">
        <f t="shared" si="0"/>
        <v>4.7156372549026095E-4</v>
      </c>
      <c r="P39" s="14">
        <f t="shared" si="1"/>
        <v>5.0000000000000001E-3</v>
      </c>
      <c r="Q39" s="168">
        <f t="shared" ca="1" si="3"/>
        <v>0</v>
      </c>
      <c r="R39" s="155">
        <f ca="1"/>
        <v>1E-3</v>
      </c>
      <c r="S39">
        <f ca="1"/>
        <v>16</v>
      </c>
      <c r="T39" s="13">
        <f ca="1"/>
        <v>31.5</v>
      </c>
      <c r="U39" s="50">
        <f t="shared" ca="1" si="4"/>
        <v>10.503335278386448</v>
      </c>
      <c r="BF39">
        <v>11.87</v>
      </c>
      <c r="BG39" s="28">
        <f t="shared" si="5"/>
        <v>23.421232101543637</v>
      </c>
      <c r="BH39" t="e">
        <f t="shared" si="6"/>
        <v>#N/A</v>
      </c>
      <c r="BI39" t="e">
        <f t="shared" si="7"/>
        <v>#N/A</v>
      </c>
      <c r="BJ39">
        <v>10</v>
      </c>
    </row>
    <row r="40" spans="3:62" x14ac:dyDescent="0.3">
      <c r="C40">
        <v>14</v>
      </c>
      <c r="D40" s="36">
        <v>26.99</v>
      </c>
      <c r="K40" s="14">
        <f t="shared" si="2"/>
        <v>1E-3</v>
      </c>
      <c r="L40" s="14"/>
      <c r="O40" s="14">
        <f t="shared" si="0"/>
        <v>4.7156372549026095E-4</v>
      </c>
      <c r="P40" s="14">
        <f t="shared" si="1"/>
        <v>7.8587786259546764E-4</v>
      </c>
      <c r="Q40" s="168">
        <f t="shared" ca="1" si="3"/>
        <v>0</v>
      </c>
      <c r="R40" s="155">
        <f ca="1"/>
        <v>1E-3</v>
      </c>
      <c r="S40">
        <f ca="1"/>
        <v>15</v>
      </c>
      <c r="T40" s="13">
        <f ca="1"/>
        <v>33.29</v>
      </c>
      <c r="U40" s="50">
        <f t="shared" ca="1" si="4"/>
        <v>10.503335278386448</v>
      </c>
      <c r="BF40">
        <v>11.88</v>
      </c>
      <c r="BG40" s="28">
        <f t="shared" si="5"/>
        <v>23.441488591322919</v>
      </c>
      <c r="BH40" t="e">
        <f t="shared" si="6"/>
        <v>#N/A</v>
      </c>
      <c r="BI40" t="e">
        <f t="shared" si="7"/>
        <v>#N/A</v>
      </c>
      <c r="BJ40">
        <v>10</v>
      </c>
    </row>
    <row r="41" spans="3:62" x14ac:dyDescent="0.3">
      <c r="C41">
        <v>16</v>
      </c>
      <c r="D41" s="36">
        <v>33.200000000000003</v>
      </c>
      <c r="K41" s="14">
        <f t="shared" si="2"/>
        <v>1E-3</v>
      </c>
      <c r="L41" s="14"/>
      <c r="O41" s="14">
        <f t="shared" si="0"/>
        <v>2.0000000000000001E-4</v>
      </c>
      <c r="P41" s="14">
        <f t="shared" si="1"/>
        <v>1E-4</v>
      </c>
      <c r="Q41" s="168">
        <f t="shared" ca="1" si="3"/>
        <v>0</v>
      </c>
      <c r="R41" s="155">
        <f ca="1"/>
        <v>1E-3</v>
      </c>
      <c r="S41">
        <f ca="1"/>
        <v>14</v>
      </c>
      <c r="T41" s="13">
        <f ca="1"/>
        <v>29.65</v>
      </c>
      <c r="U41" s="50">
        <f t="shared" ca="1" si="4"/>
        <v>10.503335278386448</v>
      </c>
      <c r="BF41">
        <v>11.89</v>
      </c>
      <c r="BG41" s="28">
        <f t="shared" si="5"/>
        <v>23.461745081102197</v>
      </c>
      <c r="BH41" t="e">
        <f t="shared" si="6"/>
        <v>#N/A</v>
      </c>
      <c r="BI41" t="e">
        <f t="shared" si="7"/>
        <v>#N/A</v>
      </c>
      <c r="BJ41">
        <v>10</v>
      </c>
    </row>
    <row r="42" spans="3:62" x14ac:dyDescent="0.3">
      <c r="C42">
        <v>12</v>
      </c>
      <c r="D42" s="36">
        <v>14.36</v>
      </c>
      <c r="K42" s="14">
        <f t="shared" si="2"/>
        <v>1E-3</v>
      </c>
      <c r="L42" s="14"/>
      <c r="O42" s="14">
        <f t="shared" si="0"/>
        <v>3.0000000000000001E-3</v>
      </c>
      <c r="P42" s="14">
        <f t="shared" si="1"/>
        <v>5.0000000000000001E-3</v>
      </c>
      <c r="Q42" s="168">
        <f t="shared" ca="1" si="3"/>
        <v>0</v>
      </c>
      <c r="R42" s="155">
        <f ca="1"/>
        <v>1E-3</v>
      </c>
      <c r="S42">
        <f ca="1"/>
        <v>16</v>
      </c>
      <c r="T42" s="13">
        <f ca="1"/>
        <v>39.44</v>
      </c>
      <c r="U42" s="50">
        <f t="shared" ca="1" si="4"/>
        <v>10.503335278386448</v>
      </c>
      <c r="BF42">
        <v>11.9</v>
      </c>
      <c r="BG42" s="28">
        <f t="shared" si="5"/>
        <v>23.482001570881472</v>
      </c>
      <c r="BH42" t="e">
        <f t="shared" si="6"/>
        <v>#N/A</v>
      </c>
      <c r="BI42" t="e">
        <f t="shared" si="7"/>
        <v>#N/A</v>
      </c>
      <c r="BJ42">
        <v>10</v>
      </c>
    </row>
    <row r="43" spans="3:62" x14ac:dyDescent="0.3">
      <c r="C43">
        <v>16</v>
      </c>
      <c r="D43" s="36">
        <v>23.09</v>
      </c>
      <c r="K43" s="14">
        <f t="shared" si="2"/>
        <v>1E-3</v>
      </c>
      <c r="L43" s="14"/>
      <c r="O43" s="14">
        <f t="shared" si="0"/>
        <v>2.0000000000000001E-4</v>
      </c>
      <c r="P43" s="14">
        <f t="shared" si="1"/>
        <v>1.5E-3</v>
      </c>
      <c r="Q43" s="168">
        <f t="shared" ca="1" si="3"/>
        <v>0</v>
      </c>
      <c r="R43" s="155">
        <f ca="1"/>
        <v>1E-3</v>
      </c>
      <c r="S43">
        <f ca="1"/>
        <v>12</v>
      </c>
      <c r="T43" s="13">
        <f ca="1"/>
        <v>19.2</v>
      </c>
      <c r="U43" s="50">
        <f t="shared" ca="1" si="4"/>
        <v>10.503335278386448</v>
      </c>
      <c r="BF43">
        <v>11.91</v>
      </c>
      <c r="BG43" s="28">
        <f t="shared" si="5"/>
        <v>23.502258060660751</v>
      </c>
      <c r="BH43" t="e">
        <f t="shared" si="6"/>
        <v>#N/A</v>
      </c>
      <c r="BI43" t="e">
        <f t="shared" si="7"/>
        <v>#N/A</v>
      </c>
      <c r="BJ43">
        <v>10</v>
      </c>
    </row>
    <row r="44" spans="3:62" x14ac:dyDescent="0.3">
      <c r="C44">
        <v>13</v>
      </c>
      <c r="D44" s="36">
        <v>29.49</v>
      </c>
      <c r="K44" s="14">
        <f t="shared" si="2"/>
        <v>1E-3</v>
      </c>
      <c r="L44" s="14"/>
      <c r="O44" s="14">
        <f t="shared" si="0"/>
        <v>1E-3</v>
      </c>
      <c r="P44" s="14">
        <f t="shared" si="1"/>
        <v>4.0000000000000002E-4</v>
      </c>
      <c r="Q44" s="168">
        <f t="shared" ca="1" si="3"/>
        <v>0</v>
      </c>
      <c r="R44" s="155">
        <f ca="1"/>
        <v>1E-3</v>
      </c>
      <c r="S44">
        <f ca="1"/>
        <v>12</v>
      </c>
      <c r="T44" s="13">
        <f ca="1"/>
        <v>24.47</v>
      </c>
      <c r="U44" s="50">
        <f t="shared" ca="1" si="4"/>
        <v>10.503335278386448</v>
      </c>
      <c r="BF44">
        <v>11.92</v>
      </c>
      <c r="BG44" s="28">
        <f t="shared" si="5"/>
        <v>23.522514550440029</v>
      </c>
      <c r="BH44" t="e">
        <f t="shared" si="6"/>
        <v>#N/A</v>
      </c>
      <c r="BI44" t="e">
        <f t="shared" si="7"/>
        <v>#N/A</v>
      </c>
      <c r="BJ44">
        <v>10</v>
      </c>
    </row>
    <row r="45" spans="3:62" x14ac:dyDescent="0.3">
      <c r="C45">
        <v>15</v>
      </c>
      <c r="D45" s="36">
        <v>28.23</v>
      </c>
      <c r="K45" s="14">
        <f t="shared" si="2"/>
        <v>1E-3</v>
      </c>
      <c r="L45" s="14"/>
      <c r="O45" s="14">
        <f t="shared" si="0"/>
        <v>4.0000000000000002E-4</v>
      </c>
      <c r="P45" s="14">
        <f t="shared" si="1"/>
        <v>4.0000000000000002E-4</v>
      </c>
      <c r="Q45" s="168">
        <f t="shared" ca="1" si="3"/>
        <v>0</v>
      </c>
      <c r="R45" s="155">
        <f ca="1"/>
        <v>1E-3</v>
      </c>
      <c r="S45">
        <f ca="1"/>
        <v>14</v>
      </c>
      <c r="T45" s="13">
        <f ca="1"/>
        <v>30.8</v>
      </c>
      <c r="U45" s="50">
        <f t="shared" ca="1" si="4"/>
        <v>10.503335278386448</v>
      </c>
      <c r="BF45">
        <v>11.93</v>
      </c>
      <c r="BG45" s="28">
        <f t="shared" si="5"/>
        <v>23.542771040219304</v>
      </c>
      <c r="BH45" t="e">
        <f t="shared" si="6"/>
        <v>#N/A</v>
      </c>
      <c r="BI45" t="e">
        <f t="shared" si="7"/>
        <v>#N/A</v>
      </c>
      <c r="BJ45">
        <v>10</v>
      </c>
    </row>
    <row r="46" spans="3:62" x14ac:dyDescent="0.3">
      <c r="C46">
        <v>14</v>
      </c>
      <c r="D46" s="36">
        <v>30</v>
      </c>
      <c r="K46" s="14">
        <f t="shared" si="2"/>
        <v>1E-3</v>
      </c>
      <c r="L46" s="14"/>
      <c r="O46" s="14">
        <f t="shared" si="0"/>
        <v>4.7156372549026095E-4</v>
      </c>
      <c r="P46" s="14">
        <f t="shared" si="1"/>
        <v>4.0000000000000002E-4</v>
      </c>
      <c r="Q46" s="168">
        <f t="shared" ca="1" si="3"/>
        <v>0</v>
      </c>
      <c r="R46" s="155">
        <f ca="1"/>
        <v>1E-3</v>
      </c>
      <c r="S46">
        <f ca="1"/>
        <v>13</v>
      </c>
      <c r="T46" s="13">
        <f ca="1"/>
        <v>35.840000000000003</v>
      </c>
      <c r="U46" s="50">
        <f t="shared" ca="1" si="4"/>
        <v>10.503335278386448</v>
      </c>
      <c r="BF46">
        <v>11.94</v>
      </c>
      <c r="BG46" s="28">
        <f t="shared" si="5"/>
        <v>23.563027529998582</v>
      </c>
      <c r="BH46" t="e">
        <f t="shared" si="6"/>
        <v>#N/A</v>
      </c>
      <c r="BI46" t="e">
        <f t="shared" si="7"/>
        <v>#N/A</v>
      </c>
      <c r="BJ46">
        <v>10</v>
      </c>
    </row>
    <row r="47" spans="3:62" x14ac:dyDescent="0.3">
      <c r="C47">
        <v>15</v>
      </c>
      <c r="D47" s="36">
        <v>26.92</v>
      </c>
      <c r="K47" s="14">
        <f t="shared" si="2"/>
        <v>1E-3</v>
      </c>
      <c r="L47" s="14"/>
      <c r="O47" s="14">
        <f t="shared" si="0"/>
        <v>4.0000000000000002E-4</v>
      </c>
      <c r="P47" s="14">
        <f t="shared" si="1"/>
        <v>7.8587786259546764E-4</v>
      </c>
      <c r="Q47" s="168">
        <f t="shared" ca="1" si="3"/>
        <v>0</v>
      </c>
      <c r="R47" s="155">
        <f ca="1"/>
        <v>1E-3</v>
      </c>
      <c r="S47">
        <f ca="1"/>
        <v>15</v>
      </c>
      <c r="T47" s="13">
        <f ca="1"/>
        <v>36.340000000000003</v>
      </c>
      <c r="U47" s="50">
        <f t="shared" ca="1" si="4"/>
        <v>10.503335278386448</v>
      </c>
      <c r="BF47">
        <v>11.95</v>
      </c>
      <c r="BG47" s="28">
        <f t="shared" si="5"/>
        <v>23.58328401977786</v>
      </c>
      <c r="BH47" t="e">
        <f t="shared" si="6"/>
        <v>#N/A</v>
      </c>
      <c r="BI47" t="e">
        <f t="shared" si="7"/>
        <v>#N/A</v>
      </c>
      <c r="BJ47">
        <v>10</v>
      </c>
    </row>
    <row r="48" spans="3:62" x14ac:dyDescent="0.3">
      <c r="C48">
        <v>14</v>
      </c>
      <c r="D48" s="36">
        <v>25.29</v>
      </c>
      <c r="K48" s="14">
        <f t="shared" si="2"/>
        <v>1E-3</v>
      </c>
      <c r="L48" s="14"/>
      <c r="O48" s="14">
        <f t="shared" si="0"/>
        <v>4.7156372549026095E-4</v>
      </c>
      <c r="P48" s="14">
        <f t="shared" si="1"/>
        <v>7.8587786259546764E-4</v>
      </c>
      <c r="Q48" s="168">
        <f t="shared" ca="1" si="3"/>
        <v>0</v>
      </c>
      <c r="R48" s="155">
        <f ca="1"/>
        <v>1E-3</v>
      </c>
      <c r="S48">
        <f ca="1"/>
        <v>12</v>
      </c>
      <c r="T48" s="13">
        <f ca="1"/>
        <v>27.64</v>
      </c>
      <c r="U48" s="50">
        <f t="shared" ca="1" si="4"/>
        <v>10.503335278386448</v>
      </c>
      <c r="BF48">
        <v>11.96</v>
      </c>
      <c r="BG48" s="28">
        <f t="shared" si="5"/>
        <v>23.603540509557138</v>
      </c>
      <c r="BH48" t="e">
        <f t="shared" si="6"/>
        <v>#N/A</v>
      </c>
      <c r="BI48" t="e">
        <f t="shared" si="7"/>
        <v>#N/A</v>
      </c>
      <c r="BJ48">
        <v>10</v>
      </c>
    </row>
    <row r="49" spans="3:62" x14ac:dyDescent="0.3">
      <c r="C49">
        <v>13</v>
      </c>
      <c r="D49" s="36">
        <v>23.32</v>
      </c>
      <c r="K49" s="14">
        <f t="shared" si="2"/>
        <v>1E-3</v>
      </c>
      <c r="L49" s="14"/>
      <c r="O49" s="14">
        <f t="shared" si="0"/>
        <v>1E-3</v>
      </c>
      <c r="P49" s="14">
        <f t="shared" si="1"/>
        <v>1.5E-3</v>
      </c>
      <c r="Q49" s="168">
        <f t="shared" ca="1" si="3"/>
        <v>0</v>
      </c>
      <c r="R49" s="155">
        <f ca="1"/>
        <v>1E-3</v>
      </c>
      <c r="S49">
        <f ca="1"/>
        <v>14</v>
      </c>
      <c r="T49" s="13">
        <f ca="1"/>
        <v>37.92</v>
      </c>
      <c r="U49" s="50">
        <f t="shared" ca="1" si="4"/>
        <v>10.503335278386448</v>
      </c>
      <c r="BF49">
        <v>11.97</v>
      </c>
      <c r="BG49" s="28">
        <f t="shared" si="5"/>
        <v>23.623796999336417</v>
      </c>
      <c r="BH49" t="e">
        <f t="shared" si="6"/>
        <v>#N/A</v>
      </c>
      <c r="BI49" t="e">
        <f t="shared" si="7"/>
        <v>#N/A</v>
      </c>
      <c r="BJ49">
        <v>10</v>
      </c>
    </row>
    <row r="50" spans="3:62" x14ac:dyDescent="0.3">
      <c r="C50">
        <v>15</v>
      </c>
      <c r="D50" s="36">
        <v>32</v>
      </c>
      <c r="K50" s="14">
        <f t="shared" si="2"/>
        <v>1E-3</v>
      </c>
      <c r="L50" s="14"/>
      <c r="O50" s="14">
        <f t="shared" si="0"/>
        <v>4.0000000000000002E-4</v>
      </c>
      <c r="P50" s="14">
        <f t="shared" si="1"/>
        <v>1E-4</v>
      </c>
      <c r="Q50" s="168">
        <f t="shared" ca="1" si="3"/>
        <v>0</v>
      </c>
      <c r="R50" s="155">
        <f ca="1"/>
        <v>1E-3</v>
      </c>
      <c r="S50">
        <f ca="1"/>
        <v>13</v>
      </c>
      <c r="T50" s="13">
        <f ca="1"/>
        <v>22.88</v>
      </c>
      <c r="U50" s="50">
        <f t="shared" ca="1" si="4"/>
        <v>10.503335278386448</v>
      </c>
      <c r="BF50">
        <v>11.98</v>
      </c>
      <c r="BG50" s="28">
        <f t="shared" si="5"/>
        <v>23.644053489115695</v>
      </c>
      <c r="BH50" t="e">
        <f t="shared" si="6"/>
        <v>#N/A</v>
      </c>
      <c r="BI50" t="e">
        <f t="shared" si="7"/>
        <v>#N/A</v>
      </c>
      <c r="BJ50">
        <v>10</v>
      </c>
    </row>
    <row r="51" spans="3:62" x14ac:dyDescent="0.3">
      <c r="C51">
        <v>16</v>
      </c>
      <c r="D51" s="36">
        <v>43.61</v>
      </c>
      <c r="K51" s="14">
        <f t="shared" si="2"/>
        <v>1E-3</v>
      </c>
      <c r="L51" s="14"/>
      <c r="O51" s="14">
        <f t="shared" si="0"/>
        <v>2.0000000000000001E-4</v>
      </c>
      <c r="P51" s="14">
        <f t="shared" si="1"/>
        <v>1E-4</v>
      </c>
      <c r="Q51" s="168">
        <f t="shared" ca="1" si="3"/>
        <v>0</v>
      </c>
      <c r="R51" s="155">
        <f ca="1"/>
        <v>1E-3</v>
      </c>
      <c r="S51">
        <f ca="1"/>
        <v>16</v>
      </c>
      <c r="T51" s="13">
        <f ca="1"/>
        <v>31.11</v>
      </c>
      <c r="U51" s="50">
        <f t="shared" ca="1" si="4"/>
        <v>10.503335278386448</v>
      </c>
      <c r="BF51">
        <v>11.99</v>
      </c>
      <c r="BG51" s="28">
        <f t="shared" si="5"/>
        <v>23.66430997889497</v>
      </c>
      <c r="BH51" t="e">
        <f t="shared" si="6"/>
        <v>#N/A</v>
      </c>
      <c r="BI51" t="e">
        <f t="shared" si="7"/>
        <v>#N/A</v>
      </c>
      <c r="BJ51">
        <v>10</v>
      </c>
    </row>
    <row r="52" spans="3:62" x14ac:dyDescent="0.3">
      <c r="C52">
        <v>13</v>
      </c>
      <c r="D52" s="36">
        <v>25.79</v>
      </c>
      <c r="K52" s="14">
        <f t="shared" si="2"/>
        <v>1E-3</v>
      </c>
      <c r="L52" s="14"/>
      <c r="O52" s="14">
        <f t="shared" si="0"/>
        <v>1E-3</v>
      </c>
      <c r="P52" s="14">
        <f t="shared" si="1"/>
        <v>7.8587786259546764E-4</v>
      </c>
      <c r="Q52" s="168">
        <f t="shared" ca="1" si="3"/>
        <v>0</v>
      </c>
      <c r="R52" s="155">
        <f ca="1"/>
        <v>1E-3</v>
      </c>
      <c r="S52">
        <f ca="1"/>
        <v>13</v>
      </c>
      <c r="T52" s="13">
        <f ca="1"/>
        <v>31.63</v>
      </c>
      <c r="U52" s="50">
        <f t="shared" ca="1" si="4"/>
        <v>10.503335278386448</v>
      </c>
      <c r="BF52">
        <v>12</v>
      </c>
      <c r="BG52" s="28">
        <f t="shared" si="5"/>
        <v>23.684566468674248</v>
      </c>
      <c r="BH52" t="e">
        <f t="shared" si="6"/>
        <v>#N/A</v>
      </c>
      <c r="BI52" t="e">
        <f t="shared" si="7"/>
        <v>#N/A</v>
      </c>
      <c r="BJ52">
        <v>10</v>
      </c>
    </row>
    <row r="53" spans="3:62" x14ac:dyDescent="0.3">
      <c r="C53">
        <v>16</v>
      </c>
      <c r="D53" s="36">
        <v>36.07</v>
      </c>
      <c r="K53" s="14">
        <f t="shared" si="2"/>
        <v>1E-3</v>
      </c>
      <c r="L53" s="14"/>
      <c r="O53" s="14">
        <f t="shared" si="0"/>
        <v>2.0000000000000001E-4</v>
      </c>
      <c r="P53" s="14">
        <f t="shared" si="1"/>
        <v>1E-4</v>
      </c>
      <c r="Q53" s="168">
        <f t="shared" ca="1" si="3"/>
        <v>0</v>
      </c>
      <c r="R53" s="155">
        <f ca="1"/>
        <v>1E-3</v>
      </c>
      <c r="S53">
        <f ca="1"/>
        <v>12</v>
      </c>
      <c r="T53" s="13">
        <f ca="1"/>
        <v>20.89</v>
      </c>
      <c r="U53" s="50">
        <f t="shared" ca="1" si="4"/>
        <v>10.503335278386448</v>
      </c>
      <c r="BF53">
        <v>12.01</v>
      </c>
      <c r="BG53" s="28">
        <f t="shared" si="5"/>
        <v>23.704822958453526</v>
      </c>
      <c r="BH53" t="e">
        <f t="shared" si="6"/>
        <v>#N/A</v>
      </c>
      <c r="BI53" t="e">
        <f t="shared" si="7"/>
        <v>#N/A</v>
      </c>
      <c r="BJ53">
        <v>10</v>
      </c>
    </row>
    <row r="54" spans="3:62" x14ac:dyDescent="0.3">
      <c r="C54">
        <v>14</v>
      </c>
      <c r="D54" s="36">
        <v>31.49</v>
      </c>
      <c r="K54" s="14">
        <f t="shared" si="2"/>
        <v>1E-3</v>
      </c>
      <c r="L54" s="14"/>
      <c r="O54" s="14">
        <f t="shared" si="0"/>
        <v>4.7156372549026095E-4</v>
      </c>
      <c r="P54" s="14">
        <f t="shared" si="1"/>
        <v>4.0000000000000002E-4</v>
      </c>
      <c r="Q54" s="168">
        <f t="shared" ca="1" si="3"/>
        <v>0</v>
      </c>
      <c r="R54" s="155">
        <f ca="1"/>
        <v>1E-3</v>
      </c>
      <c r="S54">
        <f ca="1"/>
        <v>15</v>
      </c>
      <c r="T54" s="13">
        <f ca="1"/>
        <v>35.49</v>
      </c>
      <c r="U54" s="50">
        <f t="shared" ca="1" si="4"/>
        <v>10.503335278386448</v>
      </c>
      <c r="BF54">
        <v>12.02</v>
      </c>
      <c r="BG54" s="28">
        <f t="shared" si="5"/>
        <v>23.725079448232801</v>
      </c>
      <c r="BH54" t="e">
        <f t="shared" si="6"/>
        <v>#N/A</v>
      </c>
      <c r="BI54" t="e">
        <f t="shared" si="7"/>
        <v>#N/A</v>
      </c>
      <c r="BJ54">
        <v>10</v>
      </c>
    </row>
    <row r="55" spans="3:62" x14ac:dyDescent="0.3">
      <c r="C55">
        <v>15</v>
      </c>
      <c r="D55" s="36">
        <v>32.619999999999997</v>
      </c>
      <c r="K55" s="14">
        <f t="shared" si="2"/>
        <v>1E-3</v>
      </c>
      <c r="L55" s="14"/>
      <c r="O55" s="14">
        <f t="shared" si="0"/>
        <v>4.0000000000000002E-4</v>
      </c>
      <c r="P55" s="14">
        <f t="shared" si="1"/>
        <v>1E-4</v>
      </c>
      <c r="Q55" s="168">
        <f t="shared" ca="1" si="3"/>
        <v>0</v>
      </c>
      <c r="R55" s="155">
        <f ca="1"/>
        <v>1E-3</v>
      </c>
      <c r="S55">
        <f ca="1"/>
        <v>14</v>
      </c>
      <c r="T55" s="13">
        <f ca="1"/>
        <v>26.68</v>
      </c>
      <c r="U55" s="50">
        <f t="shared" ca="1" si="4"/>
        <v>10.503335278386448</v>
      </c>
      <c r="BF55">
        <v>12.03</v>
      </c>
      <c r="BG55" s="28">
        <f t="shared" si="5"/>
        <v>23.745335938012079</v>
      </c>
      <c r="BH55" t="e">
        <f t="shared" si="6"/>
        <v>#N/A</v>
      </c>
      <c r="BI55" t="e">
        <f t="shared" si="7"/>
        <v>#N/A</v>
      </c>
      <c r="BJ55">
        <v>10</v>
      </c>
    </row>
    <row r="56" spans="3:62" x14ac:dyDescent="0.3">
      <c r="C56">
        <v>15</v>
      </c>
      <c r="D56" s="36">
        <v>31.81</v>
      </c>
      <c r="K56" s="14">
        <f t="shared" si="2"/>
        <v>1E-3</v>
      </c>
      <c r="L56" s="14"/>
      <c r="O56" s="14">
        <f t="shared" si="0"/>
        <v>4.0000000000000002E-4</v>
      </c>
      <c r="P56" s="14">
        <f t="shared" si="1"/>
        <v>4.0000000000000002E-4</v>
      </c>
      <c r="Q56" s="168">
        <f t="shared" ca="1" si="3"/>
        <v>0</v>
      </c>
      <c r="R56" s="155">
        <f ca="1"/>
        <v>1E-3</v>
      </c>
      <c r="S56">
        <f ca="1"/>
        <v>16</v>
      </c>
      <c r="T56" s="13">
        <f ca="1"/>
        <v>30.77</v>
      </c>
      <c r="U56" s="50">
        <f t="shared" ca="1" si="4"/>
        <v>10.503335278386448</v>
      </c>
      <c r="BF56">
        <v>12.04</v>
      </c>
      <c r="BG56" s="28">
        <f t="shared" si="5"/>
        <v>23.765592427791358</v>
      </c>
      <c r="BH56" t="e">
        <f t="shared" si="6"/>
        <v>#N/A</v>
      </c>
      <c r="BI56" t="e">
        <f t="shared" si="7"/>
        <v>#N/A</v>
      </c>
      <c r="BJ56">
        <v>10</v>
      </c>
    </row>
    <row r="57" spans="3:62" x14ac:dyDescent="0.3">
      <c r="C57">
        <v>12</v>
      </c>
      <c r="D57" s="36">
        <v>33.29</v>
      </c>
      <c r="K57" s="14">
        <f t="shared" si="2"/>
        <v>1E-3</v>
      </c>
      <c r="L57" s="14"/>
      <c r="O57" s="14">
        <f t="shared" si="0"/>
        <v>3.0000000000000001E-3</v>
      </c>
      <c r="P57" s="14">
        <f t="shared" si="1"/>
        <v>1E-4</v>
      </c>
      <c r="Q57" s="168">
        <f t="shared" ca="1" si="3"/>
        <v>0</v>
      </c>
      <c r="R57" s="155">
        <f ca="1"/>
        <v>1E-3</v>
      </c>
      <c r="S57">
        <f ca="1"/>
        <v>15</v>
      </c>
      <c r="T57" s="13">
        <f ca="1"/>
        <v>34.799999999999997</v>
      </c>
      <c r="U57" s="50">
        <f t="shared" ca="1" si="4"/>
        <v>10.503335278386448</v>
      </c>
      <c r="BF57">
        <v>12.05</v>
      </c>
      <c r="BG57" s="28">
        <f t="shared" si="5"/>
        <v>23.785848917570636</v>
      </c>
      <c r="BH57" t="e">
        <f t="shared" si="6"/>
        <v>#N/A</v>
      </c>
      <c r="BI57" t="e">
        <f t="shared" si="7"/>
        <v>#N/A</v>
      </c>
      <c r="BJ57">
        <v>10</v>
      </c>
    </row>
    <row r="58" spans="3:62" x14ac:dyDescent="0.3">
      <c r="C58">
        <v>13</v>
      </c>
      <c r="D58" s="36">
        <v>27.98</v>
      </c>
      <c r="K58" s="14">
        <f t="shared" si="2"/>
        <v>1E-3</v>
      </c>
      <c r="L58" s="14"/>
      <c r="O58" s="14">
        <f t="shared" si="0"/>
        <v>1E-3</v>
      </c>
      <c r="P58" s="14">
        <f t="shared" si="1"/>
        <v>7.8587786259546764E-4</v>
      </c>
      <c r="Q58" s="168">
        <f t="shared" ca="1" si="3"/>
        <v>0</v>
      </c>
      <c r="R58" s="155">
        <f ca="1"/>
        <v>1E-3</v>
      </c>
      <c r="S58">
        <f ca="1"/>
        <v>14</v>
      </c>
      <c r="T58" s="13">
        <f ca="1"/>
        <v>22.7</v>
      </c>
      <c r="U58" s="50">
        <f t="shared" ca="1" si="4"/>
        <v>10.503335278386448</v>
      </c>
      <c r="BF58">
        <v>12.06</v>
      </c>
      <c r="BG58" s="28">
        <f t="shared" si="5"/>
        <v>23.806105407349914</v>
      </c>
      <c r="BH58" t="e">
        <f t="shared" si="6"/>
        <v>#N/A</v>
      </c>
      <c r="BI58" t="e">
        <f t="shared" si="7"/>
        <v>#N/A</v>
      </c>
      <c r="BJ58">
        <v>10</v>
      </c>
    </row>
    <row r="59" spans="3:62" x14ac:dyDescent="0.3">
      <c r="C59">
        <v>13</v>
      </c>
      <c r="D59" s="36">
        <v>26.95</v>
      </c>
      <c r="K59" s="14">
        <f t="shared" si="2"/>
        <v>1E-3</v>
      </c>
      <c r="L59" s="14"/>
      <c r="O59" s="14">
        <f t="shared" si="0"/>
        <v>1E-3</v>
      </c>
      <c r="P59" s="14">
        <f t="shared" si="1"/>
        <v>7.8587786259546764E-4</v>
      </c>
      <c r="Q59" s="168">
        <f t="shared" ca="1" si="3"/>
        <v>0</v>
      </c>
      <c r="R59" s="155">
        <f ca="1"/>
        <v>1E-3</v>
      </c>
      <c r="S59">
        <f ca="1"/>
        <v>14</v>
      </c>
      <c r="T59" s="13">
        <f ca="1"/>
        <v>21.23</v>
      </c>
      <c r="U59" s="50">
        <f t="shared" ca="1" si="4"/>
        <v>10.503335278386448</v>
      </c>
      <c r="BF59">
        <v>12.07</v>
      </c>
      <c r="BG59" s="28">
        <f t="shared" si="5"/>
        <v>23.826361897129193</v>
      </c>
      <c r="BH59" t="e">
        <f t="shared" si="6"/>
        <v>#N/A</v>
      </c>
      <c r="BI59" t="e">
        <f t="shared" si="7"/>
        <v>#N/A</v>
      </c>
      <c r="BJ59">
        <v>10</v>
      </c>
    </row>
    <row r="60" spans="3:62" x14ac:dyDescent="0.3">
      <c r="C60">
        <v>14</v>
      </c>
      <c r="D60" s="36">
        <v>21.31</v>
      </c>
      <c r="K60" s="14">
        <f t="shared" si="2"/>
        <v>1E-3</v>
      </c>
      <c r="L60" s="14"/>
      <c r="O60" s="14">
        <f t="shared" si="0"/>
        <v>4.7156372549026095E-4</v>
      </c>
      <c r="P60" s="14">
        <f t="shared" si="1"/>
        <v>1.5E-3</v>
      </c>
      <c r="Q60" s="168">
        <f t="shared" ca="1" si="3"/>
        <v>0</v>
      </c>
      <c r="R60" s="155">
        <f ca="1"/>
        <v>1E-3</v>
      </c>
      <c r="S60">
        <f ca="1"/>
        <v>15</v>
      </c>
      <c r="T60" s="13">
        <f ca="1"/>
        <v>32</v>
      </c>
      <c r="U60" s="50">
        <f t="shared" ca="1" si="4"/>
        <v>10.503335278386448</v>
      </c>
      <c r="BF60">
        <v>12.08</v>
      </c>
      <c r="BG60" s="28">
        <f t="shared" si="5"/>
        <v>23.846618386908467</v>
      </c>
      <c r="BH60" t="e">
        <f t="shared" si="6"/>
        <v>#N/A</v>
      </c>
      <c r="BI60" t="e">
        <f t="shared" si="7"/>
        <v>#N/A</v>
      </c>
      <c r="BJ60">
        <v>10</v>
      </c>
    </row>
    <row r="61" spans="3:62" x14ac:dyDescent="0.3">
      <c r="C61">
        <v>12</v>
      </c>
      <c r="D61" s="36">
        <v>24.93</v>
      </c>
      <c r="K61" s="14">
        <f t="shared" si="2"/>
        <v>1E-3</v>
      </c>
      <c r="L61" s="14"/>
      <c r="O61" s="14">
        <f t="shared" si="0"/>
        <v>3.0000000000000001E-3</v>
      </c>
      <c r="P61" s="14">
        <f t="shared" si="1"/>
        <v>7.8587786259546764E-4</v>
      </c>
      <c r="Q61" s="168">
        <f t="shared" ca="1" si="3"/>
        <v>0</v>
      </c>
      <c r="R61" s="155">
        <f ca="1"/>
        <v>1E-3</v>
      </c>
      <c r="S61">
        <f ca="1"/>
        <v>14</v>
      </c>
      <c r="T61" s="13">
        <f ca="1"/>
        <v>26.21</v>
      </c>
      <c r="U61" s="50">
        <f t="shared" ca="1" si="4"/>
        <v>10.503335278386448</v>
      </c>
      <c r="BF61">
        <v>12.09</v>
      </c>
      <c r="BG61" s="28">
        <f t="shared" si="5"/>
        <v>23.866874876687746</v>
      </c>
      <c r="BH61" t="e">
        <f t="shared" si="6"/>
        <v>#N/A</v>
      </c>
      <c r="BI61" t="e">
        <f t="shared" si="7"/>
        <v>#N/A</v>
      </c>
      <c r="BJ61">
        <v>10</v>
      </c>
    </row>
    <row r="62" spans="3:62" x14ac:dyDescent="0.3">
      <c r="C62">
        <v>16</v>
      </c>
      <c r="D62" s="36">
        <v>30.73</v>
      </c>
      <c r="K62" s="14">
        <f t="shared" si="2"/>
        <v>1E-3</v>
      </c>
      <c r="L62" s="14"/>
      <c r="O62" s="14">
        <f t="shared" si="0"/>
        <v>2.0000000000000001E-4</v>
      </c>
      <c r="P62" s="14">
        <f t="shared" si="1"/>
        <v>4.0000000000000002E-4</v>
      </c>
      <c r="Q62" s="168">
        <f t="shared" ca="1" si="3"/>
        <v>0</v>
      </c>
      <c r="R62" s="155">
        <f ca="1"/>
        <v>1E-3</v>
      </c>
      <c r="S62">
        <f ca="1"/>
        <v>12</v>
      </c>
      <c r="T62" s="13">
        <f ca="1"/>
        <v>24.07</v>
      </c>
      <c r="U62" s="50">
        <f t="shared" ca="1" si="4"/>
        <v>10.503335278386448</v>
      </c>
      <c r="BF62">
        <v>12.1</v>
      </c>
      <c r="BG62" s="28">
        <f t="shared" si="5"/>
        <v>23.887131366467024</v>
      </c>
      <c r="BH62" t="e">
        <f t="shared" si="6"/>
        <v>#N/A</v>
      </c>
      <c r="BI62" t="e">
        <f t="shared" si="7"/>
        <v>#N/A</v>
      </c>
      <c r="BJ62">
        <v>10</v>
      </c>
    </row>
    <row r="63" spans="3:62" x14ac:dyDescent="0.3">
      <c r="C63">
        <v>12</v>
      </c>
      <c r="D63" s="36">
        <v>22.92</v>
      </c>
      <c r="K63" s="14">
        <f t="shared" si="2"/>
        <v>1E-3</v>
      </c>
      <c r="L63" s="14"/>
      <c r="O63" s="14">
        <f t="shared" si="0"/>
        <v>3.0000000000000001E-3</v>
      </c>
      <c r="P63" s="14">
        <f t="shared" si="1"/>
        <v>1.5E-3</v>
      </c>
      <c r="Q63" s="168">
        <f t="shared" ca="1" si="3"/>
        <v>0</v>
      </c>
      <c r="R63" s="155">
        <f ca="1"/>
        <v>1E-3</v>
      </c>
      <c r="S63">
        <f ca="1"/>
        <v>14</v>
      </c>
      <c r="T63" s="13">
        <f ca="1"/>
        <v>24.87</v>
      </c>
      <c r="U63" s="50">
        <f t="shared" ca="1" si="4"/>
        <v>10.503335278386448</v>
      </c>
      <c r="BF63">
        <v>12.11</v>
      </c>
      <c r="BG63" s="28">
        <f t="shared" si="5"/>
        <v>23.907387856246299</v>
      </c>
      <c r="BH63" t="e">
        <f t="shared" si="6"/>
        <v>#N/A</v>
      </c>
      <c r="BI63" t="e">
        <f t="shared" si="7"/>
        <v>#N/A</v>
      </c>
      <c r="BJ63">
        <v>10</v>
      </c>
    </row>
    <row r="64" spans="3:62" x14ac:dyDescent="0.3">
      <c r="C64">
        <v>12</v>
      </c>
      <c r="D64" s="36">
        <v>24.07</v>
      </c>
      <c r="K64" s="14">
        <f t="shared" si="2"/>
        <v>1E-3</v>
      </c>
      <c r="L64" s="14"/>
      <c r="O64" s="14">
        <f t="shared" si="0"/>
        <v>3.0000000000000001E-3</v>
      </c>
      <c r="P64" s="14">
        <f t="shared" si="1"/>
        <v>7.8587786259546764E-4</v>
      </c>
      <c r="Q64" s="168">
        <f t="shared" ca="1" si="3"/>
        <v>0</v>
      </c>
      <c r="R64" s="155">
        <f ca="1"/>
        <v>1E-3</v>
      </c>
      <c r="S64">
        <f ca="1"/>
        <v>14</v>
      </c>
      <c r="T64" s="13">
        <f ca="1"/>
        <v>38.99</v>
      </c>
      <c r="U64" s="50">
        <f t="shared" ca="1" si="4"/>
        <v>10.503335278386448</v>
      </c>
      <c r="BF64">
        <v>12.12</v>
      </c>
      <c r="BG64" s="28">
        <f t="shared" si="5"/>
        <v>23.927644346025577</v>
      </c>
      <c r="BH64" t="e">
        <f t="shared" si="6"/>
        <v>#N/A</v>
      </c>
      <c r="BI64" t="e">
        <f t="shared" si="7"/>
        <v>#N/A</v>
      </c>
      <c r="BJ64">
        <v>10</v>
      </c>
    </row>
    <row r="65" spans="3:62" x14ac:dyDescent="0.3">
      <c r="C65">
        <v>12</v>
      </c>
      <c r="D65" s="36">
        <v>23.21</v>
      </c>
      <c r="K65" s="14">
        <f t="shared" si="2"/>
        <v>1E-3</v>
      </c>
      <c r="L65" s="14"/>
      <c r="O65" s="14">
        <f t="shared" si="0"/>
        <v>3.0000000000000001E-3</v>
      </c>
      <c r="P65" s="14">
        <f t="shared" si="1"/>
        <v>1.5E-3</v>
      </c>
      <c r="Q65" s="168">
        <f t="shared" ca="1" si="3"/>
        <v>0</v>
      </c>
      <c r="R65" s="155">
        <f ca="1"/>
        <v>1E-3</v>
      </c>
      <c r="S65">
        <f ca="1"/>
        <v>12</v>
      </c>
      <c r="T65" s="13">
        <f ca="1"/>
        <v>28.99</v>
      </c>
      <c r="U65" s="50">
        <f t="shared" ca="1" si="4"/>
        <v>10.503335278386448</v>
      </c>
      <c r="BF65">
        <v>12.13</v>
      </c>
      <c r="BG65" s="28">
        <f t="shared" si="5"/>
        <v>23.947900835804859</v>
      </c>
      <c r="BH65" t="e">
        <f t="shared" si="6"/>
        <v>#N/A</v>
      </c>
      <c r="BI65" t="e">
        <f t="shared" si="7"/>
        <v>#N/A</v>
      </c>
      <c r="BJ65">
        <v>10</v>
      </c>
    </row>
    <row r="66" spans="3:62" x14ac:dyDescent="0.3">
      <c r="C66">
        <v>12</v>
      </c>
      <c r="D66" s="36">
        <v>17.09</v>
      </c>
      <c r="K66" s="14">
        <f t="shared" si="2"/>
        <v>1E-3</v>
      </c>
      <c r="L66" s="14"/>
      <c r="O66" s="14">
        <f t="shared" ref="O66:O129" si="9">IF(C66=12,$M$4,IF(C66=13,$M$5,IF(C66=14,$M$6,IF(C66=15,$M$7,$M$8))))</f>
        <v>3.0000000000000001E-3</v>
      </c>
      <c r="P66" s="14">
        <f t="shared" ref="P66:P129" si="10">IF(D66&lt;20,$M$14,IF(D66&lt;24,$M$15,IF(D66&lt;28,$M$16,IF(D66&lt;32,$M$17,$M$18))))</f>
        <v>5.0000000000000001E-3</v>
      </c>
      <c r="Q66" s="168">
        <f t="shared" ca="1" si="3"/>
        <v>0</v>
      </c>
      <c r="R66" s="155">
        <f ca="1"/>
        <v>1E-3</v>
      </c>
      <c r="S66">
        <f ca="1"/>
        <v>15</v>
      </c>
      <c r="T66" s="13">
        <f ca="1"/>
        <v>33.43</v>
      </c>
      <c r="U66" s="50">
        <f t="shared" ca="1" si="4"/>
        <v>10.503335278386448</v>
      </c>
      <c r="BF66">
        <v>12.14</v>
      </c>
      <c r="BG66" s="28">
        <f t="shared" si="5"/>
        <v>23.968157325584134</v>
      </c>
      <c r="BH66" t="e">
        <f t="shared" si="6"/>
        <v>#N/A</v>
      </c>
      <c r="BI66" t="e">
        <f t="shared" si="7"/>
        <v>#N/A</v>
      </c>
      <c r="BJ66">
        <v>10</v>
      </c>
    </row>
    <row r="67" spans="3:62" x14ac:dyDescent="0.3">
      <c r="C67">
        <v>13</v>
      </c>
      <c r="D67" s="36">
        <v>29.94</v>
      </c>
      <c r="K67" s="14">
        <f t="shared" ref="K67:K130" si="11">1/1000</f>
        <v>1E-3</v>
      </c>
      <c r="L67" s="14"/>
      <c r="O67" s="14">
        <f t="shared" si="9"/>
        <v>1E-3</v>
      </c>
      <c r="P67" s="14">
        <f t="shared" si="10"/>
        <v>4.0000000000000002E-4</v>
      </c>
      <c r="Q67" s="168">
        <f t="shared" ref="Q67:Q101" ca="1" si="12">IF(AND(S67=12,T67=7.97),1,0)</f>
        <v>0</v>
      </c>
      <c r="R67" s="155">
        <f ca="1"/>
        <v>1E-3</v>
      </c>
      <c r="S67">
        <f ca="1"/>
        <v>12</v>
      </c>
      <c r="T67" s="13">
        <f ca="1"/>
        <v>23.45</v>
      </c>
      <c r="U67" s="50">
        <f t="shared" ref="U67:U101" ca="1" si="13">1/(1-((1-R67)^100))</f>
        <v>10.503335278386448</v>
      </c>
      <c r="BF67">
        <v>12.15</v>
      </c>
      <c r="BG67" s="28">
        <f t="shared" ref="BG67:BG130" si="14">$I$8+$I$10*BF67</f>
        <v>23.988413815363412</v>
      </c>
      <c r="BH67" t="e">
        <f t="shared" ref="BH67:BH130" si="15">IF($AD$9=1,$W$3+$V$3*BF67,#N/A)</f>
        <v>#N/A</v>
      </c>
      <c r="BI67" t="e">
        <f t="shared" ref="BI67:BI130" si="16">IF($AD$12=1,$AA$3+$Z$3*BF67,#N/A)</f>
        <v>#N/A</v>
      </c>
      <c r="BJ67">
        <v>10</v>
      </c>
    </row>
    <row r="68" spans="3:62" x14ac:dyDescent="0.3">
      <c r="C68">
        <v>16</v>
      </c>
      <c r="D68" s="36">
        <v>36.700000000000003</v>
      </c>
      <c r="K68" s="14">
        <f t="shared" si="11"/>
        <v>1E-3</v>
      </c>
      <c r="L68" s="14"/>
      <c r="O68" s="14">
        <f t="shared" si="9"/>
        <v>2.0000000000000001E-4</v>
      </c>
      <c r="P68" s="14">
        <f t="shared" si="10"/>
        <v>1E-4</v>
      </c>
      <c r="Q68" s="168">
        <f t="shared" ca="1" si="12"/>
        <v>0</v>
      </c>
      <c r="R68" s="155">
        <f ca="1"/>
        <v>1E-3</v>
      </c>
      <c r="S68">
        <f ca="1"/>
        <v>14</v>
      </c>
      <c r="T68" s="13">
        <f ca="1"/>
        <v>32.770000000000003</v>
      </c>
      <c r="U68" s="50">
        <f t="shared" ca="1" si="13"/>
        <v>10.503335278386448</v>
      </c>
      <c r="BF68">
        <v>12.16</v>
      </c>
      <c r="BG68" s="28">
        <f t="shared" si="14"/>
        <v>24.00867030514269</v>
      </c>
      <c r="BH68" t="e">
        <f t="shared" si="15"/>
        <v>#N/A</v>
      </c>
      <c r="BI68" t="e">
        <f t="shared" si="16"/>
        <v>#N/A</v>
      </c>
      <c r="BJ68">
        <v>10</v>
      </c>
    </row>
    <row r="69" spans="3:62" x14ac:dyDescent="0.3">
      <c r="C69">
        <v>12</v>
      </c>
      <c r="D69" s="36">
        <v>23.49</v>
      </c>
      <c r="K69" s="14">
        <f t="shared" si="11"/>
        <v>1E-3</v>
      </c>
      <c r="L69" s="14"/>
      <c r="O69" s="14">
        <f t="shared" si="9"/>
        <v>3.0000000000000001E-3</v>
      </c>
      <c r="P69" s="14">
        <f t="shared" si="10"/>
        <v>1.5E-3</v>
      </c>
      <c r="Q69" s="168">
        <f t="shared" ca="1" si="12"/>
        <v>0</v>
      </c>
      <c r="R69" s="155">
        <f ca="1"/>
        <v>1E-3</v>
      </c>
      <c r="S69">
        <f ca="1"/>
        <v>13</v>
      </c>
      <c r="T69" s="13">
        <f ca="1"/>
        <v>22.04</v>
      </c>
      <c r="U69" s="50">
        <f t="shared" ca="1" si="13"/>
        <v>10.503335278386448</v>
      </c>
      <c r="BF69">
        <v>12.17</v>
      </c>
      <c r="BG69" s="28">
        <f t="shared" si="14"/>
        <v>24.028926794921965</v>
      </c>
      <c r="BH69" t="e">
        <f t="shared" si="15"/>
        <v>#N/A</v>
      </c>
      <c r="BI69" t="e">
        <f t="shared" si="16"/>
        <v>#N/A</v>
      </c>
      <c r="BJ69">
        <v>10</v>
      </c>
    </row>
    <row r="70" spans="3:62" x14ac:dyDescent="0.3">
      <c r="C70">
        <v>12</v>
      </c>
      <c r="D70" s="36">
        <v>34.71</v>
      </c>
      <c r="K70" s="14">
        <f t="shared" si="11"/>
        <v>1E-3</v>
      </c>
      <c r="L70" s="14"/>
      <c r="O70" s="14">
        <f t="shared" si="9"/>
        <v>3.0000000000000001E-3</v>
      </c>
      <c r="P70" s="14">
        <f t="shared" si="10"/>
        <v>1E-4</v>
      </c>
      <c r="Q70" s="168">
        <f t="shared" ca="1" si="12"/>
        <v>0</v>
      </c>
      <c r="R70" s="155">
        <f ca="1"/>
        <v>1E-3</v>
      </c>
      <c r="S70">
        <f ca="1"/>
        <v>16</v>
      </c>
      <c r="T70" s="13">
        <f ca="1"/>
        <v>33.200000000000003</v>
      </c>
      <c r="U70" s="50">
        <f t="shared" ca="1" si="13"/>
        <v>10.503335278386448</v>
      </c>
      <c r="BF70">
        <v>12.18</v>
      </c>
      <c r="BG70" s="28">
        <f t="shared" si="14"/>
        <v>24.049183284701243</v>
      </c>
      <c r="BH70" t="e">
        <f t="shared" si="15"/>
        <v>#N/A</v>
      </c>
      <c r="BI70" t="e">
        <f t="shared" si="16"/>
        <v>#N/A</v>
      </c>
      <c r="BJ70">
        <v>10</v>
      </c>
    </row>
    <row r="71" spans="3:62" x14ac:dyDescent="0.3">
      <c r="C71">
        <v>13</v>
      </c>
      <c r="D71" s="36">
        <v>28.5</v>
      </c>
      <c r="K71" s="14">
        <f t="shared" si="11"/>
        <v>1E-3</v>
      </c>
      <c r="L71" s="14"/>
      <c r="O71" s="14">
        <f t="shared" si="9"/>
        <v>1E-3</v>
      </c>
      <c r="P71" s="14">
        <f t="shared" si="10"/>
        <v>4.0000000000000002E-4</v>
      </c>
      <c r="Q71" s="168">
        <f t="shared" ca="1" si="12"/>
        <v>0</v>
      </c>
      <c r="R71" s="155">
        <f ca="1"/>
        <v>1E-3</v>
      </c>
      <c r="S71">
        <f ca="1"/>
        <v>14</v>
      </c>
      <c r="T71" s="13">
        <f ca="1"/>
        <v>30.52</v>
      </c>
      <c r="U71" s="50">
        <f t="shared" ca="1" si="13"/>
        <v>10.503335278386448</v>
      </c>
      <c r="BF71">
        <v>12.19</v>
      </c>
      <c r="BG71" s="28">
        <f t="shared" si="14"/>
        <v>24.069439774480522</v>
      </c>
      <c r="BH71" t="e">
        <f t="shared" si="15"/>
        <v>#N/A</v>
      </c>
      <c r="BI71" t="e">
        <f t="shared" si="16"/>
        <v>#N/A</v>
      </c>
      <c r="BJ71">
        <v>10</v>
      </c>
    </row>
    <row r="72" spans="3:62" x14ac:dyDescent="0.3">
      <c r="C72">
        <v>14</v>
      </c>
      <c r="D72" s="36">
        <v>30.46</v>
      </c>
      <c r="K72" s="14">
        <f t="shared" si="11"/>
        <v>1E-3</v>
      </c>
      <c r="L72" s="14"/>
      <c r="O72" s="14">
        <f t="shared" si="9"/>
        <v>4.7156372549026095E-4</v>
      </c>
      <c r="P72" s="14">
        <f t="shared" si="10"/>
        <v>4.0000000000000002E-4</v>
      </c>
      <c r="Q72" s="168">
        <f t="shared" ca="1" si="12"/>
        <v>0</v>
      </c>
      <c r="R72" s="155">
        <f ca="1"/>
        <v>1E-3</v>
      </c>
      <c r="S72">
        <f ca="1"/>
        <v>15</v>
      </c>
      <c r="T72" s="13">
        <f ca="1"/>
        <v>34.840000000000003</v>
      </c>
      <c r="U72" s="50">
        <f t="shared" ca="1" si="13"/>
        <v>10.503335278386448</v>
      </c>
      <c r="BF72">
        <v>12.2</v>
      </c>
      <c r="BG72" s="28">
        <f t="shared" si="14"/>
        <v>24.089696264259796</v>
      </c>
      <c r="BH72" t="e">
        <f t="shared" si="15"/>
        <v>#N/A</v>
      </c>
      <c r="BI72" t="e">
        <f t="shared" si="16"/>
        <v>#N/A</v>
      </c>
      <c r="BJ72">
        <v>10</v>
      </c>
    </row>
    <row r="73" spans="3:62" x14ac:dyDescent="0.3">
      <c r="C73">
        <v>16</v>
      </c>
      <c r="D73" s="36">
        <v>27.47</v>
      </c>
      <c r="K73" s="14">
        <f t="shared" si="11"/>
        <v>1E-3</v>
      </c>
      <c r="L73" s="14"/>
      <c r="O73" s="14">
        <f t="shared" si="9"/>
        <v>2.0000000000000001E-4</v>
      </c>
      <c r="P73" s="14">
        <f t="shared" si="10"/>
        <v>7.8587786259546764E-4</v>
      </c>
      <c r="Q73" s="168">
        <f t="shared" ca="1" si="12"/>
        <v>0</v>
      </c>
      <c r="R73" s="155">
        <f ca="1"/>
        <v>1E-3</v>
      </c>
      <c r="S73">
        <f ca="1"/>
        <v>15</v>
      </c>
      <c r="T73" s="13">
        <f ca="1"/>
        <v>38.08</v>
      </c>
      <c r="U73" s="50">
        <f t="shared" ca="1" si="13"/>
        <v>10.503335278386448</v>
      </c>
      <c r="BF73">
        <v>12.21</v>
      </c>
      <c r="BG73" s="28">
        <f t="shared" si="14"/>
        <v>24.109952754039078</v>
      </c>
      <c r="BH73" t="e">
        <f t="shared" si="15"/>
        <v>#N/A</v>
      </c>
      <c r="BI73" t="e">
        <f t="shared" si="16"/>
        <v>#N/A</v>
      </c>
      <c r="BJ73">
        <v>10</v>
      </c>
    </row>
    <row r="74" spans="3:62" x14ac:dyDescent="0.3">
      <c r="C74">
        <v>15</v>
      </c>
      <c r="D74" s="36">
        <v>26.74</v>
      </c>
      <c r="K74" s="14">
        <f t="shared" si="11"/>
        <v>1E-3</v>
      </c>
      <c r="L74" s="14"/>
      <c r="O74" s="14">
        <f t="shared" si="9"/>
        <v>4.0000000000000002E-4</v>
      </c>
      <c r="P74" s="14">
        <f t="shared" si="10"/>
        <v>7.8587786259546764E-4</v>
      </c>
      <c r="Q74" s="168">
        <f t="shared" ca="1" si="12"/>
        <v>0</v>
      </c>
      <c r="R74" s="155">
        <f ca="1"/>
        <v>1E-3</v>
      </c>
      <c r="S74">
        <f ca="1"/>
        <v>15</v>
      </c>
      <c r="T74" s="13">
        <f ca="1"/>
        <v>39.299999999999997</v>
      </c>
      <c r="U74" s="50">
        <f t="shared" ca="1" si="13"/>
        <v>10.503335278386448</v>
      </c>
      <c r="BF74">
        <v>12.22</v>
      </c>
      <c r="BG74" s="28">
        <f t="shared" si="14"/>
        <v>24.130209243818356</v>
      </c>
      <c r="BH74" t="e">
        <f t="shared" si="15"/>
        <v>#N/A</v>
      </c>
      <c r="BI74" t="e">
        <f t="shared" si="16"/>
        <v>#N/A</v>
      </c>
      <c r="BJ74">
        <v>10</v>
      </c>
    </row>
    <row r="75" spans="3:62" x14ac:dyDescent="0.3">
      <c r="C75">
        <v>14</v>
      </c>
      <c r="D75" s="36">
        <v>18.27</v>
      </c>
      <c r="K75" s="14">
        <f t="shared" si="11"/>
        <v>1E-3</v>
      </c>
      <c r="L75" s="14"/>
      <c r="O75" s="14">
        <f t="shared" si="9"/>
        <v>4.7156372549026095E-4</v>
      </c>
      <c r="P75" s="14">
        <f t="shared" si="10"/>
        <v>5.0000000000000001E-3</v>
      </c>
      <c r="Q75" s="168">
        <f t="shared" ca="1" si="12"/>
        <v>0</v>
      </c>
      <c r="R75" s="155">
        <f ca="1"/>
        <v>1E-3</v>
      </c>
      <c r="S75">
        <f ca="1"/>
        <v>14</v>
      </c>
      <c r="T75" s="13">
        <f ca="1"/>
        <v>29.21</v>
      </c>
      <c r="U75" s="50">
        <f t="shared" ca="1" si="13"/>
        <v>10.503335278386448</v>
      </c>
      <c r="BF75">
        <v>12.23</v>
      </c>
      <c r="BG75" s="28">
        <f t="shared" si="14"/>
        <v>24.150465733597631</v>
      </c>
      <c r="BH75" t="e">
        <f t="shared" si="15"/>
        <v>#N/A</v>
      </c>
      <c r="BI75" t="e">
        <f t="shared" si="16"/>
        <v>#N/A</v>
      </c>
      <c r="BJ75">
        <v>10</v>
      </c>
    </row>
    <row r="76" spans="3:62" x14ac:dyDescent="0.3">
      <c r="C76">
        <v>15</v>
      </c>
      <c r="D76" s="36">
        <v>27.9</v>
      </c>
      <c r="K76" s="14">
        <f t="shared" si="11"/>
        <v>1E-3</v>
      </c>
      <c r="L76" s="14"/>
      <c r="O76" s="14">
        <f t="shared" si="9"/>
        <v>4.0000000000000002E-4</v>
      </c>
      <c r="P76" s="14">
        <f t="shared" si="10"/>
        <v>7.8587786259546764E-4</v>
      </c>
      <c r="Q76" s="168">
        <f t="shared" ca="1" si="12"/>
        <v>0</v>
      </c>
      <c r="R76" s="155">
        <f ca="1"/>
        <v>1E-3</v>
      </c>
      <c r="S76">
        <f ca="1"/>
        <v>12</v>
      </c>
      <c r="T76" s="13">
        <f ca="1"/>
        <v>19.09</v>
      </c>
      <c r="U76" s="50">
        <f t="shared" ca="1" si="13"/>
        <v>10.503335278386448</v>
      </c>
      <c r="BF76">
        <v>12.24</v>
      </c>
      <c r="BG76" s="28">
        <f t="shared" si="14"/>
        <v>24.170722223376909</v>
      </c>
      <c r="BH76" t="e">
        <f t="shared" si="15"/>
        <v>#N/A</v>
      </c>
      <c r="BI76" t="e">
        <f t="shared" si="16"/>
        <v>#N/A</v>
      </c>
      <c r="BJ76">
        <v>10</v>
      </c>
    </row>
    <row r="77" spans="3:62" x14ac:dyDescent="0.3">
      <c r="C77">
        <v>13</v>
      </c>
      <c r="D77" s="36">
        <v>27.62</v>
      </c>
      <c r="K77" s="14">
        <f t="shared" si="11"/>
        <v>1E-3</v>
      </c>
      <c r="L77" s="14"/>
      <c r="O77" s="14">
        <f t="shared" si="9"/>
        <v>1E-3</v>
      </c>
      <c r="P77" s="14">
        <f t="shared" si="10"/>
        <v>7.8587786259546764E-4</v>
      </c>
      <c r="Q77" s="168">
        <f t="shared" ca="1" si="12"/>
        <v>0</v>
      </c>
      <c r="R77" s="155">
        <f ca="1"/>
        <v>1E-3</v>
      </c>
      <c r="S77">
        <f ca="1"/>
        <v>15</v>
      </c>
      <c r="T77" s="13">
        <f ca="1"/>
        <v>30.14</v>
      </c>
      <c r="U77" s="50">
        <f t="shared" ca="1" si="13"/>
        <v>10.503335278386448</v>
      </c>
      <c r="BF77">
        <v>12.25</v>
      </c>
      <c r="BG77" s="28">
        <f t="shared" si="14"/>
        <v>24.190978713156188</v>
      </c>
      <c r="BH77" t="e">
        <f t="shared" si="15"/>
        <v>#N/A</v>
      </c>
      <c r="BI77" t="e">
        <f t="shared" si="16"/>
        <v>#N/A</v>
      </c>
      <c r="BJ77">
        <v>10</v>
      </c>
    </row>
    <row r="78" spans="3:62" x14ac:dyDescent="0.3">
      <c r="C78">
        <v>13</v>
      </c>
      <c r="D78" s="36">
        <v>27.31</v>
      </c>
      <c r="K78" s="14">
        <f t="shared" si="11"/>
        <v>1E-3</v>
      </c>
      <c r="L78" s="14"/>
      <c r="O78" s="14">
        <f t="shared" si="9"/>
        <v>1E-3</v>
      </c>
      <c r="P78" s="14">
        <f t="shared" si="10"/>
        <v>7.8587786259546764E-4</v>
      </c>
      <c r="Q78" s="168">
        <f t="shared" ca="1" si="12"/>
        <v>0</v>
      </c>
      <c r="R78" s="155">
        <f ca="1"/>
        <v>1E-3</v>
      </c>
      <c r="S78">
        <f ca="1"/>
        <v>16</v>
      </c>
      <c r="T78" s="13">
        <f ca="1"/>
        <v>27.54</v>
      </c>
      <c r="U78" s="50">
        <f t="shared" ca="1" si="13"/>
        <v>10.503335278386448</v>
      </c>
      <c r="BF78">
        <v>12.26</v>
      </c>
      <c r="BG78" s="28">
        <f t="shared" si="14"/>
        <v>24.211235202935462</v>
      </c>
      <c r="BH78" t="e">
        <f t="shared" si="15"/>
        <v>#N/A</v>
      </c>
      <c r="BI78" t="e">
        <f t="shared" si="16"/>
        <v>#N/A</v>
      </c>
      <c r="BJ78">
        <v>10</v>
      </c>
    </row>
    <row r="79" spans="3:62" x14ac:dyDescent="0.3">
      <c r="C79">
        <v>12</v>
      </c>
      <c r="D79" s="36">
        <v>22.3</v>
      </c>
      <c r="K79" s="14">
        <f t="shared" si="11"/>
        <v>1E-3</v>
      </c>
      <c r="L79" s="14"/>
      <c r="O79" s="14">
        <f t="shared" si="9"/>
        <v>3.0000000000000001E-3</v>
      </c>
      <c r="P79" s="14">
        <f t="shared" si="10"/>
        <v>1.5E-3</v>
      </c>
      <c r="Q79" s="168">
        <f t="shared" ca="1" si="12"/>
        <v>0</v>
      </c>
      <c r="R79" s="155">
        <f ca="1"/>
        <v>1E-3</v>
      </c>
      <c r="S79">
        <f ca="1"/>
        <v>15</v>
      </c>
      <c r="T79" s="13">
        <f ca="1"/>
        <v>31.4</v>
      </c>
      <c r="U79" s="50">
        <f t="shared" ca="1" si="13"/>
        <v>10.503335278386448</v>
      </c>
      <c r="BF79">
        <v>12.27</v>
      </c>
      <c r="BG79" s="28">
        <f t="shared" si="14"/>
        <v>24.231491692714741</v>
      </c>
      <c r="BH79" t="e">
        <f t="shared" si="15"/>
        <v>#N/A</v>
      </c>
      <c r="BI79" t="e">
        <f t="shared" si="16"/>
        <v>#N/A</v>
      </c>
      <c r="BJ79">
        <v>10</v>
      </c>
    </row>
    <row r="80" spans="3:62" x14ac:dyDescent="0.3">
      <c r="C80">
        <v>12</v>
      </c>
      <c r="D80" s="36">
        <v>20.91</v>
      </c>
      <c r="K80" s="14">
        <f t="shared" si="11"/>
        <v>1E-3</v>
      </c>
      <c r="L80" s="14"/>
      <c r="O80" s="14">
        <f t="shared" si="9"/>
        <v>3.0000000000000001E-3</v>
      </c>
      <c r="P80" s="14">
        <f t="shared" si="10"/>
        <v>1.5E-3</v>
      </c>
      <c r="Q80" s="168">
        <f t="shared" ca="1" si="12"/>
        <v>0</v>
      </c>
      <c r="R80" s="155">
        <f ca="1"/>
        <v>1E-3</v>
      </c>
      <c r="S80">
        <f ca="1"/>
        <v>12</v>
      </c>
      <c r="T80" s="13">
        <f ca="1"/>
        <v>22.8</v>
      </c>
      <c r="U80" s="50">
        <f t="shared" ca="1" si="13"/>
        <v>10.503335278386448</v>
      </c>
      <c r="BF80">
        <v>12.28</v>
      </c>
      <c r="BG80" s="28">
        <f t="shared" si="14"/>
        <v>24.251748182494019</v>
      </c>
      <c r="BH80" t="e">
        <f t="shared" si="15"/>
        <v>#N/A</v>
      </c>
      <c r="BI80" t="e">
        <f t="shared" si="16"/>
        <v>#N/A</v>
      </c>
      <c r="BJ80">
        <v>10</v>
      </c>
    </row>
    <row r="81" spans="3:62" x14ac:dyDescent="0.3">
      <c r="C81">
        <v>16</v>
      </c>
      <c r="D81" s="36">
        <v>27.54</v>
      </c>
      <c r="K81" s="14">
        <f t="shared" si="11"/>
        <v>1E-3</v>
      </c>
      <c r="L81" s="14"/>
      <c r="O81" s="14">
        <f t="shared" si="9"/>
        <v>2.0000000000000001E-4</v>
      </c>
      <c r="P81" s="14">
        <f t="shared" si="10"/>
        <v>7.8587786259546764E-4</v>
      </c>
      <c r="Q81" s="168">
        <f t="shared" ca="1" si="12"/>
        <v>0</v>
      </c>
      <c r="R81" s="155">
        <f ca="1"/>
        <v>1E-3</v>
      </c>
      <c r="S81">
        <f ca="1"/>
        <v>12</v>
      </c>
      <c r="T81" s="13">
        <f ca="1"/>
        <v>27.61</v>
      </c>
      <c r="U81" s="50">
        <f t="shared" ca="1" si="13"/>
        <v>10.503335278386448</v>
      </c>
      <c r="BF81">
        <v>12.29</v>
      </c>
      <c r="BG81" s="28">
        <f t="shared" si="14"/>
        <v>24.272004672273294</v>
      </c>
      <c r="BH81" t="e">
        <f t="shared" si="15"/>
        <v>#N/A</v>
      </c>
      <c r="BI81" t="e">
        <f t="shared" si="16"/>
        <v>#N/A</v>
      </c>
      <c r="BJ81">
        <v>10</v>
      </c>
    </row>
    <row r="82" spans="3:62" x14ac:dyDescent="0.3">
      <c r="C82">
        <v>14</v>
      </c>
      <c r="D82" s="36">
        <v>33.409999999999997</v>
      </c>
      <c r="K82" s="14">
        <f t="shared" si="11"/>
        <v>1E-3</v>
      </c>
      <c r="L82" s="14"/>
      <c r="O82" s="14">
        <f t="shared" si="9"/>
        <v>4.7156372549026095E-4</v>
      </c>
      <c r="P82" s="14">
        <f t="shared" si="10"/>
        <v>1E-4</v>
      </c>
      <c r="Q82" s="168">
        <f t="shared" ca="1" si="12"/>
        <v>0</v>
      </c>
      <c r="R82" s="155">
        <f ca="1"/>
        <v>1E-3</v>
      </c>
      <c r="S82">
        <f ca="1"/>
        <v>15</v>
      </c>
      <c r="T82" s="13">
        <f ca="1"/>
        <v>29.18</v>
      </c>
      <c r="U82" s="50">
        <f t="shared" ca="1" si="13"/>
        <v>10.503335278386448</v>
      </c>
      <c r="BF82">
        <v>12.3</v>
      </c>
      <c r="BG82" s="28">
        <f t="shared" si="14"/>
        <v>24.292261162052576</v>
      </c>
      <c r="BH82" t="e">
        <f t="shared" si="15"/>
        <v>#N/A</v>
      </c>
      <c r="BI82" t="e">
        <f t="shared" si="16"/>
        <v>#N/A</v>
      </c>
      <c r="BJ82">
        <v>10</v>
      </c>
    </row>
    <row r="83" spans="3:62" x14ac:dyDescent="0.3">
      <c r="C83">
        <v>16</v>
      </c>
      <c r="D83" s="36">
        <v>21.35</v>
      </c>
      <c r="K83" s="14">
        <f t="shared" si="11"/>
        <v>1E-3</v>
      </c>
      <c r="L83" s="14"/>
      <c r="O83" s="14">
        <f t="shared" si="9"/>
        <v>2.0000000000000001E-4</v>
      </c>
      <c r="P83" s="14">
        <f t="shared" si="10"/>
        <v>1.5E-3</v>
      </c>
      <c r="Q83" s="168">
        <f t="shared" ca="1" si="12"/>
        <v>0</v>
      </c>
      <c r="R83" s="155">
        <f ca="1"/>
        <v>1E-3</v>
      </c>
      <c r="S83">
        <f ca="1"/>
        <v>13</v>
      </c>
      <c r="T83" s="13">
        <f ca="1"/>
        <v>24.21</v>
      </c>
      <c r="U83" s="50">
        <f t="shared" ca="1" si="13"/>
        <v>10.503335278386448</v>
      </c>
      <c r="BF83">
        <v>12.31</v>
      </c>
      <c r="BG83" s="28">
        <f t="shared" si="14"/>
        <v>24.312517651831854</v>
      </c>
      <c r="BH83" t="e">
        <f t="shared" si="15"/>
        <v>#N/A</v>
      </c>
      <c r="BI83" t="e">
        <f t="shared" si="16"/>
        <v>#N/A</v>
      </c>
      <c r="BJ83">
        <v>10</v>
      </c>
    </row>
    <row r="84" spans="3:62" x14ac:dyDescent="0.3">
      <c r="C84">
        <v>16</v>
      </c>
      <c r="D84" s="36">
        <v>35.93</v>
      </c>
      <c r="K84" s="14">
        <f t="shared" si="11"/>
        <v>1E-3</v>
      </c>
      <c r="L84" s="14"/>
      <c r="O84" s="14">
        <f t="shared" si="9"/>
        <v>2.0000000000000001E-4</v>
      </c>
      <c r="P84" s="14">
        <f t="shared" si="10"/>
        <v>1E-4</v>
      </c>
      <c r="Q84" s="168">
        <f t="shared" ca="1" si="12"/>
        <v>0</v>
      </c>
      <c r="R84" s="155">
        <f ca="1"/>
        <v>1E-3</v>
      </c>
      <c r="S84">
        <f ca="1"/>
        <v>12</v>
      </c>
      <c r="T84" s="13">
        <f ca="1"/>
        <v>24.14</v>
      </c>
      <c r="U84" s="50">
        <f t="shared" ca="1" si="13"/>
        <v>10.503335278386448</v>
      </c>
      <c r="BF84">
        <v>12.32</v>
      </c>
      <c r="BG84" s="28">
        <f t="shared" si="14"/>
        <v>24.332774141611129</v>
      </c>
      <c r="BH84" t="e">
        <f t="shared" si="15"/>
        <v>#N/A</v>
      </c>
      <c r="BI84" t="e">
        <f t="shared" si="16"/>
        <v>#N/A</v>
      </c>
      <c r="BJ84">
        <v>10</v>
      </c>
    </row>
    <row r="85" spans="3:62" x14ac:dyDescent="0.3">
      <c r="C85">
        <v>16</v>
      </c>
      <c r="D85" s="36">
        <v>30.92</v>
      </c>
      <c r="K85" s="14">
        <f t="shared" si="11"/>
        <v>1E-3</v>
      </c>
      <c r="L85" s="14"/>
      <c r="O85" s="14">
        <f t="shared" si="9"/>
        <v>2.0000000000000001E-4</v>
      </c>
      <c r="P85" s="14">
        <f t="shared" si="10"/>
        <v>4.0000000000000002E-4</v>
      </c>
      <c r="Q85" s="168">
        <f t="shared" ca="1" si="12"/>
        <v>0</v>
      </c>
      <c r="R85" s="155">
        <f ca="1"/>
        <v>1E-3</v>
      </c>
      <c r="S85">
        <f ca="1"/>
        <v>15</v>
      </c>
      <c r="T85" s="13">
        <f ca="1"/>
        <v>35.21</v>
      </c>
      <c r="U85" s="50">
        <f t="shared" ca="1" si="13"/>
        <v>10.503335278386448</v>
      </c>
      <c r="BF85">
        <v>12.33</v>
      </c>
      <c r="BG85" s="28">
        <f t="shared" si="14"/>
        <v>24.353030631390407</v>
      </c>
      <c r="BH85" t="e">
        <f t="shared" si="15"/>
        <v>#N/A</v>
      </c>
      <c r="BI85" t="e">
        <f t="shared" si="16"/>
        <v>#N/A</v>
      </c>
      <c r="BJ85">
        <v>10</v>
      </c>
    </row>
    <row r="86" spans="3:62" x14ac:dyDescent="0.3">
      <c r="C86">
        <v>13</v>
      </c>
      <c r="D86" s="36">
        <v>24.61</v>
      </c>
      <c r="K86" s="14">
        <f t="shared" si="11"/>
        <v>1E-3</v>
      </c>
      <c r="L86" s="14"/>
      <c r="O86" s="14">
        <f t="shared" si="9"/>
        <v>1E-3</v>
      </c>
      <c r="P86" s="14">
        <f t="shared" si="10"/>
        <v>7.8587786259546764E-4</v>
      </c>
      <c r="Q86" s="168">
        <f t="shared" ca="1" si="12"/>
        <v>0</v>
      </c>
      <c r="R86" s="155">
        <f ca="1"/>
        <v>1E-3</v>
      </c>
      <c r="S86">
        <f ca="1"/>
        <v>13</v>
      </c>
      <c r="T86" s="13">
        <f ca="1"/>
        <v>23.19</v>
      </c>
      <c r="U86" s="50">
        <f t="shared" ca="1" si="13"/>
        <v>10.503335278386448</v>
      </c>
      <c r="BF86">
        <v>12.34</v>
      </c>
      <c r="BG86" s="28">
        <f t="shared" si="14"/>
        <v>24.373287121169685</v>
      </c>
      <c r="BH86" t="e">
        <f t="shared" si="15"/>
        <v>#N/A</v>
      </c>
      <c r="BI86" t="e">
        <f t="shared" si="16"/>
        <v>#N/A</v>
      </c>
      <c r="BJ86">
        <v>10</v>
      </c>
    </row>
    <row r="87" spans="3:62" x14ac:dyDescent="0.3">
      <c r="C87">
        <v>13</v>
      </c>
      <c r="D87" s="36">
        <v>23.35</v>
      </c>
      <c r="K87" s="14">
        <f t="shared" si="11"/>
        <v>1E-3</v>
      </c>
      <c r="L87" s="14"/>
      <c r="O87" s="14">
        <f t="shared" si="9"/>
        <v>1E-3</v>
      </c>
      <c r="P87" s="14">
        <f t="shared" si="10"/>
        <v>1.5E-3</v>
      </c>
      <c r="Q87" s="168">
        <f t="shared" ca="1" si="12"/>
        <v>0</v>
      </c>
      <c r="R87" s="155">
        <f ca="1"/>
        <v>1E-3</v>
      </c>
      <c r="S87">
        <f ca="1"/>
        <v>13</v>
      </c>
      <c r="T87" s="13">
        <f ca="1"/>
        <v>27.64</v>
      </c>
      <c r="U87" s="50">
        <f t="shared" ca="1" si="13"/>
        <v>10.503335278386448</v>
      </c>
      <c r="BF87">
        <v>12.35</v>
      </c>
      <c r="BG87" s="28">
        <f t="shared" si="14"/>
        <v>24.39354361094896</v>
      </c>
      <c r="BH87" t="e">
        <f t="shared" si="15"/>
        <v>#N/A</v>
      </c>
      <c r="BI87" t="e">
        <f t="shared" si="16"/>
        <v>#N/A</v>
      </c>
      <c r="BJ87">
        <v>10</v>
      </c>
    </row>
    <row r="88" spans="3:62" x14ac:dyDescent="0.3">
      <c r="C88">
        <v>13</v>
      </c>
      <c r="D88" s="36">
        <v>20.29</v>
      </c>
      <c r="K88" s="14">
        <f t="shared" si="11"/>
        <v>1E-3</v>
      </c>
      <c r="L88" s="14"/>
      <c r="O88" s="14">
        <f t="shared" si="9"/>
        <v>1E-3</v>
      </c>
      <c r="P88" s="14">
        <f t="shared" si="10"/>
        <v>1.5E-3</v>
      </c>
      <c r="Q88" s="168">
        <f t="shared" ca="1" si="12"/>
        <v>0</v>
      </c>
      <c r="R88" s="155">
        <f ca="1"/>
        <v>1E-3</v>
      </c>
      <c r="S88">
        <f ca="1"/>
        <v>14</v>
      </c>
      <c r="T88" s="13">
        <f ca="1"/>
        <v>19.690000000000001</v>
      </c>
      <c r="U88" s="50">
        <f t="shared" ca="1" si="13"/>
        <v>10.503335278386448</v>
      </c>
      <c r="BF88">
        <v>12.36</v>
      </c>
      <c r="BG88" s="28">
        <f t="shared" si="14"/>
        <v>24.413800100728238</v>
      </c>
      <c r="BH88" t="e">
        <f t="shared" si="15"/>
        <v>#N/A</v>
      </c>
      <c r="BI88" t="e">
        <f t="shared" si="16"/>
        <v>#N/A</v>
      </c>
      <c r="BJ88">
        <v>10</v>
      </c>
    </row>
    <row r="89" spans="3:62" x14ac:dyDescent="0.3">
      <c r="C89">
        <v>13</v>
      </c>
      <c r="D89" s="36">
        <v>28.07</v>
      </c>
      <c r="K89" s="14">
        <f t="shared" si="11"/>
        <v>1E-3</v>
      </c>
      <c r="L89" s="14"/>
      <c r="O89" s="14">
        <f t="shared" si="9"/>
        <v>1E-3</v>
      </c>
      <c r="P89" s="14">
        <f t="shared" si="10"/>
        <v>4.0000000000000002E-4</v>
      </c>
      <c r="Q89" s="168">
        <f t="shared" ca="1" si="12"/>
        <v>0</v>
      </c>
      <c r="R89" s="155">
        <f ca="1"/>
        <v>1E-3</v>
      </c>
      <c r="S89">
        <f ca="1"/>
        <v>16</v>
      </c>
      <c r="T89" s="13">
        <f ca="1"/>
        <v>20.260000000000002</v>
      </c>
      <c r="U89" s="50">
        <f t="shared" ca="1" si="13"/>
        <v>10.503335278386448</v>
      </c>
      <c r="BF89">
        <v>12.37</v>
      </c>
      <c r="BG89" s="28">
        <f t="shared" si="14"/>
        <v>24.434056590507517</v>
      </c>
      <c r="BH89" t="e">
        <f t="shared" si="15"/>
        <v>#N/A</v>
      </c>
      <c r="BI89" t="e">
        <f t="shared" si="16"/>
        <v>#N/A</v>
      </c>
      <c r="BJ89">
        <v>10</v>
      </c>
    </row>
    <row r="90" spans="3:62" x14ac:dyDescent="0.3">
      <c r="C90">
        <v>12</v>
      </c>
      <c r="D90" s="36">
        <v>22.16</v>
      </c>
      <c r="K90" s="14">
        <f t="shared" si="11"/>
        <v>1E-3</v>
      </c>
      <c r="L90" s="14"/>
      <c r="O90" s="14">
        <f t="shared" si="9"/>
        <v>3.0000000000000001E-3</v>
      </c>
      <c r="P90" s="14">
        <f t="shared" si="10"/>
        <v>1.5E-3</v>
      </c>
      <c r="Q90" s="168">
        <f t="shared" ca="1" si="12"/>
        <v>0</v>
      </c>
      <c r="R90" s="155">
        <f ca="1"/>
        <v>1E-3</v>
      </c>
      <c r="S90">
        <f ca="1"/>
        <v>14</v>
      </c>
      <c r="T90" s="13">
        <f ca="1"/>
        <v>29.22</v>
      </c>
      <c r="U90" s="50">
        <f t="shared" ca="1" si="13"/>
        <v>10.503335278386448</v>
      </c>
      <c r="BF90">
        <v>12.38</v>
      </c>
      <c r="BG90" s="28">
        <f t="shared" si="14"/>
        <v>24.454313080286795</v>
      </c>
      <c r="BH90" t="e">
        <f t="shared" si="15"/>
        <v>#N/A</v>
      </c>
      <c r="BI90" t="e">
        <f t="shared" si="16"/>
        <v>#N/A</v>
      </c>
      <c r="BJ90">
        <v>10</v>
      </c>
    </row>
    <row r="91" spans="3:62" x14ac:dyDescent="0.3">
      <c r="C91">
        <v>13</v>
      </c>
      <c r="D91" s="36">
        <v>30.34</v>
      </c>
      <c r="K91" s="14">
        <f t="shared" si="11"/>
        <v>1E-3</v>
      </c>
      <c r="L91" s="14"/>
      <c r="O91" s="14">
        <f t="shared" si="9"/>
        <v>1E-3</v>
      </c>
      <c r="P91" s="14">
        <f t="shared" si="10"/>
        <v>4.0000000000000002E-4</v>
      </c>
      <c r="Q91" s="168">
        <f t="shared" ca="1" si="12"/>
        <v>0</v>
      </c>
      <c r="R91" s="155">
        <f ca="1"/>
        <v>1E-3</v>
      </c>
      <c r="S91">
        <f ca="1"/>
        <v>14</v>
      </c>
      <c r="T91" s="13">
        <f ca="1"/>
        <v>26.83</v>
      </c>
      <c r="U91" s="50">
        <f t="shared" ca="1" si="13"/>
        <v>10.503335278386448</v>
      </c>
      <c r="BF91">
        <v>12.39</v>
      </c>
      <c r="BG91" s="28">
        <f t="shared" si="14"/>
        <v>24.474569570066073</v>
      </c>
      <c r="BH91" t="e">
        <f t="shared" si="15"/>
        <v>#N/A</v>
      </c>
      <c r="BI91" t="e">
        <f t="shared" si="16"/>
        <v>#N/A</v>
      </c>
      <c r="BJ91">
        <v>10</v>
      </c>
    </row>
    <row r="92" spans="3:62" x14ac:dyDescent="0.3">
      <c r="C92">
        <v>16</v>
      </c>
      <c r="D92" s="36">
        <v>34.53</v>
      </c>
      <c r="K92" s="14">
        <f t="shared" si="11"/>
        <v>1E-3</v>
      </c>
      <c r="L92" s="14"/>
      <c r="O92" s="14">
        <f t="shared" si="9"/>
        <v>2.0000000000000001E-4</v>
      </c>
      <c r="P92" s="14">
        <f t="shared" si="10"/>
        <v>1E-4</v>
      </c>
      <c r="Q92" s="168">
        <f t="shared" ca="1" si="12"/>
        <v>0</v>
      </c>
      <c r="R92" s="155">
        <f ca="1"/>
        <v>1E-3</v>
      </c>
      <c r="S92">
        <f ca="1"/>
        <v>15</v>
      </c>
      <c r="T92" s="13">
        <f ca="1"/>
        <v>31.81</v>
      </c>
      <c r="U92" s="50">
        <f t="shared" ca="1" si="13"/>
        <v>10.503335278386448</v>
      </c>
      <c r="BF92">
        <v>12.4</v>
      </c>
      <c r="BG92" s="28">
        <f t="shared" si="14"/>
        <v>24.494826059845352</v>
      </c>
      <c r="BH92" t="e">
        <f t="shared" si="15"/>
        <v>#N/A</v>
      </c>
      <c r="BI92" t="e">
        <f t="shared" si="16"/>
        <v>#N/A</v>
      </c>
      <c r="BJ92">
        <v>10</v>
      </c>
    </row>
    <row r="93" spans="3:62" x14ac:dyDescent="0.3">
      <c r="C93">
        <v>16</v>
      </c>
      <c r="D93" s="36">
        <v>34.25</v>
      </c>
      <c r="K93" s="14">
        <f t="shared" si="11"/>
        <v>1E-3</v>
      </c>
      <c r="L93" s="14"/>
      <c r="O93" s="14">
        <f t="shared" si="9"/>
        <v>2.0000000000000001E-4</v>
      </c>
      <c r="P93" s="14">
        <f t="shared" si="10"/>
        <v>1E-4</v>
      </c>
      <c r="Q93" s="168">
        <f t="shared" ca="1" si="12"/>
        <v>0</v>
      </c>
      <c r="R93" s="155">
        <f ca="1"/>
        <v>1E-3</v>
      </c>
      <c r="S93">
        <f ca="1"/>
        <v>14</v>
      </c>
      <c r="T93" s="13">
        <f ca="1"/>
        <v>30.5</v>
      </c>
      <c r="U93" s="50">
        <f t="shared" ca="1" si="13"/>
        <v>10.503335278386448</v>
      </c>
      <c r="BF93">
        <v>12.41</v>
      </c>
      <c r="BG93" s="28">
        <f t="shared" si="14"/>
        <v>24.515082549624626</v>
      </c>
      <c r="BH93" t="e">
        <f t="shared" si="15"/>
        <v>#N/A</v>
      </c>
      <c r="BI93" t="e">
        <f t="shared" si="16"/>
        <v>#N/A</v>
      </c>
      <c r="BJ93">
        <v>10</v>
      </c>
    </row>
    <row r="94" spans="3:62" x14ac:dyDescent="0.3">
      <c r="C94">
        <v>14</v>
      </c>
      <c r="D94" s="36">
        <v>29.29</v>
      </c>
      <c r="K94" s="14">
        <f t="shared" si="11"/>
        <v>1E-3</v>
      </c>
      <c r="L94" s="14"/>
      <c r="O94" s="14">
        <f t="shared" si="9"/>
        <v>4.7156372549026095E-4</v>
      </c>
      <c r="P94" s="14">
        <f t="shared" si="10"/>
        <v>4.0000000000000002E-4</v>
      </c>
      <c r="Q94" s="168">
        <f t="shared" ca="1" si="12"/>
        <v>0</v>
      </c>
      <c r="R94" s="155">
        <f ca="1"/>
        <v>1E-3</v>
      </c>
      <c r="S94">
        <f ca="1"/>
        <v>12</v>
      </c>
      <c r="T94" s="13">
        <f ca="1"/>
        <v>21.44</v>
      </c>
      <c r="U94" s="50">
        <f t="shared" ca="1" si="13"/>
        <v>10.503335278386448</v>
      </c>
      <c r="BF94">
        <v>12.42</v>
      </c>
      <c r="BG94" s="28">
        <f t="shared" si="14"/>
        <v>24.535339039403905</v>
      </c>
      <c r="BH94" t="e">
        <f t="shared" si="15"/>
        <v>#N/A</v>
      </c>
      <c r="BI94" t="e">
        <f t="shared" si="16"/>
        <v>#N/A</v>
      </c>
      <c r="BJ94">
        <v>10</v>
      </c>
    </row>
    <row r="95" spans="3:62" x14ac:dyDescent="0.3">
      <c r="C95">
        <v>15</v>
      </c>
      <c r="D95" s="36">
        <v>37.92</v>
      </c>
      <c r="K95" s="14">
        <f t="shared" si="11"/>
        <v>1E-3</v>
      </c>
      <c r="L95" s="14"/>
      <c r="O95" s="14">
        <f t="shared" si="9"/>
        <v>4.0000000000000002E-4</v>
      </c>
      <c r="P95" s="14">
        <f t="shared" si="10"/>
        <v>1E-4</v>
      </c>
      <c r="Q95" s="168">
        <f t="shared" ca="1" si="12"/>
        <v>0</v>
      </c>
      <c r="R95" s="155">
        <f ca="1"/>
        <v>1E-3</v>
      </c>
      <c r="S95">
        <f ca="1"/>
        <v>12</v>
      </c>
      <c r="T95" s="13">
        <f ca="1"/>
        <v>25.53</v>
      </c>
      <c r="U95" s="50">
        <f t="shared" ca="1" si="13"/>
        <v>10.503335278386448</v>
      </c>
      <c r="BF95">
        <v>12.43</v>
      </c>
      <c r="BG95" s="28">
        <f t="shared" si="14"/>
        <v>24.555595529183179</v>
      </c>
      <c r="BH95" t="e">
        <f t="shared" si="15"/>
        <v>#N/A</v>
      </c>
      <c r="BI95" t="e">
        <f t="shared" si="16"/>
        <v>#N/A</v>
      </c>
      <c r="BJ95">
        <v>10</v>
      </c>
    </row>
    <row r="96" spans="3:62" x14ac:dyDescent="0.3">
      <c r="C96">
        <v>12</v>
      </c>
      <c r="D96" s="36">
        <v>22.59</v>
      </c>
      <c r="K96" s="14">
        <f t="shared" si="11"/>
        <v>1E-3</v>
      </c>
      <c r="L96" s="14"/>
      <c r="O96" s="14">
        <f t="shared" si="9"/>
        <v>3.0000000000000001E-3</v>
      </c>
      <c r="P96" s="14">
        <f t="shared" si="10"/>
        <v>1.5E-3</v>
      </c>
      <c r="Q96" s="168">
        <f t="shared" ca="1" si="12"/>
        <v>0</v>
      </c>
      <c r="R96" s="155">
        <f ca="1"/>
        <v>1E-3</v>
      </c>
      <c r="S96">
        <f ca="1"/>
        <v>12</v>
      </c>
      <c r="T96" s="13">
        <f ca="1"/>
        <v>25.14</v>
      </c>
      <c r="U96" s="50">
        <f t="shared" ca="1" si="13"/>
        <v>10.503335278386448</v>
      </c>
      <c r="BF96">
        <v>12.44</v>
      </c>
      <c r="BG96" s="28">
        <f t="shared" si="14"/>
        <v>24.575852018962458</v>
      </c>
      <c r="BH96" t="e">
        <f t="shared" si="15"/>
        <v>#N/A</v>
      </c>
      <c r="BI96" t="e">
        <f t="shared" si="16"/>
        <v>#N/A</v>
      </c>
      <c r="BJ96">
        <v>10</v>
      </c>
    </row>
    <row r="97" spans="3:62" x14ac:dyDescent="0.3">
      <c r="C97">
        <v>13</v>
      </c>
      <c r="D97" s="36">
        <v>21.78</v>
      </c>
      <c r="K97" s="14">
        <f t="shared" si="11"/>
        <v>1E-3</v>
      </c>
      <c r="L97" s="14"/>
      <c r="O97" s="14">
        <f t="shared" si="9"/>
        <v>1E-3</v>
      </c>
      <c r="P97" s="14">
        <f t="shared" si="10"/>
        <v>1.5E-3</v>
      </c>
      <c r="Q97" s="168">
        <f t="shared" ca="1" si="12"/>
        <v>0</v>
      </c>
      <c r="R97" s="155">
        <f ca="1"/>
        <v>1E-3</v>
      </c>
      <c r="S97">
        <f ca="1"/>
        <v>12</v>
      </c>
      <c r="T97" s="13">
        <f ca="1"/>
        <v>13.81</v>
      </c>
      <c r="U97" s="50">
        <f t="shared" ca="1" si="13"/>
        <v>10.503335278386448</v>
      </c>
      <c r="BF97">
        <v>12.45</v>
      </c>
      <c r="BG97" s="28">
        <f t="shared" si="14"/>
        <v>24.596108508741736</v>
      </c>
      <c r="BH97" t="e">
        <f t="shared" si="15"/>
        <v>#N/A</v>
      </c>
      <c r="BI97" t="e">
        <f t="shared" si="16"/>
        <v>#N/A</v>
      </c>
      <c r="BJ97">
        <v>10</v>
      </c>
    </row>
    <row r="98" spans="3:62" x14ac:dyDescent="0.3">
      <c r="C98">
        <v>14</v>
      </c>
      <c r="D98" s="36">
        <v>20.149999999999999</v>
      </c>
      <c r="K98" s="14">
        <f t="shared" si="11"/>
        <v>1E-3</v>
      </c>
      <c r="L98" s="14"/>
      <c r="O98" s="14">
        <f t="shared" si="9"/>
        <v>4.7156372549026095E-4</v>
      </c>
      <c r="P98" s="14">
        <f t="shared" si="10"/>
        <v>1.5E-3</v>
      </c>
      <c r="Q98" s="168">
        <f t="shared" ca="1" si="12"/>
        <v>1</v>
      </c>
      <c r="R98" s="155">
        <f ca="1"/>
        <v>1E-3</v>
      </c>
      <c r="S98">
        <f ca="1"/>
        <v>12</v>
      </c>
      <c r="T98" s="13">
        <f ca="1"/>
        <v>7.97</v>
      </c>
      <c r="U98" s="50">
        <f t="shared" ca="1" si="13"/>
        <v>10.503335278386448</v>
      </c>
      <c r="BF98">
        <v>12.46</v>
      </c>
      <c r="BG98" s="28">
        <f t="shared" si="14"/>
        <v>24.616364998521014</v>
      </c>
      <c r="BH98" t="e">
        <f t="shared" si="15"/>
        <v>#N/A</v>
      </c>
      <c r="BI98" t="e">
        <f t="shared" si="16"/>
        <v>#N/A</v>
      </c>
      <c r="BJ98">
        <v>10</v>
      </c>
    </row>
    <row r="99" spans="3:62" x14ac:dyDescent="0.3">
      <c r="C99">
        <v>16</v>
      </c>
      <c r="D99" s="36">
        <v>35.630000000000003</v>
      </c>
      <c r="K99" s="14">
        <f t="shared" si="11"/>
        <v>1E-3</v>
      </c>
      <c r="L99" s="14"/>
      <c r="O99" s="14">
        <f t="shared" si="9"/>
        <v>2.0000000000000001E-4</v>
      </c>
      <c r="P99" s="14">
        <f t="shared" si="10"/>
        <v>1E-4</v>
      </c>
      <c r="Q99" s="168">
        <f t="shared" ca="1" si="12"/>
        <v>0</v>
      </c>
      <c r="R99" s="155">
        <f ca="1"/>
        <v>1E-3</v>
      </c>
      <c r="S99">
        <f ca="1"/>
        <v>14</v>
      </c>
      <c r="T99" s="13">
        <f ca="1"/>
        <v>27.15</v>
      </c>
      <c r="U99" s="50">
        <f t="shared" ca="1" si="13"/>
        <v>10.503335278386448</v>
      </c>
      <c r="BF99">
        <v>12.47</v>
      </c>
      <c r="BG99" s="28">
        <f t="shared" si="14"/>
        <v>24.636621488300293</v>
      </c>
      <c r="BH99" t="e">
        <f t="shared" si="15"/>
        <v>#N/A</v>
      </c>
      <c r="BI99" t="e">
        <f t="shared" si="16"/>
        <v>#N/A</v>
      </c>
      <c r="BJ99">
        <v>10</v>
      </c>
    </row>
    <row r="100" spans="3:62" x14ac:dyDescent="0.3">
      <c r="C100">
        <v>14</v>
      </c>
      <c r="D100" s="36">
        <v>31.64</v>
      </c>
      <c r="K100" s="14">
        <f t="shared" si="11"/>
        <v>1E-3</v>
      </c>
      <c r="L100" s="14"/>
      <c r="O100" s="14">
        <f t="shared" si="9"/>
        <v>4.7156372549026095E-4</v>
      </c>
      <c r="P100" s="14">
        <f t="shared" si="10"/>
        <v>4.0000000000000002E-4</v>
      </c>
      <c r="Q100" s="168">
        <f t="shared" ca="1" si="12"/>
        <v>0</v>
      </c>
      <c r="R100" s="155">
        <f ca="1"/>
        <v>1E-3</v>
      </c>
      <c r="S100">
        <f ca="1"/>
        <v>15</v>
      </c>
      <c r="T100" s="13">
        <f ca="1"/>
        <v>34.26</v>
      </c>
      <c r="U100" s="50">
        <f t="shared" ca="1" si="13"/>
        <v>10.503335278386448</v>
      </c>
      <c r="BF100">
        <v>12.48</v>
      </c>
      <c r="BG100" s="28">
        <f t="shared" si="14"/>
        <v>24.656877978079571</v>
      </c>
      <c r="BH100" t="e">
        <f t="shared" si="15"/>
        <v>#N/A</v>
      </c>
      <c r="BI100" t="e">
        <f t="shared" si="16"/>
        <v>#N/A</v>
      </c>
      <c r="BJ100">
        <v>10</v>
      </c>
    </row>
    <row r="101" spans="3:62" ht="15" thickBot="1" x14ac:dyDescent="0.35">
      <c r="C101">
        <v>14</v>
      </c>
      <c r="D101" s="36">
        <v>21.83</v>
      </c>
      <c r="K101" s="14">
        <f t="shared" si="11"/>
        <v>1E-3</v>
      </c>
      <c r="L101" s="14"/>
      <c r="O101" s="14">
        <f t="shared" si="9"/>
        <v>4.7156372549026095E-4</v>
      </c>
      <c r="P101" s="14">
        <f t="shared" si="10"/>
        <v>1.5E-3</v>
      </c>
      <c r="Q101" s="168">
        <f t="shared" ca="1" si="12"/>
        <v>0</v>
      </c>
      <c r="R101" s="155">
        <f ca="1"/>
        <v>1E-3</v>
      </c>
      <c r="S101">
        <f ca="1"/>
        <v>12</v>
      </c>
      <c r="T101" s="13">
        <f ca="1"/>
        <v>27.35</v>
      </c>
      <c r="U101" s="124">
        <f t="shared" ca="1" si="13"/>
        <v>10.503335278386448</v>
      </c>
      <c r="BF101">
        <v>12.49</v>
      </c>
      <c r="BG101" s="28">
        <f t="shared" si="14"/>
        <v>24.677134467858846</v>
      </c>
      <c r="BH101" t="e">
        <f t="shared" si="15"/>
        <v>#N/A</v>
      </c>
      <c r="BI101" t="e">
        <f t="shared" si="16"/>
        <v>#N/A</v>
      </c>
      <c r="BJ101">
        <v>10</v>
      </c>
    </row>
    <row r="102" spans="3:62" ht="15" thickTop="1" x14ac:dyDescent="0.3">
      <c r="C102">
        <v>12</v>
      </c>
      <c r="D102" s="36">
        <v>28.99</v>
      </c>
      <c r="K102" s="14">
        <f t="shared" si="11"/>
        <v>1E-3</v>
      </c>
      <c r="L102" s="14"/>
      <c r="O102" s="14">
        <f t="shared" si="9"/>
        <v>3.0000000000000001E-3</v>
      </c>
      <c r="P102" s="14">
        <f t="shared" si="10"/>
        <v>4.0000000000000002E-4</v>
      </c>
      <c r="U102" s="50">
        <f ca="1">SUM(U2:U101)</f>
        <v>1050.3335278386437</v>
      </c>
      <c r="BF102">
        <v>12.5</v>
      </c>
      <c r="BG102" s="28">
        <f t="shared" si="14"/>
        <v>24.697390957638124</v>
      </c>
      <c r="BH102" t="e">
        <f t="shared" si="15"/>
        <v>#N/A</v>
      </c>
      <c r="BI102" t="e">
        <f t="shared" si="16"/>
        <v>#N/A</v>
      </c>
      <c r="BJ102">
        <v>10</v>
      </c>
    </row>
    <row r="103" spans="3:62" x14ac:dyDescent="0.3">
      <c r="C103">
        <v>14</v>
      </c>
      <c r="D103" s="36">
        <v>24.38</v>
      </c>
      <c r="K103" s="14">
        <f t="shared" si="11"/>
        <v>1E-3</v>
      </c>
      <c r="L103" s="14"/>
      <c r="O103" s="14">
        <f t="shared" si="9"/>
        <v>4.7156372549026095E-4</v>
      </c>
      <c r="P103" s="14">
        <f t="shared" si="10"/>
        <v>7.8587786259546764E-4</v>
      </c>
      <c r="Q103" s="168">
        <f ca="1">IF(SUM(Q2:Q101)&gt;0,1,0)</f>
        <v>1</v>
      </c>
      <c r="S103" s="164" t="s">
        <v>131</v>
      </c>
      <c r="BF103">
        <v>12.51</v>
      </c>
      <c r="BG103" s="28">
        <f t="shared" si="14"/>
        <v>24.717647447417402</v>
      </c>
      <c r="BH103" t="e">
        <f t="shared" si="15"/>
        <v>#N/A</v>
      </c>
      <c r="BI103" t="e">
        <f t="shared" si="16"/>
        <v>#N/A</v>
      </c>
      <c r="BJ103">
        <v>10</v>
      </c>
    </row>
    <row r="104" spans="3:62" x14ac:dyDescent="0.3">
      <c r="C104">
        <v>14</v>
      </c>
      <c r="D104" s="36">
        <v>33.119999999999997</v>
      </c>
      <c r="K104" s="14">
        <f t="shared" si="11"/>
        <v>1E-3</v>
      </c>
      <c r="L104" s="14"/>
      <c r="O104" s="14">
        <f t="shared" si="9"/>
        <v>4.7156372549026095E-4</v>
      </c>
      <c r="P104" s="14">
        <f t="shared" si="10"/>
        <v>1E-4</v>
      </c>
      <c r="S104" s="165">
        <f ca="1">STDEV(S2:S101)</f>
        <v>1.4142135623730951</v>
      </c>
      <c r="T104" s="163"/>
      <c r="BF104">
        <v>12.52</v>
      </c>
      <c r="BG104" s="28">
        <f t="shared" si="14"/>
        <v>24.737903937196677</v>
      </c>
      <c r="BH104" t="e">
        <f t="shared" si="15"/>
        <v>#N/A</v>
      </c>
      <c r="BI104" t="e">
        <f t="shared" si="16"/>
        <v>#N/A</v>
      </c>
      <c r="BJ104">
        <v>10</v>
      </c>
    </row>
    <row r="105" spans="3:62" x14ac:dyDescent="0.3">
      <c r="C105">
        <v>14</v>
      </c>
      <c r="D105" s="36">
        <v>27.8</v>
      </c>
      <c r="K105" s="14">
        <f t="shared" si="11"/>
        <v>1E-3</v>
      </c>
      <c r="L105" s="14"/>
      <c r="O105" s="14">
        <f t="shared" si="9"/>
        <v>4.7156372549026095E-4</v>
      </c>
      <c r="P105" s="14">
        <f t="shared" si="10"/>
        <v>7.8587786259546764E-4</v>
      </c>
      <c r="BF105">
        <v>12.53</v>
      </c>
      <c r="BG105" s="28">
        <f t="shared" si="14"/>
        <v>24.758160426975955</v>
      </c>
      <c r="BH105" t="e">
        <f t="shared" si="15"/>
        <v>#N/A</v>
      </c>
      <c r="BI105" t="e">
        <f t="shared" si="16"/>
        <v>#N/A</v>
      </c>
      <c r="BJ105">
        <v>10</v>
      </c>
    </row>
    <row r="106" spans="3:62" x14ac:dyDescent="0.3">
      <c r="C106">
        <v>15</v>
      </c>
      <c r="D106" s="36">
        <v>28.96</v>
      </c>
      <c r="K106" s="14">
        <f t="shared" si="11"/>
        <v>1E-3</v>
      </c>
      <c r="L106" s="14"/>
      <c r="O106" s="14">
        <f t="shared" si="9"/>
        <v>4.0000000000000002E-4</v>
      </c>
      <c r="P106" s="14">
        <f t="shared" si="10"/>
        <v>4.0000000000000002E-4</v>
      </c>
      <c r="BF106">
        <v>12.54</v>
      </c>
      <c r="BG106" s="28">
        <f t="shared" si="14"/>
        <v>24.778416916755234</v>
      </c>
      <c r="BH106" t="e">
        <f t="shared" si="15"/>
        <v>#N/A</v>
      </c>
      <c r="BI106" t="e">
        <f t="shared" si="16"/>
        <v>#N/A</v>
      </c>
      <c r="BJ106">
        <v>10</v>
      </c>
    </row>
    <row r="107" spans="3:62" x14ac:dyDescent="0.3">
      <c r="C107">
        <v>15</v>
      </c>
      <c r="D107" s="36">
        <v>20.53</v>
      </c>
      <c r="K107" s="14">
        <f t="shared" si="11"/>
        <v>1E-3</v>
      </c>
      <c r="L107" s="14"/>
      <c r="O107" s="14">
        <f t="shared" si="9"/>
        <v>4.0000000000000002E-4</v>
      </c>
      <c r="P107" s="14">
        <f t="shared" si="10"/>
        <v>1.5E-3</v>
      </c>
      <c r="BF107">
        <v>12.55</v>
      </c>
      <c r="BG107" s="28">
        <f t="shared" si="14"/>
        <v>24.798673406534512</v>
      </c>
      <c r="BH107" t="e">
        <f t="shared" si="15"/>
        <v>#N/A</v>
      </c>
      <c r="BI107" t="e">
        <f t="shared" si="16"/>
        <v>#N/A</v>
      </c>
      <c r="BJ107">
        <v>10</v>
      </c>
    </row>
    <row r="108" spans="3:62" x14ac:dyDescent="0.3">
      <c r="C108">
        <v>16</v>
      </c>
      <c r="D108" s="36">
        <v>27.87</v>
      </c>
      <c r="K108" s="14">
        <f t="shared" si="11"/>
        <v>1E-3</v>
      </c>
      <c r="L108" s="14"/>
      <c r="O108" s="14">
        <f t="shared" si="9"/>
        <v>2.0000000000000001E-4</v>
      </c>
      <c r="P108" s="14">
        <f t="shared" si="10"/>
        <v>7.8587786259546764E-4</v>
      </c>
      <c r="BF108">
        <v>12.56</v>
      </c>
      <c r="BG108" s="28">
        <f t="shared" si="14"/>
        <v>24.81892989631379</v>
      </c>
      <c r="BH108" t="e">
        <f t="shared" si="15"/>
        <v>#N/A</v>
      </c>
      <c r="BI108" t="e">
        <f t="shared" si="16"/>
        <v>#N/A</v>
      </c>
      <c r="BJ108">
        <v>10</v>
      </c>
    </row>
    <row r="109" spans="3:62" x14ac:dyDescent="0.3">
      <c r="C109">
        <v>15</v>
      </c>
      <c r="D109" s="36">
        <v>35.03</v>
      </c>
      <c r="K109" s="14">
        <f t="shared" si="11"/>
        <v>1E-3</v>
      </c>
      <c r="L109" s="14"/>
      <c r="O109" s="14">
        <f t="shared" si="9"/>
        <v>4.0000000000000002E-4</v>
      </c>
      <c r="P109" s="14">
        <f t="shared" si="10"/>
        <v>1E-4</v>
      </c>
      <c r="BF109">
        <v>12.57</v>
      </c>
      <c r="BG109" s="28">
        <f t="shared" si="14"/>
        <v>24.839186386093068</v>
      </c>
      <c r="BH109" t="e">
        <f t="shared" si="15"/>
        <v>#N/A</v>
      </c>
      <c r="BI109" t="e">
        <f t="shared" si="16"/>
        <v>#N/A</v>
      </c>
      <c r="BJ109">
        <v>10</v>
      </c>
    </row>
    <row r="110" spans="3:62" x14ac:dyDescent="0.3">
      <c r="C110">
        <v>16</v>
      </c>
      <c r="D110" s="36">
        <v>40.65</v>
      </c>
      <c r="K110" s="14">
        <f t="shared" si="11"/>
        <v>1E-3</v>
      </c>
      <c r="L110" s="14"/>
      <c r="O110" s="14">
        <f t="shared" si="9"/>
        <v>2.0000000000000001E-4</v>
      </c>
      <c r="P110" s="14">
        <f t="shared" si="10"/>
        <v>1E-4</v>
      </c>
      <c r="BF110">
        <v>12.58</v>
      </c>
      <c r="BG110" s="28">
        <f t="shared" si="14"/>
        <v>24.859442875872343</v>
      </c>
      <c r="BH110" t="e">
        <f t="shared" si="15"/>
        <v>#N/A</v>
      </c>
      <c r="BI110" t="e">
        <f t="shared" si="16"/>
        <v>#N/A</v>
      </c>
      <c r="BJ110">
        <v>10</v>
      </c>
    </row>
    <row r="111" spans="3:62" x14ac:dyDescent="0.3">
      <c r="C111">
        <v>12</v>
      </c>
      <c r="D111" s="36">
        <v>23.02</v>
      </c>
      <c r="K111" s="14">
        <f t="shared" si="11"/>
        <v>1E-3</v>
      </c>
      <c r="L111" s="14"/>
      <c r="O111" s="14">
        <f t="shared" si="9"/>
        <v>3.0000000000000001E-3</v>
      </c>
      <c r="P111" s="14">
        <f t="shared" si="10"/>
        <v>1.5E-3</v>
      </c>
      <c r="BF111">
        <v>12.59</v>
      </c>
      <c r="BG111" s="28">
        <f t="shared" si="14"/>
        <v>24.879699365651621</v>
      </c>
      <c r="BH111" t="e">
        <f t="shared" si="15"/>
        <v>#N/A</v>
      </c>
      <c r="BI111" t="e">
        <f t="shared" si="16"/>
        <v>#N/A</v>
      </c>
      <c r="BJ111">
        <v>10</v>
      </c>
    </row>
    <row r="112" spans="3:62" x14ac:dyDescent="0.3">
      <c r="C112">
        <v>12</v>
      </c>
      <c r="D112" s="36">
        <v>28.37</v>
      </c>
      <c r="K112" s="14">
        <f t="shared" si="11"/>
        <v>1E-3</v>
      </c>
      <c r="L112" s="14"/>
      <c r="O112" s="14">
        <f t="shared" si="9"/>
        <v>3.0000000000000001E-3</v>
      </c>
      <c r="P112" s="14">
        <f t="shared" si="10"/>
        <v>4.0000000000000002E-4</v>
      </c>
      <c r="BF112">
        <v>12.6</v>
      </c>
      <c r="BG112" s="28">
        <f t="shared" si="14"/>
        <v>24.8999558554309</v>
      </c>
      <c r="BH112" t="e">
        <f t="shared" si="15"/>
        <v>#N/A</v>
      </c>
      <c r="BI112" t="e">
        <f t="shared" si="16"/>
        <v>#N/A</v>
      </c>
      <c r="BJ112">
        <v>10</v>
      </c>
    </row>
    <row r="113" spans="3:62" x14ac:dyDescent="0.3">
      <c r="C113">
        <v>15</v>
      </c>
      <c r="D113" s="36">
        <v>30.54</v>
      </c>
      <c r="K113" s="14">
        <f t="shared" si="11"/>
        <v>1E-3</v>
      </c>
      <c r="L113" s="14"/>
      <c r="O113" s="14">
        <f t="shared" si="9"/>
        <v>4.0000000000000002E-4</v>
      </c>
      <c r="P113" s="14">
        <f t="shared" si="10"/>
        <v>4.0000000000000002E-4</v>
      </c>
      <c r="BF113">
        <v>12.61</v>
      </c>
      <c r="BG113" s="28">
        <f t="shared" si="14"/>
        <v>24.920212345210174</v>
      </c>
      <c r="BH113" t="e">
        <f t="shared" si="15"/>
        <v>#N/A</v>
      </c>
      <c r="BI113" t="e">
        <f t="shared" si="16"/>
        <v>#N/A</v>
      </c>
      <c r="BJ113">
        <v>10</v>
      </c>
    </row>
    <row r="114" spans="3:62" x14ac:dyDescent="0.3">
      <c r="C114">
        <v>12</v>
      </c>
      <c r="D114" s="36">
        <v>27.36</v>
      </c>
      <c r="K114" s="14">
        <f t="shared" si="11"/>
        <v>1E-3</v>
      </c>
      <c r="L114" s="14"/>
      <c r="O114" s="14">
        <f t="shared" si="9"/>
        <v>3.0000000000000001E-3</v>
      </c>
      <c r="P114" s="14">
        <f t="shared" si="10"/>
        <v>7.8587786259546764E-4</v>
      </c>
      <c r="BF114">
        <v>12.62</v>
      </c>
      <c r="BG114" s="28">
        <f t="shared" si="14"/>
        <v>24.940468834989453</v>
      </c>
      <c r="BH114" t="e">
        <f t="shared" si="15"/>
        <v>#N/A</v>
      </c>
      <c r="BI114" t="e">
        <f t="shared" si="16"/>
        <v>#N/A</v>
      </c>
      <c r="BJ114">
        <v>10</v>
      </c>
    </row>
    <row r="115" spans="3:62" x14ac:dyDescent="0.3">
      <c r="C115">
        <v>16</v>
      </c>
      <c r="D115" s="36">
        <v>24.69</v>
      </c>
      <c r="K115" s="14">
        <f t="shared" si="11"/>
        <v>1E-3</v>
      </c>
      <c r="L115" s="14"/>
      <c r="O115" s="14">
        <f t="shared" si="9"/>
        <v>2.0000000000000001E-4</v>
      </c>
      <c r="P115" s="14">
        <f t="shared" si="10"/>
        <v>7.8587786259546764E-4</v>
      </c>
      <c r="BF115">
        <v>12.63</v>
      </c>
      <c r="BG115" s="28">
        <f t="shared" si="14"/>
        <v>24.960725324768735</v>
      </c>
      <c r="BH115" t="e">
        <f t="shared" si="15"/>
        <v>#N/A</v>
      </c>
      <c r="BI115" t="e">
        <f t="shared" si="16"/>
        <v>#N/A</v>
      </c>
      <c r="BJ115">
        <v>10</v>
      </c>
    </row>
    <row r="116" spans="3:62" x14ac:dyDescent="0.3">
      <c r="C116">
        <v>14</v>
      </c>
      <c r="D116" s="36">
        <v>26.87</v>
      </c>
      <c r="K116" s="14">
        <f t="shared" si="11"/>
        <v>1E-3</v>
      </c>
      <c r="L116" s="14"/>
      <c r="O116" s="14">
        <f t="shared" si="9"/>
        <v>4.7156372549026095E-4</v>
      </c>
      <c r="P116" s="14">
        <f t="shared" si="10"/>
        <v>7.8587786259546764E-4</v>
      </c>
      <c r="BF116">
        <v>12.64</v>
      </c>
      <c r="BG116" s="28">
        <f t="shared" si="14"/>
        <v>24.980981814548009</v>
      </c>
      <c r="BH116" t="e">
        <f t="shared" si="15"/>
        <v>#N/A</v>
      </c>
      <c r="BI116" t="e">
        <f t="shared" si="16"/>
        <v>#N/A</v>
      </c>
      <c r="BJ116">
        <v>10</v>
      </c>
    </row>
    <row r="117" spans="3:62" x14ac:dyDescent="0.3">
      <c r="C117">
        <v>15</v>
      </c>
      <c r="D117" s="36">
        <v>32.770000000000003</v>
      </c>
      <c r="K117" s="14">
        <f t="shared" si="11"/>
        <v>1E-3</v>
      </c>
      <c r="L117" s="14"/>
      <c r="O117" s="14">
        <f t="shared" si="9"/>
        <v>4.0000000000000002E-4</v>
      </c>
      <c r="P117" s="14">
        <f t="shared" si="10"/>
        <v>1E-4</v>
      </c>
      <c r="BF117">
        <v>12.65</v>
      </c>
      <c r="BG117" s="28">
        <f t="shared" si="14"/>
        <v>25.001238304327288</v>
      </c>
      <c r="BH117" t="e">
        <f t="shared" si="15"/>
        <v>#N/A</v>
      </c>
      <c r="BI117" t="e">
        <f t="shared" si="16"/>
        <v>#N/A</v>
      </c>
      <c r="BJ117">
        <v>10</v>
      </c>
    </row>
    <row r="118" spans="3:62" x14ac:dyDescent="0.3">
      <c r="C118">
        <v>15</v>
      </c>
      <c r="D118" s="36">
        <v>30.55</v>
      </c>
      <c r="K118" s="14">
        <f t="shared" si="11"/>
        <v>1E-3</v>
      </c>
      <c r="L118" s="14"/>
      <c r="O118" s="14">
        <f t="shared" si="9"/>
        <v>4.0000000000000002E-4</v>
      </c>
      <c r="P118" s="14">
        <f t="shared" si="10"/>
        <v>4.0000000000000002E-4</v>
      </c>
      <c r="BF118">
        <v>12.66</v>
      </c>
      <c r="BG118" s="28">
        <f t="shared" si="14"/>
        <v>25.021494794106566</v>
      </c>
      <c r="BH118" t="e">
        <f t="shared" si="15"/>
        <v>#N/A</v>
      </c>
      <c r="BI118" t="e">
        <f t="shared" si="16"/>
        <v>#N/A</v>
      </c>
      <c r="BJ118">
        <v>10</v>
      </c>
    </row>
    <row r="119" spans="3:62" x14ac:dyDescent="0.3">
      <c r="C119">
        <v>15</v>
      </c>
      <c r="D119" s="36">
        <v>26.63</v>
      </c>
      <c r="K119" s="14">
        <f t="shared" si="11"/>
        <v>1E-3</v>
      </c>
      <c r="L119" s="14"/>
      <c r="O119" s="14">
        <f t="shared" si="9"/>
        <v>4.0000000000000002E-4</v>
      </c>
      <c r="P119" s="14">
        <f t="shared" si="10"/>
        <v>7.8587786259546764E-4</v>
      </c>
      <c r="BF119">
        <v>12.67</v>
      </c>
      <c r="BG119" s="28">
        <f t="shared" si="14"/>
        <v>25.041751283885841</v>
      </c>
      <c r="BH119" t="e">
        <f t="shared" si="15"/>
        <v>#N/A</v>
      </c>
      <c r="BI119" t="e">
        <f t="shared" si="16"/>
        <v>#N/A</v>
      </c>
      <c r="BJ119">
        <v>10</v>
      </c>
    </row>
    <row r="120" spans="3:62" x14ac:dyDescent="0.3">
      <c r="C120">
        <v>14</v>
      </c>
      <c r="D120" s="36">
        <v>26.88</v>
      </c>
      <c r="K120" s="14">
        <f t="shared" si="11"/>
        <v>1E-3</v>
      </c>
      <c r="L120" s="14"/>
      <c r="O120" s="14">
        <f t="shared" si="9"/>
        <v>4.7156372549026095E-4</v>
      </c>
      <c r="P120" s="14">
        <f t="shared" si="10"/>
        <v>7.8587786259546764E-4</v>
      </c>
      <c r="BF120">
        <v>12.68</v>
      </c>
      <c r="BG120" s="28">
        <f t="shared" si="14"/>
        <v>25.062007773665119</v>
      </c>
      <c r="BH120" t="e">
        <f t="shared" si="15"/>
        <v>#N/A</v>
      </c>
      <c r="BI120" t="e">
        <f t="shared" si="16"/>
        <v>#N/A</v>
      </c>
      <c r="BJ120">
        <v>10</v>
      </c>
    </row>
    <row r="121" spans="3:62" x14ac:dyDescent="0.3">
      <c r="C121">
        <v>13</v>
      </c>
      <c r="D121" s="36">
        <v>30.47</v>
      </c>
      <c r="K121" s="14">
        <f t="shared" si="11"/>
        <v>1E-3</v>
      </c>
      <c r="L121" s="14"/>
      <c r="O121" s="14">
        <f t="shared" si="9"/>
        <v>1E-3</v>
      </c>
      <c r="P121" s="14">
        <f t="shared" si="10"/>
        <v>4.0000000000000002E-4</v>
      </c>
      <c r="BF121">
        <v>12.69</v>
      </c>
      <c r="BG121" s="28">
        <f t="shared" si="14"/>
        <v>25.082264263444397</v>
      </c>
      <c r="BH121" t="e">
        <f t="shared" si="15"/>
        <v>#N/A</v>
      </c>
      <c r="BI121" t="e">
        <f t="shared" si="16"/>
        <v>#N/A</v>
      </c>
      <c r="BJ121">
        <v>10</v>
      </c>
    </row>
    <row r="122" spans="3:62" x14ac:dyDescent="0.3">
      <c r="C122">
        <v>15</v>
      </c>
      <c r="D122" s="36">
        <v>29.7</v>
      </c>
      <c r="K122" s="14">
        <f t="shared" si="11"/>
        <v>1E-3</v>
      </c>
      <c r="L122" s="14"/>
      <c r="O122" s="14">
        <f t="shared" si="9"/>
        <v>4.0000000000000002E-4</v>
      </c>
      <c r="P122" s="14">
        <f t="shared" si="10"/>
        <v>4.0000000000000002E-4</v>
      </c>
      <c r="BF122">
        <v>12.7</v>
      </c>
      <c r="BG122" s="28">
        <f t="shared" si="14"/>
        <v>25.102520753223672</v>
      </c>
      <c r="BH122" t="e">
        <f t="shared" si="15"/>
        <v>#N/A</v>
      </c>
      <c r="BI122" t="e">
        <f t="shared" si="16"/>
        <v>#N/A</v>
      </c>
      <c r="BJ122">
        <v>10</v>
      </c>
    </row>
    <row r="123" spans="3:62" x14ac:dyDescent="0.3">
      <c r="C123">
        <v>16</v>
      </c>
      <c r="D123" s="36">
        <v>37.840000000000003</v>
      </c>
      <c r="K123" s="14">
        <f t="shared" si="11"/>
        <v>1E-3</v>
      </c>
      <c r="L123" s="14"/>
      <c r="O123" s="14">
        <f t="shared" si="9"/>
        <v>2.0000000000000001E-4</v>
      </c>
      <c r="P123" s="14">
        <f t="shared" si="10"/>
        <v>1E-4</v>
      </c>
      <c r="BF123">
        <v>12.71</v>
      </c>
      <c r="BG123" s="28">
        <f t="shared" si="14"/>
        <v>25.122777243002954</v>
      </c>
      <c r="BH123" t="e">
        <f t="shared" si="15"/>
        <v>#N/A</v>
      </c>
      <c r="BI123" t="e">
        <f t="shared" si="16"/>
        <v>#N/A</v>
      </c>
      <c r="BJ123">
        <v>10</v>
      </c>
    </row>
    <row r="124" spans="3:62" x14ac:dyDescent="0.3">
      <c r="C124">
        <v>13</v>
      </c>
      <c r="D124" s="36">
        <v>29.26</v>
      </c>
      <c r="K124" s="14">
        <f t="shared" si="11"/>
        <v>1E-3</v>
      </c>
      <c r="L124" s="14"/>
      <c r="O124" s="14">
        <f t="shared" si="9"/>
        <v>1E-3</v>
      </c>
      <c r="P124" s="14">
        <f t="shared" si="10"/>
        <v>4.0000000000000002E-4</v>
      </c>
      <c r="BF124">
        <v>12.72</v>
      </c>
      <c r="BG124" s="28">
        <f t="shared" si="14"/>
        <v>25.143033732782232</v>
      </c>
      <c r="BH124" t="e">
        <f t="shared" si="15"/>
        <v>#N/A</v>
      </c>
      <c r="BI124" t="e">
        <f t="shared" si="16"/>
        <v>#N/A</v>
      </c>
      <c r="BJ124">
        <v>10</v>
      </c>
    </row>
    <row r="125" spans="3:62" x14ac:dyDescent="0.3">
      <c r="C125">
        <v>15</v>
      </c>
      <c r="D125" s="36">
        <v>22.93</v>
      </c>
      <c r="K125" s="14">
        <f t="shared" si="11"/>
        <v>1E-3</v>
      </c>
      <c r="L125" s="14"/>
      <c r="O125" s="14">
        <f t="shared" si="9"/>
        <v>4.0000000000000002E-4</v>
      </c>
      <c r="P125" s="14">
        <f t="shared" si="10"/>
        <v>1.5E-3</v>
      </c>
      <c r="BF125">
        <v>12.73</v>
      </c>
      <c r="BG125" s="28">
        <f t="shared" si="14"/>
        <v>25.163290222561507</v>
      </c>
      <c r="BH125" t="e">
        <f t="shared" si="15"/>
        <v>#N/A</v>
      </c>
      <c r="BI125" t="e">
        <f t="shared" si="16"/>
        <v>#N/A</v>
      </c>
      <c r="BJ125">
        <v>10</v>
      </c>
    </row>
    <row r="126" spans="3:62" x14ac:dyDescent="0.3">
      <c r="C126">
        <v>14</v>
      </c>
      <c r="D126" s="36">
        <v>34.270000000000003</v>
      </c>
      <c r="K126" s="14">
        <f t="shared" si="11"/>
        <v>1E-3</v>
      </c>
      <c r="L126" s="14"/>
      <c r="O126" s="14">
        <f t="shared" si="9"/>
        <v>4.7156372549026095E-4</v>
      </c>
      <c r="P126" s="14">
        <f t="shared" si="10"/>
        <v>1E-4</v>
      </c>
      <c r="BF126">
        <v>12.74</v>
      </c>
      <c r="BG126" s="28">
        <f t="shared" si="14"/>
        <v>25.183546712340785</v>
      </c>
      <c r="BH126" t="e">
        <f t="shared" si="15"/>
        <v>#N/A</v>
      </c>
      <c r="BI126" t="e">
        <f t="shared" si="16"/>
        <v>#N/A</v>
      </c>
      <c r="BJ126">
        <v>10</v>
      </c>
    </row>
    <row r="127" spans="3:62" x14ac:dyDescent="0.3">
      <c r="C127">
        <v>16</v>
      </c>
      <c r="D127" s="36">
        <v>34.78</v>
      </c>
      <c r="K127" s="14">
        <f t="shared" si="11"/>
        <v>1E-3</v>
      </c>
      <c r="L127" s="14"/>
      <c r="O127" s="14">
        <f t="shared" si="9"/>
        <v>2.0000000000000001E-4</v>
      </c>
      <c r="P127" s="14">
        <f t="shared" si="10"/>
        <v>1E-4</v>
      </c>
      <c r="BF127">
        <v>12.75</v>
      </c>
      <c r="BG127" s="28">
        <f t="shared" si="14"/>
        <v>25.203803202120064</v>
      </c>
      <c r="BH127" t="e">
        <f t="shared" si="15"/>
        <v>#N/A</v>
      </c>
      <c r="BI127" t="e">
        <f t="shared" si="16"/>
        <v>#N/A</v>
      </c>
      <c r="BJ127">
        <v>10</v>
      </c>
    </row>
    <row r="128" spans="3:62" x14ac:dyDescent="0.3">
      <c r="C128">
        <v>14</v>
      </c>
      <c r="D128" s="36">
        <v>29.77</v>
      </c>
      <c r="K128" s="14">
        <f t="shared" si="11"/>
        <v>1E-3</v>
      </c>
      <c r="L128" s="14"/>
      <c r="O128" s="14">
        <f t="shared" si="9"/>
        <v>4.7156372549026095E-4</v>
      </c>
      <c r="P128" s="14">
        <f t="shared" si="10"/>
        <v>4.0000000000000002E-4</v>
      </c>
      <c r="BF128">
        <v>12.76</v>
      </c>
      <c r="BG128" s="28">
        <f t="shared" si="14"/>
        <v>25.224059691899338</v>
      </c>
      <c r="BH128" t="e">
        <f t="shared" si="15"/>
        <v>#N/A</v>
      </c>
      <c r="BI128" t="e">
        <f t="shared" si="16"/>
        <v>#N/A</v>
      </c>
      <c r="BJ128">
        <v>10</v>
      </c>
    </row>
    <row r="129" spans="3:62" x14ac:dyDescent="0.3">
      <c r="C129">
        <v>14</v>
      </c>
      <c r="D129" s="36">
        <v>29.65</v>
      </c>
      <c r="K129" s="14">
        <f t="shared" si="11"/>
        <v>1E-3</v>
      </c>
      <c r="L129" s="14"/>
      <c r="O129" s="14">
        <f t="shared" si="9"/>
        <v>4.7156372549026095E-4</v>
      </c>
      <c r="P129" s="14">
        <f t="shared" si="10"/>
        <v>4.0000000000000002E-4</v>
      </c>
      <c r="BF129">
        <v>12.77</v>
      </c>
      <c r="BG129" s="28">
        <f t="shared" si="14"/>
        <v>25.244316181678617</v>
      </c>
      <c r="BH129" t="e">
        <f t="shared" si="15"/>
        <v>#N/A</v>
      </c>
      <c r="BI129" t="e">
        <f t="shared" si="16"/>
        <v>#N/A</v>
      </c>
      <c r="BJ129">
        <v>10</v>
      </c>
    </row>
    <row r="130" spans="3:62" x14ac:dyDescent="0.3">
      <c r="C130">
        <v>16</v>
      </c>
      <c r="D130" s="36">
        <v>29.97</v>
      </c>
      <c r="K130" s="14">
        <f t="shared" si="11"/>
        <v>1E-3</v>
      </c>
      <c r="L130" s="14"/>
      <c r="O130" s="14">
        <f t="shared" ref="O130:O193" si="17">IF(C130=12,$M$4,IF(C130=13,$M$5,IF(C130=14,$M$6,IF(C130=15,$M$7,$M$8))))</f>
        <v>2.0000000000000001E-4</v>
      </c>
      <c r="P130" s="14">
        <f t="shared" ref="P130:P193" si="18">IF(D130&lt;20,$M$14,IF(D130&lt;24,$M$15,IF(D130&lt;28,$M$16,IF(D130&lt;32,$M$17,$M$18))))</f>
        <v>4.0000000000000002E-4</v>
      </c>
      <c r="BF130">
        <v>12.78</v>
      </c>
      <c r="BG130" s="28">
        <f t="shared" si="14"/>
        <v>25.264572671457895</v>
      </c>
      <c r="BH130" t="e">
        <f t="shared" si="15"/>
        <v>#N/A</v>
      </c>
      <c r="BI130" t="e">
        <f t="shared" si="16"/>
        <v>#N/A</v>
      </c>
      <c r="BJ130">
        <v>10</v>
      </c>
    </row>
    <row r="131" spans="3:62" x14ac:dyDescent="0.3">
      <c r="C131">
        <v>12</v>
      </c>
      <c r="D131" s="36">
        <v>10.97</v>
      </c>
      <c r="K131" s="14">
        <f t="shared" ref="K131:K194" si="19">1/1000</f>
        <v>1E-3</v>
      </c>
      <c r="L131" s="14"/>
      <c r="O131" s="14">
        <f t="shared" si="17"/>
        <v>3.0000000000000001E-3</v>
      </c>
      <c r="P131" s="14">
        <f t="shared" si="18"/>
        <v>5.0000000000000001E-3</v>
      </c>
      <c r="BF131">
        <v>12.79</v>
      </c>
      <c r="BG131" s="28">
        <f t="shared" ref="BG131:BG194" si="20">$I$8+$I$10*BF131</f>
        <v>25.28482916123717</v>
      </c>
      <c r="BH131" t="e">
        <f t="shared" ref="BH131:BH194" si="21">IF($AD$9=1,$W$3+$V$3*BF131,#N/A)</f>
        <v>#N/A</v>
      </c>
      <c r="BI131" t="e">
        <f t="shared" ref="BI131:BI194" si="22">IF($AD$12=1,$AA$3+$Z$3*BF131,#N/A)</f>
        <v>#N/A</v>
      </c>
      <c r="BJ131">
        <v>10</v>
      </c>
    </row>
    <row r="132" spans="3:62" x14ac:dyDescent="0.3">
      <c r="C132">
        <v>16</v>
      </c>
      <c r="D132" s="36">
        <v>37.86</v>
      </c>
      <c r="K132" s="14">
        <f t="shared" si="19"/>
        <v>1E-3</v>
      </c>
      <c r="L132" s="14"/>
      <c r="O132" s="14">
        <f t="shared" si="17"/>
        <v>2.0000000000000001E-4</v>
      </c>
      <c r="P132" s="14">
        <f t="shared" si="18"/>
        <v>1E-4</v>
      </c>
      <c r="BF132">
        <v>12.8</v>
      </c>
      <c r="BG132" s="28">
        <f t="shared" si="20"/>
        <v>25.305085651016451</v>
      </c>
      <c r="BH132" t="e">
        <f t="shared" si="21"/>
        <v>#N/A</v>
      </c>
      <c r="BI132" t="e">
        <f t="shared" si="22"/>
        <v>#N/A</v>
      </c>
      <c r="BJ132">
        <v>10</v>
      </c>
    </row>
    <row r="133" spans="3:62" x14ac:dyDescent="0.3">
      <c r="C133">
        <v>16</v>
      </c>
      <c r="D133" s="36">
        <v>35.28</v>
      </c>
      <c r="K133" s="14">
        <f t="shared" si="19"/>
        <v>1E-3</v>
      </c>
      <c r="L133" s="14"/>
      <c r="O133" s="14">
        <f t="shared" si="17"/>
        <v>2.0000000000000001E-4</v>
      </c>
      <c r="P133" s="14">
        <f t="shared" si="18"/>
        <v>1E-4</v>
      </c>
      <c r="BF133">
        <v>12.81</v>
      </c>
      <c r="BG133" s="28">
        <f t="shared" si="20"/>
        <v>25.32534214079573</v>
      </c>
      <c r="BH133" t="e">
        <f t="shared" si="21"/>
        <v>#N/A</v>
      </c>
      <c r="BI133" t="e">
        <f t="shared" si="22"/>
        <v>#N/A</v>
      </c>
      <c r="BJ133">
        <v>10</v>
      </c>
    </row>
    <row r="134" spans="3:62" x14ac:dyDescent="0.3">
      <c r="C134">
        <v>15</v>
      </c>
      <c r="D134" s="36">
        <v>26.23</v>
      </c>
      <c r="K134" s="14">
        <f t="shared" si="19"/>
        <v>1E-3</v>
      </c>
      <c r="L134" s="14"/>
      <c r="O134" s="14">
        <f t="shared" si="17"/>
        <v>4.0000000000000002E-4</v>
      </c>
      <c r="P134" s="14">
        <f t="shared" si="18"/>
        <v>7.8587786259546764E-4</v>
      </c>
      <c r="BF134">
        <v>12.82</v>
      </c>
      <c r="BG134" s="28">
        <f t="shared" si="20"/>
        <v>25.345598630575005</v>
      </c>
      <c r="BH134" t="e">
        <f t="shared" si="21"/>
        <v>#N/A</v>
      </c>
      <c r="BI134" t="e">
        <f t="shared" si="22"/>
        <v>#N/A</v>
      </c>
      <c r="BJ134">
        <v>10</v>
      </c>
    </row>
    <row r="135" spans="3:62" x14ac:dyDescent="0.3">
      <c r="C135">
        <v>13</v>
      </c>
      <c r="D135" s="36">
        <v>22.04</v>
      </c>
      <c r="K135" s="14">
        <f t="shared" si="19"/>
        <v>1E-3</v>
      </c>
      <c r="L135" s="14"/>
      <c r="O135" s="14">
        <f t="shared" si="17"/>
        <v>1E-3</v>
      </c>
      <c r="P135" s="14">
        <f t="shared" si="18"/>
        <v>1.5E-3</v>
      </c>
      <c r="BF135">
        <v>12.83</v>
      </c>
      <c r="BG135" s="28">
        <f t="shared" si="20"/>
        <v>25.365855120354283</v>
      </c>
      <c r="BH135" t="e">
        <f t="shared" si="21"/>
        <v>#N/A</v>
      </c>
      <c r="BI135" t="e">
        <f t="shared" si="22"/>
        <v>#N/A</v>
      </c>
      <c r="BJ135">
        <v>10</v>
      </c>
    </row>
    <row r="136" spans="3:62" x14ac:dyDescent="0.3">
      <c r="C136">
        <v>15</v>
      </c>
      <c r="D136" s="36">
        <v>26.3</v>
      </c>
      <c r="K136" s="14">
        <f t="shared" si="19"/>
        <v>1E-3</v>
      </c>
      <c r="L136" s="14"/>
      <c r="O136" s="14">
        <f t="shared" si="17"/>
        <v>4.0000000000000002E-4</v>
      </c>
      <c r="P136" s="14">
        <f t="shared" si="18"/>
        <v>7.8587786259546764E-4</v>
      </c>
      <c r="BF136">
        <v>12.84</v>
      </c>
      <c r="BG136" s="28">
        <f t="shared" si="20"/>
        <v>25.386111610133561</v>
      </c>
      <c r="BH136" t="e">
        <f t="shared" si="21"/>
        <v>#N/A</v>
      </c>
      <c r="BI136" t="e">
        <f t="shared" si="22"/>
        <v>#N/A</v>
      </c>
      <c r="BJ136">
        <v>10</v>
      </c>
    </row>
    <row r="137" spans="3:62" x14ac:dyDescent="0.3">
      <c r="C137">
        <v>13</v>
      </c>
      <c r="D137" s="36">
        <v>14.1</v>
      </c>
      <c r="K137" s="14">
        <f t="shared" si="19"/>
        <v>1E-3</v>
      </c>
      <c r="L137" s="14"/>
      <c r="O137" s="14">
        <f t="shared" si="17"/>
        <v>1E-3</v>
      </c>
      <c r="P137" s="14">
        <f t="shared" si="18"/>
        <v>5.0000000000000001E-3</v>
      </c>
      <c r="BF137">
        <v>12.85</v>
      </c>
      <c r="BG137" s="28">
        <f t="shared" si="20"/>
        <v>25.406368099912836</v>
      </c>
      <c r="BH137" t="e">
        <f t="shared" si="21"/>
        <v>#N/A</v>
      </c>
      <c r="BI137" t="e">
        <f t="shared" si="22"/>
        <v>#N/A</v>
      </c>
      <c r="BJ137">
        <v>10</v>
      </c>
    </row>
    <row r="138" spans="3:62" x14ac:dyDescent="0.3">
      <c r="C138">
        <v>16</v>
      </c>
      <c r="D138" s="36">
        <v>38.700000000000003</v>
      </c>
      <c r="K138" s="14">
        <f t="shared" si="19"/>
        <v>1E-3</v>
      </c>
      <c r="L138" s="14"/>
      <c r="O138" s="14">
        <f t="shared" si="17"/>
        <v>2.0000000000000001E-4</v>
      </c>
      <c r="P138" s="14">
        <f t="shared" si="18"/>
        <v>1E-4</v>
      </c>
      <c r="BF138">
        <v>12.86</v>
      </c>
      <c r="BG138" s="28">
        <f t="shared" si="20"/>
        <v>25.426624589692114</v>
      </c>
      <c r="BH138" t="e">
        <f t="shared" si="21"/>
        <v>#N/A</v>
      </c>
      <c r="BI138" t="e">
        <f t="shared" si="22"/>
        <v>#N/A</v>
      </c>
      <c r="BJ138">
        <v>10</v>
      </c>
    </row>
    <row r="139" spans="3:62" x14ac:dyDescent="0.3">
      <c r="C139">
        <v>14</v>
      </c>
      <c r="D139" s="36">
        <v>25.84</v>
      </c>
      <c r="K139" s="14">
        <f t="shared" si="19"/>
        <v>1E-3</v>
      </c>
      <c r="L139" s="14"/>
      <c r="O139" s="14">
        <f t="shared" si="17"/>
        <v>4.7156372549026095E-4</v>
      </c>
      <c r="P139" s="14">
        <f t="shared" si="18"/>
        <v>7.8587786259546764E-4</v>
      </c>
      <c r="BF139">
        <v>12.87</v>
      </c>
      <c r="BG139" s="28">
        <f t="shared" si="20"/>
        <v>25.446881079471392</v>
      </c>
      <c r="BH139" t="e">
        <f t="shared" si="21"/>
        <v>#N/A</v>
      </c>
      <c r="BI139" t="e">
        <f t="shared" si="22"/>
        <v>#N/A</v>
      </c>
      <c r="BJ139">
        <v>10</v>
      </c>
    </row>
    <row r="140" spans="3:62" x14ac:dyDescent="0.3">
      <c r="C140">
        <v>15</v>
      </c>
      <c r="D140" s="36">
        <v>32.840000000000003</v>
      </c>
      <c r="K140" s="14">
        <f t="shared" si="19"/>
        <v>1E-3</v>
      </c>
      <c r="L140" s="14"/>
      <c r="O140" s="14">
        <f t="shared" si="17"/>
        <v>4.0000000000000002E-4</v>
      </c>
      <c r="P140" s="14">
        <f t="shared" si="18"/>
        <v>1E-4</v>
      </c>
      <c r="BF140">
        <v>12.88</v>
      </c>
      <c r="BG140" s="28">
        <f t="shared" si="20"/>
        <v>25.467137569250671</v>
      </c>
      <c r="BH140" t="e">
        <f t="shared" si="21"/>
        <v>#N/A</v>
      </c>
      <c r="BI140" t="e">
        <f t="shared" si="22"/>
        <v>#N/A</v>
      </c>
      <c r="BJ140">
        <v>10</v>
      </c>
    </row>
    <row r="141" spans="3:62" x14ac:dyDescent="0.3">
      <c r="C141">
        <v>14</v>
      </c>
      <c r="D141" s="36">
        <v>27.02</v>
      </c>
      <c r="K141" s="14">
        <f t="shared" si="19"/>
        <v>1E-3</v>
      </c>
      <c r="L141" s="14"/>
      <c r="O141" s="14">
        <f t="shared" si="17"/>
        <v>4.7156372549026095E-4</v>
      </c>
      <c r="P141" s="14">
        <f t="shared" si="18"/>
        <v>7.8587786259546764E-4</v>
      </c>
      <c r="BF141">
        <v>12.89</v>
      </c>
      <c r="BG141" s="28">
        <f t="shared" si="20"/>
        <v>25.487394059029949</v>
      </c>
      <c r="BH141" t="e">
        <f t="shared" si="21"/>
        <v>#N/A</v>
      </c>
      <c r="BI141" t="e">
        <f t="shared" si="22"/>
        <v>#N/A</v>
      </c>
      <c r="BJ141">
        <v>10</v>
      </c>
    </row>
    <row r="142" spans="3:62" x14ac:dyDescent="0.3">
      <c r="C142">
        <v>14</v>
      </c>
      <c r="D142" s="36">
        <v>33.729999999999997</v>
      </c>
      <c r="K142" s="14">
        <f t="shared" si="19"/>
        <v>1E-3</v>
      </c>
      <c r="L142" s="14"/>
      <c r="O142" s="14">
        <f t="shared" si="17"/>
        <v>4.7156372549026095E-4</v>
      </c>
      <c r="P142" s="14">
        <f t="shared" si="18"/>
        <v>1E-4</v>
      </c>
      <c r="BF142">
        <v>12.9</v>
      </c>
      <c r="BG142" s="28">
        <f t="shared" si="20"/>
        <v>25.507650548809227</v>
      </c>
      <c r="BH142" t="e">
        <f t="shared" si="21"/>
        <v>#N/A</v>
      </c>
      <c r="BI142" t="e">
        <f t="shared" si="22"/>
        <v>#N/A</v>
      </c>
      <c r="BJ142">
        <v>10</v>
      </c>
    </row>
    <row r="143" spans="3:62" x14ac:dyDescent="0.3">
      <c r="C143">
        <v>14</v>
      </c>
      <c r="D143" s="36">
        <v>30.52</v>
      </c>
      <c r="K143" s="14">
        <f t="shared" si="19"/>
        <v>1E-3</v>
      </c>
      <c r="L143" s="14"/>
      <c r="O143" s="14">
        <f t="shared" si="17"/>
        <v>4.7156372549026095E-4</v>
      </c>
      <c r="P143" s="14">
        <f t="shared" si="18"/>
        <v>4.0000000000000002E-4</v>
      </c>
      <c r="BF143">
        <v>12.91</v>
      </c>
      <c r="BG143" s="28">
        <f t="shared" si="20"/>
        <v>25.527907038588502</v>
      </c>
      <c r="BH143" t="e">
        <f t="shared" si="21"/>
        <v>#N/A</v>
      </c>
      <c r="BI143" t="e">
        <f t="shared" si="22"/>
        <v>#N/A</v>
      </c>
      <c r="BJ143">
        <v>10</v>
      </c>
    </row>
    <row r="144" spans="3:62" x14ac:dyDescent="0.3">
      <c r="C144">
        <v>13</v>
      </c>
      <c r="D144" s="36">
        <v>31.63</v>
      </c>
      <c r="K144" s="14">
        <f t="shared" si="19"/>
        <v>1E-3</v>
      </c>
      <c r="L144" s="14"/>
      <c r="O144" s="14">
        <f t="shared" si="17"/>
        <v>1E-3</v>
      </c>
      <c r="P144" s="14">
        <f t="shared" si="18"/>
        <v>4.0000000000000002E-4</v>
      </c>
      <c r="BF144">
        <v>12.92</v>
      </c>
      <c r="BG144" s="28">
        <f t="shared" si="20"/>
        <v>25.54816352836778</v>
      </c>
      <c r="BH144" t="e">
        <f t="shared" si="21"/>
        <v>#N/A</v>
      </c>
      <c r="BI144" t="e">
        <f t="shared" si="22"/>
        <v>#N/A</v>
      </c>
      <c r="BJ144">
        <v>10</v>
      </c>
    </row>
    <row r="145" spans="3:62" x14ac:dyDescent="0.3">
      <c r="C145">
        <v>12</v>
      </c>
      <c r="D145" s="36">
        <v>20.239999999999998</v>
      </c>
      <c r="K145" s="14">
        <f t="shared" si="19"/>
        <v>1E-3</v>
      </c>
      <c r="L145" s="14"/>
      <c r="O145" s="14">
        <f t="shared" si="17"/>
        <v>3.0000000000000001E-3</v>
      </c>
      <c r="P145" s="14">
        <f t="shared" si="18"/>
        <v>1.5E-3</v>
      </c>
      <c r="BF145">
        <v>12.93</v>
      </c>
      <c r="BG145" s="28">
        <f t="shared" si="20"/>
        <v>25.568420018147059</v>
      </c>
      <c r="BH145" t="e">
        <f t="shared" si="21"/>
        <v>#N/A</v>
      </c>
      <c r="BI145" t="e">
        <f t="shared" si="22"/>
        <v>#N/A</v>
      </c>
      <c r="BJ145">
        <v>10</v>
      </c>
    </row>
    <row r="146" spans="3:62" x14ac:dyDescent="0.3">
      <c r="C146">
        <v>16</v>
      </c>
      <c r="D146" s="36">
        <v>35.22</v>
      </c>
      <c r="K146" s="14">
        <f t="shared" si="19"/>
        <v>1E-3</v>
      </c>
      <c r="L146" s="14"/>
      <c r="O146" s="14">
        <f t="shared" si="17"/>
        <v>2.0000000000000001E-4</v>
      </c>
      <c r="P146" s="14">
        <f t="shared" si="18"/>
        <v>1E-4</v>
      </c>
      <c r="BF146">
        <v>12.94</v>
      </c>
      <c r="BG146" s="28">
        <f t="shared" si="20"/>
        <v>25.588676507926333</v>
      </c>
      <c r="BH146" t="e">
        <f t="shared" si="21"/>
        <v>#N/A</v>
      </c>
      <c r="BI146" t="e">
        <f t="shared" si="22"/>
        <v>#N/A</v>
      </c>
      <c r="BJ146">
        <v>10</v>
      </c>
    </row>
    <row r="147" spans="3:62" x14ac:dyDescent="0.3">
      <c r="C147">
        <v>14</v>
      </c>
      <c r="D147" s="36">
        <v>28.6</v>
      </c>
      <c r="K147" s="14">
        <f t="shared" si="19"/>
        <v>1E-3</v>
      </c>
      <c r="L147" s="14"/>
      <c r="O147" s="14">
        <f t="shared" si="17"/>
        <v>4.7156372549026095E-4</v>
      </c>
      <c r="P147" s="14">
        <f t="shared" si="18"/>
        <v>4.0000000000000002E-4</v>
      </c>
      <c r="BF147">
        <v>12.95</v>
      </c>
      <c r="BG147" s="28">
        <f t="shared" si="20"/>
        <v>25.608932997705612</v>
      </c>
      <c r="BH147" t="e">
        <f t="shared" si="21"/>
        <v>#N/A</v>
      </c>
      <c r="BI147" t="e">
        <f t="shared" si="22"/>
        <v>#N/A</v>
      </c>
      <c r="BJ147">
        <v>10</v>
      </c>
    </row>
    <row r="148" spans="3:62" x14ac:dyDescent="0.3">
      <c r="C148">
        <v>13</v>
      </c>
      <c r="D148" s="36">
        <v>24.38</v>
      </c>
      <c r="K148" s="14">
        <f t="shared" si="19"/>
        <v>1E-3</v>
      </c>
      <c r="L148" s="14"/>
      <c r="O148" s="14">
        <f t="shared" si="17"/>
        <v>1E-3</v>
      </c>
      <c r="P148" s="14">
        <f t="shared" si="18"/>
        <v>7.8587786259546764E-4</v>
      </c>
      <c r="BF148">
        <v>12.96</v>
      </c>
      <c r="BG148" s="28">
        <f t="shared" si="20"/>
        <v>25.629189487484894</v>
      </c>
      <c r="BH148" t="e">
        <f t="shared" si="21"/>
        <v>#N/A</v>
      </c>
      <c r="BI148" t="e">
        <f t="shared" si="22"/>
        <v>#N/A</v>
      </c>
      <c r="BJ148">
        <v>10</v>
      </c>
    </row>
    <row r="149" spans="3:62" x14ac:dyDescent="0.3">
      <c r="C149">
        <v>12</v>
      </c>
      <c r="D149" s="36">
        <v>7.97</v>
      </c>
      <c r="E149" t="s">
        <v>95</v>
      </c>
      <c r="K149" s="14">
        <f t="shared" si="19"/>
        <v>1E-3</v>
      </c>
      <c r="L149" s="14"/>
      <c r="O149" s="14">
        <f t="shared" si="17"/>
        <v>3.0000000000000001E-3</v>
      </c>
      <c r="P149" s="14">
        <f t="shared" si="18"/>
        <v>5.0000000000000001E-3</v>
      </c>
      <c r="BF149">
        <v>12.97</v>
      </c>
      <c r="BG149" s="28">
        <f t="shared" si="20"/>
        <v>25.649445977264168</v>
      </c>
      <c r="BH149" t="e">
        <f t="shared" si="21"/>
        <v>#N/A</v>
      </c>
      <c r="BI149" t="e">
        <f t="shared" si="22"/>
        <v>#N/A</v>
      </c>
      <c r="BJ149">
        <v>10</v>
      </c>
    </row>
    <row r="150" spans="3:62" x14ac:dyDescent="0.3">
      <c r="C150">
        <v>13</v>
      </c>
      <c r="D150" s="36">
        <v>28.58</v>
      </c>
      <c r="K150" s="14">
        <f t="shared" si="19"/>
        <v>1E-3</v>
      </c>
      <c r="L150" s="14"/>
      <c r="O150" s="14">
        <f t="shared" si="17"/>
        <v>1E-3</v>
      </c>
      <c r="P150" s="14">
        <f t="shared" si="18"/>
        <v>4.0000000000000002E-4</v>
      </c>
      <c r="BF150">
        <v>12.98</v>
      </c>
      <c r="BG150" s="28">
        <f t="shared" si="20"/>
        <v>25.669702467043447</v>
      </c>
      <c r="BH150" t="e">
        <f t="shared" si="21"/>
        <v>#N/A</v>
      </c>
      <c r="BI150" t="e">
        <f t="shared" si="22"/>
        <v>#N/A</v>
      </c>
      <c r="BJ150">
        <v>10</v>
      </c>
    </row>
    <row r="151" spans="3:62" x14ac:dyDescent="0.3">
      <c r="C151">
        <v>16</v>
      </c>
      <c r="D151" s="36">
        <v>29.08</v>
      </c>
      <c r="K151" s="14">
        <f t="shared" si="19"/>
        <v>1E-3</v>
      </c>
      <c r="L151" s="14"/>
      <c r="O151" s="14">
        <f t="shared" si="17"/>
        <v>2.0000000000000001E-4</v>
      </c>
      <c r="P151" s="14">
        <f t="shared" si="18"/>
        <v>4.0000000000000002E-4</v>
      </c>
      <c r="BF151">
        <v>12.99</v>
      </c>
      <c r="BG151" s="28">
        <f t="shared" si="20"/>
        <v>25.689958956822725</v>
      </c>
      <c r="BH151" t="e">
        <f t="shared" si="21"/>
        <v>#N/A</v>
      </c>
      <c r="BI151" t="e">
        <f t="shared" si="22"/>
        <v>#N/A</v>
      </c>
      <c r="BJ151">
        <v>10</v>
      </c>
    </row>
    <row r="152" spans="3:62" x14ac:dyDescent="0.3">
      <c r="C152">
        <v>13</v>
      </c>
      <c r="D152" s="36">
        <v>20.239999999999998</v>
      </c>
      <c r="K152" s="14">
        <f t="shared" si="19"/>
        <v>1E-3</v>
      </c>
      <c r="L152" s="14"/>
      <c r="O152" s="14">
        <f t="shared" si="17"/>
        <v>1E-3</v>
      </c>
      <c r="P152" s="14">
        <f t="shared" si="18"/>
        <v>1.5E-3</v>
      </c>
      <c r="BF152">
        <v>13</v>
      </c>
      <c r="BG152" s="28">
        <f t="shared" si="20"/>
        <v>25.710215446602</v>
      </c>
      <c r="BH152" t="e">
        <f t="shared" si="21"/>
        <v>#N/A</v>
      </c>
      <c r="BI152" t="e">
        <f t="shared" si="22"/>
        <v>#N/A</v>
      </c>
      <c r="BJ152">
        <v>10</v>
      </c>
    </row>
    <row r="153" spans="3:62" x14ac:dyDescent="0.3">
      <c r="C153">
        <v>15</v>
      </c>
      <c r="D153" s="36">
        <v>27.13</v>
      </c>
      <c r="K153" s="14">
        <f t="shared" si="19"/>
        <v>1E-3</v>
      </c>
      <c r="L153" s="14"/>
      <c r="O153" s="14">
        <f t="shared" si="17"/>
        <v>4.0000000000000002E-4</v>
      </c>
      <c r="P153" s="14">
        <f t="shared" si="18"/>
        <v>7.8587786259546764E-4</v>
      </c>
      <c r="BF153">
        <v>13.01</v>
      </c>
      <c r="BG153" s="28">
        <f t="shared" si="20"/>
        <v>25.730471936381278</v>
      </c>
      <c r="BH153" t="e">
        <f t="shared" si="21"/>
        <v>#N/A</v>
      </c>
      <c r="BI153" t="e">
        <f t="shared" si="22"/>
        <v>#N/A</v>
      </c>
      <c r="BJ153">
        <v>10</v>
      </c>
    </row>
    <row r="154" spans="3:62" x14ac:dyDescent="0.3">
      <c r="C154">
        <v>15</v>
      </c>
      <c r="D154" s="36">
        <v>33.159999999999997</v>
      </c>
      <c r="K154" s="14">
        <f t="shared" si="19"/>
        <v>1E-3</v>
      </c>
      <c r="L154" s="14"/>
      <c r="O154" s="14">
        <f t="shared" si="17"/>
        <v>4.0000000000000002E-4</v>
      </c>
      <c r="P154" s="14">
        <f t="shared" si="18"/>
        <v>1E-4</v>
      </c>
      <c r="BF154">
        <v>13.02</v>
      </c>
      <c r="BG154" s="28">
        <f t="shared" si="20"/>
        <v>25.750728426160556</v>
      </c>
      <c r="BH154" t="e">
        <f t="shared" si="21"/>
        <v>#N/A</v>
      </c>
      <c r="BI154" t="e">
        <f t="shared" si="22"/>
        <v>#N/A</v>
      </c>
      <c r="BJ154">
        <v>10</v>
      </c>
    </row>
    <row r="155" spans="3:62" x14ac:dyDescent="0.3">
      <c r="C155">
        <v>15</v>
      </c>
      <c r="D155" s="36">
        <v>25.28</v>
      </c>
      <c r="K155" s="14">
        <f t="shared" si="19"/>
        <v>1E-3</v>
      </c>
      <c r="L155" s="14"/>
      <c r="O155" s="14">
        <f t="shared" si="17"/>
        <v>4.0000000000000002E-4</v>
      </c>
      <c r="P155" s="14">
        <f t="shared" si="18"/>
        <v>7.8587786259546764E-4</v>
      </c>
      <c r="BF155">
        <v>13.03</v>
      </c>
      <c r="BG155" s="28">
        <f t="shared" si="20"/>
        <v>25.770984915939831</v>
      </c>
      <c r="BH155" t="e">
        <f t="shared" si="21"/>
        <v>#N/A</v>
      </c>
      <c r="BI155" t="e">
        <f t="shared" si="22"/>
        <v>#N/A</v>
      </c>
      <c r="BJ155">
        <v>10</v>
      </c>
    </row>
    <row r="156" spans="3:62" x14ac:dyDescent="0.3">
      <c r="C156">
        <v>14</v>
      </c>
      <c r="D156" s="36">
        <v>34.840000000000003</v>
      </c>
      <c r="K156" s="14">
        <f t="shared" si="19"/>
        <v>1E-3</v>
      </c>
      <c r="L156" s="14"/>
      <c r="O156" s="14">
        <f t="shared" si="17"/>
        <v>4.7156372549026095E-4</v>
      </c>
      <c r="P156" s="14">
        <f t="shared" si="18"/>
        <v>1E-4</v>
      </c>
      <c r="BF156">
        <v>13.04</v>
      </c>
      <c r="BG156" s="28">
        <f t="shared" si="20"/>
        <v>25.791241405719109</v>
      </c>
      <c r="BH156" t="e">
        <f t="shared" si="21"/>
        <v>#N/A</v>
      </c>
      <c r="BI156" t="e">
        <f t="shared" si="22"/>
        <v>#N/A</v>
      </c>
      <c r="BJ156">
        <v>10</v>
      </c>
    </row>
    <row r="157" spans="3:62" x14ac:dyDescent="0.3">
      <c r="C157">
        <v>12</v>
      </c>
      <c r="D157" s="36">
        <v>20.89</v>
      </c>
      <c r="K157" s="14">
        <f t="shared" si="19"/>
        <v>1E-3</v>
      </c>
      <c r="L157" s="14"/>
      <c r="O157" s="14">
        <f t="shared" si="17"/>
        <v>3.0000000000000001E-3</v>
      </c>
      <c r="P157" s="14">
        <f t="shared" si="18"/>
        <v>1.5E-3</v>
      </c>
      <c r="BF157">
        <v>13.05</v>
      </c>
      <c r="BG157" s="28">
        <f t="shared" si="20"/>
        <v>25.811497895498391</v>
      </c>
      <c r="BH157" t="e">
        <f t="shared" si="21"/>
        <v>#N/A</v>
      </c>
      <c r="BI157" t="e">
        <f t="shared" si="22"/>
        <v>#N/A</v>
      </c>
      <c r="BJ157">
        <v>10</v>
      </c>
    </row>
    <row r="158" spans="3:62" x14ac:dyDescent="0.3">
      <c r="C158">
        <v>15</v>
      </c>
      <c r="D158" s="36">
        <v>38.67</v>
      </c>
      <c r="K158" s="14">
        <f t="shared" si="19"/>
        <v>1E-3</v>
      </c>
      <c r="L158" s="14"/>
      <c r="O158" s="14">
        <f t="shared" si="17"/>
        <v>4.0000000000000002E-4</v>
      </c>
      <c r="P158" s="14">
        <f t="shared" si="18"/>
        <v>1E-4</v>
      </c>
      <c r="BF158">
        <v>13.06</v>
      </c>
      <c r="BG158" s="28">
        <f t="shared" si="20"/>
        <v>25.831754385277666</v>
      </c>
      <c r="BH158" t="e">
        <f t="shared" si="21"/>
        <v>#N/A</v>
      </c>
      <c r="BI158" t="e">
        <f t="shared" si="22"/>
        <v>#N/A</v>
      </c>
      <c r="BJ158">
        <v>10</v>
      </c>
    </row>
    <row r="159" spans="3:62" x14ac:dyDescent="0.3">
      <c r="C159">
        <v>15</v>
      </c>
      <c r="D159" s="36">
        <v>23.45</v>
      </c>
      <c r="K159" s="14">
        <f t="shared" si="19"/>
        <v>1E-3</v>
      </c>
      <c r="L159" s="14"/>
      <c r="O159" s="14">
        <f t="shared" si="17"/>
        <v>4.0000000000000002E-4</v>
      </c>
      <c r="P159" s="14">
        <f t="shared" si="18"/>
        <v>1.5E-3</v>
      </c>
      <c r="BF159">
        <v>13.07</v>
      </c>
      <c r="BG159" s="28">
        <f t="shared" si="20"/>
        <v>25.852010875056944</v>
      </c>
      <c r="BH159" t="e">
        <f t="shared" si="21"/>
        <v>#N/A</v>
      </c>
      <c r="BI159" t="e">
        <f t="shared" si="22"/>
        <v>#N/A</v>
      </c>
      <c r="BJ159">
        <v>10</v>
      </c>
    </row>
    <row r="160" spans="3:62" x14ac:dyDescent="0.3">
      <c r="C160">
        <v>12</v>
      </c>
      <c r="D160" s="36">
        <v>24.57</v>
      </c>
      <c r="K160" s="14">
        <f t="shared" si="19"/>
        <v>1E-3</v>
      </c>
      <c r="L160" s="14"/>
      <c r="O160" s="14">
        <f t="shared" si="17"/>
        <v>3.0000000000000001E-3</v>
      </c>
      <c r="P160" s="14">
        <f t="shared" si="18"/>
        <v>7.8587786259546764E-4</v>
      </c>
      <c r="BF160">
        <v>13.08</v>
      </c>
      <c r="BG160" s="28">
        <f t="shared" si="20"/>
        <v>25.872267364836222</v>
      </c>
      <c r="BH160" t="e">
        <f t="shared" si="21"/>
        <v>#N/A</v>
      </c>
      <c r="BI160" t="e">
        <f t="shared" si="22"/>
        <v>#N/A</v>
      </c>
      <c r="BJ160">
        <v>10</v>
      </c>
    </row>
    <row r="161" spans="3:62" x14ac:dyDescent="0.3">
      <c r="C161">
        <v>15</v>
      </c>
      <c r="D161" s="36">
        <v>31.4</v>
      </c>
      <c r="K161" s="14">
        <f t="shared" si="19"/>
        <v>1E-3</v>
      </c>
      <c r="L161" s="14"/>
      <c r="O161" s="14">
        <f t="shared" si="17"/>
        <v>4.0000000000000002E-4</v>
      </c>
      <c r="P161" s="14">
        <f t="shared" si="18"/>
        <v>4.0000000000000002E-4</v>
      </c>
      <c r="BF161">
        <v>13.09</v>
      </c>
      <c r="BG161" s="28">
        <f t="shared" si="20"/>
        <v>25.892523854615497</v>
      </c>
      <c r="BH161" t="e">
        <f t="shared" si="21"/>
        <v>#N/A</v>
      </c>
      <c r="BI161" t="e">
        <f t="shared" si="22"/>
        <v>#N/A</v>
      </c>
      <c r="BJ161">
        <v>10</v>
      </c>
    </row>
    <row r="162" spans="3:62" x14ac:dyDescent="0.3">
      <c r="C162">
        <v>14</v>
      </c>
      <c r="D162" s="36">
        <v>34.200000000000003</v>
      </c>
      <c r="K162" s="14">
        <f t="shared" si="19"/>
        <v>1E-3</v>
      </c>
      <c r="L162" s="14"/>
      <c r="O162" s="14">
        <f t="shared" si="17"/>
        <v>4.7156372549026095E-4</v>
      </c>
      <c r="P162" s="14">
        <f t="shared" si="18"/>
        <v>1E-4</v>
      </c>
      <c r="BF162">
        <v>13.1</v>
      </c>
      <c r="BG162" s="28">
        <f t="shared" si="20"/>
        <v>25.912780344394776</v>
      </c>
      <c r="BH162" t="e">
        <f t="shared" si="21"/>
        <v>#N/A</v>
      </c>
      <c r="BI162" t="e">
        <f t="shared" si="22"/>
        <v>#N/A</v>
      </c>
      <c r="BJ162">
        <v>10</v>
      </c>
    </row>
    <row r="163" spans="3:62" x14ac:dyDescent="0.3">
      <c r="C163">
        <v>16</v>
      </c>
      <c r="D163" s="36">
        <v>22.12</v>
      </c>
      <c r="K163" s="14">
        <f t="shared" si="19"/>
        <v>1E-3</v>
      </c>
      <c r="L163" s="14"/>
      <c r="O163" s="14">
        <f t="shared" si="17"/>
        <v>2.0000000000000001E-4</v>
      </c>
      <c r="P163" s="14">
        <f t="shared" si="18"/>
        <v>1.5E-3</v>
      </c>
      <c r="BF163">
        <v>13.11</v>
      </c>
      <c r="BG163" s="28">
        <f t="shared" si="20"/>
        <v>25.933036834174054</v>
      </c>
      <c r="BH163" t="e">
        <f t="shared" si="21"/>
        <v>#N/A</v>
      </c>
      <c r="BI163" t="e">
        <f t="shared" si="22"/>
        <v>#N/A</v>
      </c>
      <c r="BJ163">
        <v>10</v>
      </c>
    </row>
    <row r="164" spans="3:62" x14ac:dyDescent="0.3">
      <c r="C164">
        <v>12</v>
      </c>
      <c r="D164" s="36">
        <v>33.56</v>
      </c>
      <c r="K164" s="14">
        <f t="shared" si="19"/>
        <v>1E-3</v>
      </c>
      <c r="L164" s="14"/>
      <c r="O164" s="14">
        <f t="shared" si="17"/>
        <v>3.0000000000000001E-3</v>
      </c>
      <c r="P164" s="14">
        <f t="shared" si="18"/>
        <v>1E-4</v>
      </c>
      <c r="BF164">
        <v>13.12</v>
      </c>
      <c r="BG164" s="28">
        <f t="shared" si="20"/>
        <v>25.953293323953329</v>
      </c>
      <c r="BH164" t="e">
        <f t="shared" si="21"/>
        <v>#N/A</v>
      </c>
      <c r="BI164" t="e">
        <f t="shared" si="22"/>
        <v>#N/A</v>
      </c>
      <c r="BJ164">
        <v>10</v>
      </c>
    </row>
    <row r="165" spans="3:62" x14ac:dyDescent="0.3">
      <c r="C165">
        <v>12</v>
      </c>
      <c r="D165" s="36">
        <v>28.41</v>
      </c>
      <c r="K165" s="14">
        <f t="shared" si="19"/>
        <v>1E-3</v>
      </c>
      <c r="L165" s="14"/>
      <c r="O165" s="14">
        <f t="shared" si="17"/>
        <v>3.0000000000000001E-3</v>
      </c>
      <c r="P165" s="14">
        <f t="shared" si="18"/>
        <v>4.0000000000000002E-4</v>
      </c>
      <c r="BF165">
        <v>13.13</v>
      </c>
      <c r="BG165" s="28">
        <f t="shared" si="20"/>
        <v>25.97354981373261</v>
      </c>
      <c r="BH165" t="e">
        <f t="shared" si="21"/>
        <v>#N/A</v>
      </c>
      <c r="BI165" t="e">
        <f t="shared" si="22"/>
        <v>#N/A</v>
      </c>
      <c r="BJ165">
        <v>10</v>
      </c>
    </row>
    <row r="166" spans="3:62" x14ac:dyDescent="0.3">
      <c r="C166">
        <v>14</v>
      </c>
      <c r="D166" s="36">
        <v>26.9</v>
      </c>
      <c r="K166" s="14">
        <f t="shared" si="19"/>
        <v>1E-3</v>
      </c>
      <c r="L166" s="14"/>
      <c r="O166" s="14">
        <f t="shared" si="17"/>
        <v>4.7156372549026095E-4</v>
      </c>
      <c r="P166" s="14">
        <f t="shared" si="18"/>
        <v>7.8587786259546764E-4</v>
      </c>
      <c r="BF166">
        <v>13.14</v>
      </c>
      <c r="BG166" s="28">
        <f t="shared" si="20"/>
        <v>25.993806303511889</v>
      </c>
      <c r="BH166" t="e">
        <f t="shared" si="21"/>
        <v>#N/A</v>
      </c>
      <c r="BI166" t="e">
        <f t="shared" si="22"/>
        <v>#N/A</v>
      </c>
      <c r="BJ166">
        <v>10</v>
      </c>
    </row>
    <row r="167" spans="3:62" x14ac:dyDescent="0.3">
      <c r="C167">
        <v>15</v>
      </c>
      <c r="D167" s="36">
        <v>27.6</v>
      </c>
      <c r="K167" s="14">
        <f t="shared" si="19"/>
        <v>1E-3</v>
      </c>
      <c r="L167" s="14"/>
      <c r="O167" s="14">
        <f t="shared" si="17"/>
        <v>4.0000000000000002E-4</v>
      </c>
      <c r="P167" s="14">
        <f t="shared" si="18"/>
        <v>7.8587786259546764E-4</v>
      </c>
      <c r="BF167">
        <v>13.15</v>
      </c>
      <c r="BG167" s="28">
        <f t="shared" si="20"/>
        <v>26.014062793291163</v>
      </c>
      <c r="BH167" t="e">
        <f t="shared" si="21"/>
        <v>#N/A</v>
      </c>
      <c r="BI167" t="e">
        <f t="shared" si="22"/>
        <v>#N/A</v>
      </c>
      <c r="BJ167">
        <v>10</v>
      </c>
    </row>
    <row r="168" spans="3:62" x14ac:dyDescent="0.3">
      <c r="C168">
        <v>13</v>
      </c>
      <c r="D168" s="36">
        <v>19.47</v>
      </c>
      <c r="K168" s="14">
        <f t="shared" si="19"/>
        <v>1E-3</v>
      </c>
      <c r="L168" s="14"/>
      <c r="O168" s="14">
        <f t="shared" si="17"/>
        <v>1E-3</v>
      </c>
      <c r="P168" s="14">
        <f t="shared" si="18"/>
        <v>5.0000000000000001E-3</v>
      </c>
      <c r="BF168">
        <v>13.16</v>
      </c>
      <c r="BG168" s="28">
        <f t="shared" si="20"/>
        <v>26.034319283070442</v>
      </c>
      <c r="BH168" t="e">
        <f t="shared" si="21"/>
        <v>#N/A</v>
      </c>
      <c r="BI168" t="e">
        <f t="shared" si="22"/>
        <v>#N/A</v>
      </c>
      <c r="BJ168">
        <v>10</v>
      </c>
    </row>
    <row r="169" spans="3:62" x14ac:dyDescent="0.3">
      <c r="C169">
        <v>14</v>
      </c>
      <c r="D169" s="36">
        <v>35.68</v>
      </c>
      <c r="K169" s="14">
        <f t="shared" si="19"/>
        <v>1E-3</v>
      </c>
      <c r="L169" s="14"/>
      <c r="O169" s="14">
        <f t="shared" si="17"/>
        <v>4.7156372549026095E-4</v>
      </c>
      <c r="P169" s="14">
        <f t="shared" si="18"/>
        <v>1E-4</v>
      </c>
      <c r="BF169">
        <v>13.17</v>
      </c>
      <c r="BG169" s="28">
        <f t="shared" si="20"/>
        <v>26.05457577284972</v>
      </c>
      <c r="BH169" t="e">
        <f t="shared" si="21"/>
        <v>#N/A</v>
      </c>
      <c r="BI169" t="e">
        <f t="shared" si="22"/>
        <v>#N/A</v>
      </c>
      <c r="BJ169">
        <v>10</v>
      </c>
    </row>
    <row r="170" spans="3:62" x14ac:dyDescent="0.3">
      <c r="C170">
        <v>12</v>
      </c>
      <c r="D170" s="36">
        <v>32.65</v>
      </c>
      <c r="K170" s="14">
        <f t="shared" si="19"/>
        <v>1E-3</v>
      </c>
      <c r="L170" s="14"/>
      <c r="O170" s="14">
        <f t="shared" si="17"/>
        <v>3.0000000000000001E-3</v>
      </c>
      <c r="P170" s="14">
        <f t="shared" si="18"/>
        <v>1E-4</v>
      </c>
      <c r="BF170">
        <v>13.18</v>
      </c>
      <c r="BG170" s="28">
        <f t="shared" si="20"/>
        <v>26.074832262628995</v>
      </c>
      <c r="BH170" t="e">
        <f t="shared" si="21"/>
        <v>#N/A</v>
      </c>
      <c r="BI170" t="e">
        <f t="shared" si="22"/>
        <v>#N/A</v>
      </c>
      <c r="BJ170">
        <v>10</v>
      </c>
    </row>
    <row r="171" spans="3:62" x14ac:dyDescent="0.3">
      <c r="C171">
        <v>12</v>
      </c>
      <c r="D171" s="36">
        <v>28.61</v>
      </c>
      <c r="K171" s="14">
        <f t="shared" si="19"/>
        <v>1E-3</v>
      </c>
      <c r="L171" s="14"/>
      <c r="O171" s="14">
        <f t="shared" si="17"/>
        <v>3.0000000000000001E-3</v>
      </c>
      <c r="P171" s="14">
        <f t="shared" si="18"/>
        <v>4.0000000000000002E-4</v>
      </c>
      <c r="BF171">
        <v>13.19</v>
      </c>
      <c r="BG171" s="28">
        <f t="shared" si="20"/>
        <v>26.095088752408273</v>
      </c>
      <c r="BH171" t="e">
        <f t="shared" si="21"/>
        <v>#N/A</v>
      </c>
      <c r="BI171" t="e">
        <f t="shared" si="22"/>
        <v>#N/A</v>
      </c>
      <c r="BJ171">
        <v>10</v>
      </c>
    </row>
    <row r="172" spans="3:62" x14ac:dyDescent="0.3">
      <c r="C172">
        <v>12</v>
      </c>
      <c r="D172" s="36">
        <v>30.54</v>
      </c>
      <c r="K172" s="14">
        <f t="shared" si="19"/>
        <v>1E-3</v>
      </c>
      <c r="L172" s="14"/>
      <c r="O172" s="14">
        <f t="shared" si="17"/>
        <v>3.0000000000000001E-3</v>
      </c>
      <c r="P172" s="14">
        <f t="shared" si="18"/>
        <v>4.0000000000000002E-4</v>
      </c>
      <c r="BF172">
        <v>13.2</v>
      </c>
      <c r="BG172" s="28">
        <f t="shared" si="20"/>
        <v>26.115345242187548</v>
      </c>
      <c r="BH172" t="e">
        <f t="shared" si="21"/>
        <v>#N/A</v>
      </c>
      <c r="BI172" t="e">
        <f t="shared" si="22"/>
        <v>#N/A</v>
      </c>
      <c r="BJ172">
        <v>10</v>
      </c>
    </row>
    <row r="173" spans="3:62" x14ac:dyDescent="0.3">
      <c r="C173">
        <v>16</v>
      </c>
      <c r="D173" s="36">
        <v>21.63</v>
      </c>
      <c r="K173" s="14">
        <f t="shared" si="19"/>
        <v>1E-3</v>
      </c>
      <c r="L173" s="14"/>
      <c r="O173" s="14">
        <f t="shared" si="17"/>
        <v>2.0000000000000001E-4</v>
      </c>
      <c r="P173" s="14">
        <f t="shared" si="18"/>
        <v>1.5E-3</v>
      </c>
      <c r="BF173">
        <v>13.21</v>
      </c>
      <c r="BG173" s="28">
        <f t="shared" si="20"/>
        <v>26.13560173196683</v>
      </c>
      <c r="BH173" t="e">
        <f t="shared" si="21"/>
        <v>#N/A</v>
      </c>
      <c r="BI173" t="e">
        <f t="shared" si="22"/>
        <v>#N/A</v>
      </c>
      <c r="BJ173">
        <v>10</v>
      </c>
    </row>
    <row r="174" spans="3:62" x14ac:dyDescent="0.3">
      <c r="C174">
        <v>13</v>
      </c>
      <c r="D174" s="36">
        <v>25.48</v>
      </c>
      <c r="K174" s="14">
        <f t="shared" si="19"/>
        <v>1E-3</v>
      </c>
      <c r="L174" s="14"/>
      <c r="O174" s="14">
        <f t="shared" si="17"/>
        <v>1E-3</v>
      </c>
      <c r="P174" s="14">
        <f t="shared" si="18"/>
        <v>7.8587786259546764E-4</v>
      </c>
      <c r="BF174">
        <v>13.22</v>
      </c>
      <c r="BG174" s="28">
        <f t="shared" si="20"/>
        <v>26.155858221746108</v>
      </c>
      <c r="BH174" t="e">
        <f t="shared" si="21"/>
        <v>#N/A</v>
      </c>
      <c r="BI174" t="e">
        <f t="shared" si="22"/>
        <v>#N/A</v>
      </c>
      <c r="BJ174">
        <v>10</v>
      </c>
    </row>
    <row r="175" spans="3:62" x14ac:dyDescent="0.3">
      <c r="C175">
        <v>15</v>
      </c>
      <c r="D175" s="36">
        <v>29.71</v>
      </c>
      <c r="K175" s="14">
        <f t="shared" si="19"/>
        <v>1E-3</v>
      </c>
      <c r="L175" s="14"/>
      <c r="O175" s="14">
        <f t="shared" si="17"/>
        <v>4.0000000000000002E-4</v>
      </c>
      <c r="P175" s="14">
        <f t="shared" si="18"/>
        <v>4.0000000000000002E-4</v>
      </c>
      <c r="BF175">
        <v>13.23</v>
      </c>
      <c r="BG175" s="28">
        <f t="shared" si="20"/>
        <v>26.176114711525383</v>
      </c>
      <c r="BH175" t="e">
        <f t="shared" si="21"/>
        <v>#N/A</v>
      </c>
      <c r="BI175" t="e">
        <f t="shared" si="22"/>
        <v>#N/A</v>
      </c>
      <c r="BJ175">
        <v>10</v>
      </c>
    </row>
    <row r="176" spans="3:62" x14ac:dyDescent="0.3">
      <c r="C176">
        <v>12</v>
      </c>
      <c r="D176" s="36">
        <v>27.49</v>
      </c>
      <c r="K176" s="14">
        <f t="shared" si="19"/>
        <v>1E-3</v>
      </c>
      <c r="L176" s="14"/>
      <c r="O176" s="14">
        <f t="shared" si="17"/>
        <v>3.0000000000000001E-3</v>
      </c>
      <c r="P176" s="14">
        <f t="shared" si="18"/>
        <v>7.8587786259546764E-4</v>
      </c>
      <c r="BF176">
        <v>13.24</v>
      </c>
      <c r="BG176" s="28">
        <f t="shared" si="20"/>
        <v>26.196371201304661</v>
      </c>
      <c r="BH176" t="e">
        <f t="shared" si="21"/>
        <v>#N/A</v>
      </c>
      <c r="BI176" t="e">
        <f t="shared" si="22"/>
        <v>#N/A</v>
      </c>
      <c r="BJ176">
        <v>10</v>
      </c>
    </row>
    <row r="177" spans="3:62" x14ac:dyDescent="0.3">
      <c r="C177">
        <v>12</v>
      </c>
      <c r="D177" s="36">
        <v>30.61</v>
      </c>
      <c r="K177" s="14">
        <f t="shared" si="19"/>
        <v>1E-3</v>
      </c>
      <c r="L177" s="14"/>
      <c r="O177" s="14">
        <f t="shared" si="17"/>
        <v>3.0000000000000001E-3</v>
      </c>
      <c r="P177" s="14">
        <f t="shared" si="18"/>
        <v>4.0000000000000002E-4</v>
      </c>
      <c r="BF177">
        <v>13.25</v>
      </c>
      <c r="BG177" s="28">
        <f t="shared" si="20"/>
        <v>26.216627691083939</v>
      </c>
      <c r="BH177" t="e">
        <f t="shared" si="21"/>
        <v>#N/A</v>
      </c>
      <c r="BI177" t="e">
        <f t="shared" si="22"/>
        <v>#N/A</v>
      </c>
      <c r="BJ177">
        <v>10</v>
      </c>
    </row>
    <row r="178" spans="3:62" x14ac:dyDescent="0.3">
      <c r="C178">
        <v>14</v>
      </c>
      <c r="D178" s="36">
        <v>28.52</v>
      </c>
      <c r="K178" s="14">
        <f t="shared" si="19"/>
        <v>1E-3</v>
      </c>
      <c r="L178" s="14"/>
      <c r="O178" s="14">
        <f t="shared" si="17"/>
        <v>4.7156372549026095E-4</v>
      </c>
      <c r="P178" s="14">
        <f t="shared" si="18"/>
        <v>4.0000000000000002E-4</v>
      </c>
      <c r="BF178">
        <v>13.26</v>
      </c>
      <c r="BG178" s="28">
        <f t="shared" si="20"/>
        <v>26.236884180863214</v>
      </c>
      <c r="BH178" t="e">
        <f t="shared" si="21"/>
        <v>#N/A</v>
      </c>
      <c r="BI178" t="e">
        <f t="shared" si="22"/>
        <v>#N/A</v>
      </c>
      <c r="BJ178">
        <v>10</v>
      </c>
    </row>
    <row r="179" spans="3:62" x14ac:dyDescent="0.3">
      <c r="C179">
        <v>15</v>
      </c>
      <c r="D179" s="36">
        <v>30.29</v>
      </c>
      <c r="K179" s="14">
        <f t="shared" si="19"/>
        <v>1E-3</v>
      </c>
      <c r="L179" s="14"/>
      <c r="O179" s="14">
        <f t="shared" si="17"/>
        <v>4.0000000000000002E-4</v>
      </c>
      <c r="P179" s="14">
        <f t="shared" si="18"/>
        <v>4.0000000000000002E-4</v>
      </c>
      <c r="BF179">
        <v>13.27</v>
      </c>
      <c r="BG179" s="28">
        <f t="shared" si="20"/>
        <v>26.257140670642492</v>
      </c>
      <c r="BH179" t="e">
        <f t="shared" si="21"/>
        <v>#N/A</v>
      </c>
      <c r="BI179" t="e">
        <f t="shared" si="22"/>
        <v>#N/A</v>
      </c>
      <c r="BJ179">
        <v>10</v>
      </c>
    </row>
    <row r="180" spans="3:62" x14ac:dyDescent="0.3">
      <c r="C180">
        <v>12</v>
      </c>
      <c r="D180" s="36">
        <v>27.61</v>
      </c>
      <c r="K180" s="14">
        <f t="shared" si="19"/>
        <v>1E-3</v>
      </c>
      <c r="L180" s="14"/>
      <c r="O180" s="14">
        <f t="shared" si="17"/>
        <v>3.0000000000000001E-3</v>
      </c>
      <c r="P180" s="14">
        <f t="shared" si="18"/>
        <v>7.8587786259546764E-4</v>
      </c>
      <c r="BF180">
        <v>13.28</v>
      </c>
      <c r="BG180" s="28">
        <f t="shared" si="20"/>
        <v>26.277397160421771</v>
      </c>
      <c r="BH180" t="e">
        <f t="shared" si="21"/>
        <v>#N/A</v>
      </c>
      <c r="BI180" t="e">
        <f t="shared" si="22"/>
        <v>#N/A</v>
      </c>
      <c r="BJ180">
        <v>10</v>
      </c>
    </row>
    <row r="181" spans="3:62" x14ac:dyDescent="0.3">
      <c r="C181">
        <v>15</v>
      </c>
      <c r="D181" s="36">
        <v>19.75</v>
      </c>
      <c r="K181" s="14">
        <f t="shared" si="19"/>
        <v>1E-3</v>
      </c>
      <c r="L181" s="14"/>
      <c r="O181" s="14">
        <f t="shared" si="17"/>
        <v>4.0000000000000002E-4</v>
      </c>
      <c r="P181" s="14">
        <f t="shared" si="18"/>
        <v>5.0000000000000001E-3</v>
      </c>
      <c r="BF181">
        <v>13.29</v>
      </c>
      <c r="BG181" s="28">
        <f t="shared" si="20"/>
        <v>26.297653650201045</v>
      </c>
      <c r="BH181" t="e">
        <f t="shared" si="21"/>
        <v>#N/A</v>
      </c>
      <c r="BI181" t="e">
        <f t="shared" si="22"/>
        <v>#N/A</v>
      </c>
      <c r="BJ181">
        <v>10</v>
      </c>
    </row>
    <row r="182" spans="3:62" x14ac:dyDescent="0.3">
      <c r="C182">
        <v>13</v>
      </c>
      <c r="D182" s="36">
        <v>24.62</v>
      </c>
      <c r="K182" s="14">
        <f t="shared" si="19"/>
        <v>1E-3</v>
      </c>
      <c r="L182" s="14"/>
      <c r="O182" s="14">
        <f t="shared" si="17"/>
        <v>1E-3</v>
      </c>
      <c r="P182" s="14">
        <f t="shared" si="18"/>
        <v>7.8587786259546764E-4</v>
      </c>
      <c r="BF182">
        <v>13.3</v>
      </c>
      <c r="BG182" s="28">
        <f t="shared" si="20"/>
        <v>26.317910139980327</v>
      </c>
      <c r="BH182" t="e">
        <f t="shared" si="21"/>
        <v>#N/A</v>
      </c>
      <c r="BI182" t="e">
        <f t="shared" si="22"/>
        <v>#N/A</v>
      </c>
      <c r="BJ182">
        <v>10</v>
      </c>
    </row>
    <row r="183" spans="3:62" x14ac:dyDescent="0.3">
      <c r="C183">
        <v>16</v>
      </c>
      <c r="D183" s="36">
        <v>33.28</v>
      </c>
      <c r="K183" s="14">
        <f t="shared" si="19"/>
        <v>1E-3</v>
      </c>
      <c r="L183" s="14"/>
      <c r="O183" s="14">
        <f t="shared" si="17"/>
        <v>2.0000000000000001E-4</v>
      </c>
      <c r="P183" s="14">
        <f t="shared" si="18"/>
        <v>1E-4</v>
      </c>
      <c r="BF183">
        <v>13.31</v>
      </c>
      <c r="BG183" s="28">
        <f t="shared" si="20"/>
        <v>26.338166629759606</v>
      </c>
      <c r="BH183" t="e">
        <f t="shared" si="21"/>
        <v>#N/A</v>
      </c>
      <c r="BI183" t="e">
        <f t="shared" si="22"/>
        <v>#N/A</v>
      </c>
      <c r="BJ183">
        <v>10</v>
      </c>
    </row>
    <row r="184" spans="3:62" x14ac:dyDescent="0.3">
      <c r="C184">
        <v>14</v>
      </c>
      <c r="D184" s="36">
        <v>22.47</v>
      </c>
      <c r="K184" s="14">
        <f t="shared" si="19"/>
        <v>1E-3</v>
      </c>
      <c r="L184" s="14"/>
      <c r="O184" s="14">
        <f t="shared" si="17"/>
        <v>4.7156372549026095E-4</v>
      </c>
      <c r="P184" s="14">
        <f t="shared" si="18"/>
        <v>1.5E-3</v>
      </c>
      <c r="BF184">
        <v>13.32</v>
      </c>
      <c r="BG184" s="28">
        <f t="shared" si="20"/>
        <v>26.35842311953888</v>
      </c>
      <c r="BH184" t="e">
        <f t="shared" si="21"/>
        <v>#N/A</v>
      </c>
      <c r="BI184" t="e">
        <f t="shared" si="22"/>
        <v>#N/A</v>
      </c>
      <c r="BJ184">
        <v>10</v>
      </c>
    </row>
    <row r="185" spans="3:62" x14ac:dyDescent="0.3">
      <c r="C185">
        <v>13</v>
      </c>
      <c r="D185" s="36">
        <v>32.1</v>
      </c>
      <c r="K185" s="14">
        <f t="shared" si="19"/>
        <v>1E-3</v>
      </c>
      <c r="L185" s="14"/>
      <c r="O185" s="14">
        <f t="shared" si="17"/>
        <v>1E-3</v>
      </c>
      <c r="P185" s="14">
        <f t="shared" si="18"/>
        <v>1E-4</v>
      </c>
      <c r="BF185">
        <v>13.33</v>
      </c>
      <c r="BG185" s="28">
        <f t="shared" si="20"/>
        <v>26.378679609318159</v>
      </c>
      <c r="BH185" t="e">
        <f t="shared" si="21"/>
        <v>#N/A</v>
      </c>
      <c r="BI185" t="e">
        <f t="shared" si="22"/>
        <v>#N/A</v>
      </c>
      <c r="BJ185">
        <v>10</v>
      </c>
    </row>
    <row r="186" spans="3:62" x14ac:dyDescent="0.3">
      <c r="C186">
        <v>14</v>
      </c>
      <c r="D186" s="36">
        <v>33.33</v>
      </c>
      <c r="K186" s="14">
        <f t="shared" si="19"/>
        <v>1E-3</v>
      </c>
      <c r="L186" s="14"/>
      <c r="O186" s="14">
        <f t="shared" si="17"/>
        <v>4.7156372549026095E-4</v>
      </c>
      <c r="P186" s="14">
        <f t="shared" si="18"/>
        <v>1E-4</v>
      </c>
      <c r="BF186">
        <v>13.34</v>
      </c>
      <c r="BG186" s="28">
        <f t="shared" si="20"/>
        <v>26.398936099097437</v>
      </c>
      <c r="BH186" t="e">
        <f t="shared" si="21"/>
        <v>#N/A</v>
      </c>
      <c r="BI186" t="e">
        <f t="shared" si="22"/>
        <v>#N/A</v>
      </c>
      <c r="BJ186">
        <v>10</v>
      </c>
    </row>
    <row r="187" spans="3:62" x14ac:dyDescent="0.3">
      <c r="C187">
        <v>14</v>
      </c>
      <c r="D187" s="36">
        <v>36.15</v>
      </c>
      <c r="K187" s="14">
        <f t="shared" si="19"/>
        <v>1E-3</v>
      </c>
      <c r="L187" s="14"/>
      <c r="O187" s="14">
        <f t="shared" si="17"/>
        <v>4.7156372549026095E-4</v>
      </c>
      <c r="P187" s="14">
        <f t="shared" si="18"/>
        <v>1E-4</v>
      </c>
      <c r="BF187">
        <v>13.35</v>
      </c>
      <c r="BG187" s="28">
        <f t="shared" si="20"/>
        <v>26.419192588876712</v>
      </c>
      <c r="BH187" t="e">
        <f t="shared" si="21"/>
        <v>#N/A</v>
      </c>
      <c r="BI187" t="e">
        <f t="shared" si="22"/>
        <v>#N/A</v>
      </c>
      <c r="BJ187">
        <v>10</v>
      </c>
    </row>
    <row r="188" spans="3:62" x14ac:dyDescent="0.3">
      <c r="C188">
        <v>16</v>
      </c>
      <c r="D188" s="36">
        <v>29.83</v>
      </c>
      <c r="K188" s="14">
        <f t="shared" si="19"/>
        <v>1E-3</v>
      </c>
      <c r="L188" s="14"/>
      <c r="O188" s="14">
        <f t="shared" si="17"/>
        <v>2.0000000000000001E-4</v>
      </c>
      <c r="P188" s="14">
        <f t="shared" si="18"/>
        <v>4.0000000000000002E-4</v>
      </c>
      <c r="BF188">
        <v>13.36</v>
      </c>
      <c r="BG188" s="28">
        <f t="shared" si="20"/>
        <v>26.43944907865599</v>
      </c>
      <c r="BH188" t="e">
        <f t="shared" si="21"/>
        <v>#N/A</v>
      </c>
      <c r="BI188" t="e">
        <f t="shared" si="22"/>
        <v>#N/A</v>
      </c>
      <c r="BJ188">
        <v>10</v>
      </c>
    </row>
    <row r="189" spans="3:62" x14ac:dyDescent="0.3">
      <c r="C189">
        <v>13</v>
      </c>
      <c r="D189" s="36">
        <v>28.27</v>
      </c>
      <c r="K189" s="14">
        <f t="shared" si="19"/>
        <v>1E-3</v>
      </c>
      <c r="L189" s="14"/>
      <c r="O189" s="14">
        <f t="shared" si="17"/>
        <v>1E-3</v>
      </c>
      <c r="P189" s="14">
        <f t="shared" si="18"/>
        <v>4.0000000000000002E-4</v>
      </c>
      <c r="BF189">
        <v>13.37</v>
      </c>
      <c r="BG189" s="28">
        <f t="shared" si="20"/>
        <v>26.459705568435268</v>
      </c>
      <c r="BH189" t="e">
        <f t="shared" si="21"/>
        <v>#N/A</v>
      </c>
      <c r="BI189" t="e">
        <f t="shared" si="22"/>
        <v>#N/A</v>
      </c>
      <c r="BJ189">
        <v>10</v>
      </c>
    </row>
    <row r="190" spans="3:62" x14ac:dyDescent="0.3">
      <c r="C190">
        <v>16</v>
      </c>
      <c r="D190" s="36">
        <v>34.590000000000003</v>
      </c>
      <c r="K190" s="14">
        <f t="shared" si="19"/>
        <v>1E-3</v>
      </c>
      <c r="L190" s="14"/>
      <c r="O190" s="14">
        <f t="shared" si="17"/>
        <v>2.0000000000000001E-4</v>
      </c>
      <c r="P190" s="14">
        <f t="shared" si="18"/>
        <v>1E-4</v>
      </c>
      <c r="BF190">
        <v>13.38</v>
      </c>
      <c r="BG190" s="28">
        <f t="shared" si="20"/>
        <v>26.479962058214547</v>
      </c>
      <c r="BH190" t="e">
        <f t="shared" si="21"/>
        <v>#N/A</v>
      </c>
      <c r="BI190" t="e">
        <f t="shared" si="22"/>
        <v>#N/A</v>
      </c>
      <c r="BJ190">
        <v>10</v>
      </c>
    </row>
    <row r="191" spans="3:62" x14ac:dyDescent="0.3">
      <c r="C191">
        <v>12</v>
      </c>
      <c r="D191" s="36">
        <v>19.309999999999999</v>
      </c>
      <c r="K191" s="14">
        <f t="shared" si="19"/>
        <v>1E-3</v>
      </c>
      <c r="L191" s="14"/>
      <c r="O191" s="14">
        <f t="shared" si="17"/>
        <v>3.0000000000000001E-3</v>
      </c>
      <c r="P191" s="14">
        <f t="shared" si="18"/>
        <v>5.0000000000000001E-3</v>
      </c>
      <c r="BF191">
        <v>13.39</v>
      </c>
      <c r="BG191" s="28">
        <f t="shared" si="20"/>
        <v>26.500218547993825</v>
      </c>
      <c r="BH191" t="e">
        <f t="shared" si="21"/>
        <v>#N/A</v>
      </c>
      <c r="BI191" t="e">
        <f t="shared" si="22"/>
        <v>#N/A</v>
      </c>
      <c r="BJ191">
        <v>10</v>
      </c>
    </row>
    <row r="192" spans="3:62" x14ac:dyDescent="0.3">
      <c r="C192">
        <v>13</v>
      </c>
      <c r="D192" s="36">
        <v>18.72</v>
      </c>
      <c r="K192" s="14">
        <f t="shared" si="19"/>
        <v>1E-3</v>
      </c>
      <c r="L192" s="14"/>
      <c r="O192" s="14">
        <f t="shared" si="17"/>
        <v>1E-3</v>
      </c>
      <c r="P192" s="14">
        <f t="shared" si="18"/>
        <v>5.0000000000000001E-3</v>
      </c>
      <c r="BF192">
        <v>13.4</v>
      </c>
      <c r="BG192" s="28">
        <f t="shared" si="20"/>
        <v>26.520475037773103</v>
      </c>
      <c r="BH192" t="e">
        <f t="shared" si="21"/>
        <v>#N/A</v>
      </c>
      <c r="BI192" t="e">
        <f t="shared" si="22"/>
        <v>#N/A</v>
      </c>
      <c r="BJ192">
        <v>10</v>
      </c>
    </row>
    <row r="193" spans="3:62" x14ac:dyDescent="0.3">
      <c r="C193">
        <v>14</v>
      </c>
      <c r="D193" s="36">
        <v>22.02</v>
      </c>
      <c r="K193" s="14">
        <f t="shared" si="19"/>
        <v>1E-3</v>
      </c>
      <c r="L193" s="14"/>
      <c r="O193" s="14">
        <f t="shared" si="17"/>
        <v>4.7156372549026095E-4</v>
      </c>
      <c r="P193" s="14">
        <f t="shared" si="18"/>
        <v>1.5E-3</v>
      </c>
      <c r="BF193">
        <v>13.41</v>
      </c>
      <c r="BG193" s="28">
        <f t="shared" si="20"/>
        <v>26.540731527552378</v>
      </c>
      <c r="BH193" t="e">
        <f t="shared" si="21"/>
        <v>#N/A</v>
      </c>
      <c r="BI193" t="e">
        <f t="shared" si="22"/>
        <v>#N/A</v>
      </c>
      <c r="BJ193">
        <v>10</v>
      </c>
    </row>
    <row r="194" spans="3:62" x14ac:dyDescent="0.3">
      <c r="C194">
        <v>16</v>
      </c>
      <c r="D194" s="36">
        <v>30.51</v>
      </c>
      <c r="K194" s="14">
        <f t="shared" si="19"/>
        <v>1E-3</v>
      </c>
      <c r="L194" s="14"/>
      <c r="O194" s="14">
        <f t="shared" ref="O194:O257" si="23">IF(C194=12,$M$4,IF(C194=13,$M$5,IF(C194=14,$M$6,IF(C194=15,$M$7,$M$8))))</f>
        <v>2.0000000000000001E-4</v>
      </c>
      <c r="P194" s="14">
        <f t="shared" ref="P194:P257" si="24">IF(D194&lt;20,$M$14,IF(D194&lt;24,$M$15,IF(D194&lt;28,$M$16,IF(D194&lt;32,$M$17,$M$18))))</f>
        <v>4.0000000000000002E-4</v>
      </c>
      <c r="BF194">
        <v>13.42</v>
      </c>
      <c r="BG194" s="28">
        <f t="shared" si="20"/>
        <v>26.560988017331656</v>
      </c>
      <c r="BH194" t="e">
        <f t="shared" si="21"/>
        <v>#N/A</v>
      </c>
      <c r="BI194" t="e">
        <f t="shared" si="22"/>
        <v>#N/A</v>
      </c>
      <c r="BJ194">
        <v>10</v>
      </c>
    </row>
    <row r="195" spans="3:62" x14ac:dyDescent="0.3">
      <c r="C195">
        <v>14</v>
      </c>
      <c r="D195" s="36">
        <v>28.82</v>
      </c>
      <c r="K195" s="14">
        <f t="shared" ref="K195:K258" si="25">1/1000</f>
        <v>1E-3</v>
      </c>
      <c r="L195" s="14"/>
      <c r="O195" s="14">
        <f t="shared" si="23"/>
        <v>4.7156372549026095E-4</v>
      </c>
      <c r="P195" s="14">
        <f t="shared" si="24"/>
        <v>4.0000000000000002E-4</v>
      </c>
      <c r="BF195">
        <v>13.43</v>
      </c>
      <c r="BG195" s="28">
        <f t="shared" ref="BG195:BG258" si="26">$I$8+$I$10*BF195</f>
        <v>26.581244507110934</v>
      </c>
      <c r="BH195" t="e">
        <f t="shared" ref="BH195:BH258" si="27">IF($AD$9=1,$W$3+$V$3*BF195,#N/A)</f>
        <v>#N/A</v>
      </c>
      <c r="BI195" t="e">
        <f t="shared" ref="BI195:BI258" si="28">IF($AD$12=1,$AA$3+$Z$3*BF195,#N/A)</f>
        <v>#N/A</v>
      </c>
      <c r="BJ195">
        <v>10</v>
      </c>
    </row>
    <row r="196" spans="3:62" x14ac:dyDescent="0.3">
      <c r="C196">
        <v>14</v>
      </c>
      <c r="D196" s="36">
        <v>30.18</v>
      </c>
      <c r="K196" s="14">
        <f t="shared" si="25"/>
        <v>1E-3</v>
      </c>
      <c r="L196" s="14"/>
      <c r="O196" s="14">
        <f t="shared" si="23"/>
        <v>4.7156372549026095E-4</v>
      </c>
      <c r="P196" s="14">
        <f t="shared" si="24"/>
        <v>4.0000000000000002E-4</v>
      </c>
      <c r="BF196">
        <v>13.44</v>
      </c>
      <c r="BG196" s="28">
        <f t="shared" si="26"/>
        <v>26.601500996890209</v>
      </c>
      <c r="BH196" t="e">
        <f t="shared" si="27"/>
        <v>#N/A</v>
      </c>
      <c r="BI196" t="e">
        <f t="shared" si="28"/>
        <v>#N/A</v>
      </c>
      <c r="BJ196">
        <v>10</v>
      </c>
    </row>
    <row r="197" spans="3:62" x14ac:dyDescent="0.3">
      <c r="C197">
        <v>12</v>
      </c>
      <c r="D197" s="36">
        <v>15.92</v>
      </c>
      <c r="K197" s="14">
        <f t="shared" si="25"/>
        <v>1E-3</v>
      </c>
      <c r="L197" s="14"/>
      <c r="O197" s="14">
        <f t="shared" si="23"/>
        <v>3.0000000000000001E-3</v>
      </c>
      <c r="P197" s="14">
        <f t="shared" si="24"/>
        <v>5.0000000000000001E-3</v>
      </c>
      <c r="BF197">
        <v>13.45</v>
      </c>
      <c r="BG197" s="28">
        <f t="shared" si="26"/>
        <v>26.621757486669487</v>
      </c>
      <c r="BH197" t="e">
        <f t="shared" si="27"/>
        <v>#N/A</v>
      </c>
      <c r="BI197" t="e">
        <f t="shared" si="28"/>
        <v>#N/A</v>
      </c>
      <c r="BJ197">
        <v>10</v>
      </c>
    </row>
    <row r="198" spans="3:62" x14ac:dyDescent="0.3">
      <c r="C198">
        <v>16</v>
      </c>
      <c r="D198" s="36">
        <v>33.75</v>
      </c>
      <c r="K198" s="14">
        <f t="shared" si="25"/>
        <v>1E-3</v>
      </c>
      <c r="L198" s="14"/>
      <c r="O198" s="14">
        <f t="shared" si="23"/>
        <v>2.0000000000000001E-4</v>
      </c>
      <c r="P198" s="14">
        <f t="shared" si="24"/>
        <v>1E-4</v>
      </c>
      <c r="BF198">
        <v>13.46</v>
      </c>
      <c r="BG198" s="28">
        <f t="shared" si="26"/>
        <v>26.642013976448769</v>
      </c>
      <c r="BH198" t="e">
        <f t="shared" si="27"/>
        <v>#N/A</v>
      </c>
      <c r="BI198" t="e">
        <f t="shared" si="28"/>
        <v>#N/A</v>
      </c>
      <c r="BJ198">
        <v>10</v>
      </c>
    </row>
    <row r="199" spans="3:62" x14ac:dyDescent="0.3">
      <c r="C199">
        <v>16</v>
      </c>
      <c r="D199" s="36">
        <v>37.049999999999997</v>
      </c>
      <c r="K199" s="14">
        <f t="shared" si="25"/>
        <v>1E-3</v>
      </c>
      <c r="L199" s="14"/>
      <c r="O199" s="14">
        <f t="shared" si="23"/>
        <v>2.0000000000000001E-4</v>
      </c>
      <c r="P199" s="14">
        <f t="shared" si="24"/>
        <v>1E-4</v>
      </c>
      <c r="BF199">
        <v>13.47</v>
      </c>
      <c r="BG199" s="28">
        <f t="shared" si="26"/>
        <v>26.662270466228044</v>
      </c>
      <c r="BH199" t="e">
        <f t="shared" si="27"/>
        <v>#N/A</v>
      </c>
      <c r="BI199" t="e">
        <f t="shared" si="28"/>
        <v>#N/A</v>
      </c>
      <c r="BJ199">
        <v>10</v>
      </c>
    </row>
    <row r="200" spans="3:62" x14ac:dyDescent="0.3">
      <c r="C200">
        <v>13</v>
      </c>
      <c r="D200" s="36">
        <v>27.09</v>
      </c>
      <c r="K200" s="14">
        <f t="shared" si="25"/>
        <v>1E-3</v>
      </c>
      <c r="L200" s="14"/>
      <c r="O200" s="14">
        <f t="shared" si="23"/>
        <v>1E-3</v>
      </c>
      <c r="P200" s="14">
        <f t="shared" si="24"/>
        <v>7.8587786259546764E-4</v>
      </c>
      <c r="BF200">
        <v>13.48</v>
      </c>
      <c r="BG200" s="28">
        <f t="shared" si="26"/>
        <v>26.682526956007322</v>
      </c>
      <c r="BH200" t="e">
        <f t="shared" si="27"/>
        <v>#N/A</v>
      </c>
      <c r="BI200" t="e">
        <f t="shared" si="28"/>
        <v>#N/A</v>
      </c>
      <c r="BJ200">
        <v>10</v>
      </c>
    </row>
    <row r="201" spans="3:62" x14ac:dyDescent="0.3">
      <c r="C201">
        <v>16</v>
      </c>
      <c r="D201" s="36">
        <v>38.19</v>
      </c>
      <c r="K201" s="14">
        <f t="shared" si="25"/>
        <v>1E-3</v>
      </c>
      <c r="L201" s="14"/>
      <c r="O201" s="14">
        <f t="shared" si="23"/>
        <v>2.0000000000000001E-4</v>
      </c>
      <c r="P201" s="14">
        <f t="shared" si="24"/>
        <v>1E-4</v>
      </c>
      <c r="BF201">
        <v>13.49</v>
      </c>
      <c r="BG201" s="28">
        <f t="shared" si="26"/>
        <v>26.702783445786601</v>
      </c>
      <c r="BH201" t="e">
        <f t="shared" si="27"/>
        <v>#N/A</v>
      </c>
      <c r="BI201" t="e">
        <f t="shared" si="28"/>
        <v>#N/A</v>
      </c>
      <c r="BJ201">
        <v>10</v>
      </c>
    </row>
    <row r="202" spans="3:62" x14ac:dyDescent="0.3">
      <c r="C202">
        <v>13</v>
      </c>
      <c r="D202" s="36">
        <v>28.29</v>
      </c>
      <c r="K202" s="14">
        <f t="shared" si="25"/>
        <v>1E-3</v>
      </c>
      <c r="L202" s="14"/>
      <c r="O202" s="14">
        <f t="shared" si="23"/>
        <v>1E-3</v>
      </c>
      <c r="P202" s="14">
        <f t="shared" si="24"/>
        <v>4.0000000000000002E-4</v>
      </c>
      <c r="BF202">
        <v>13.5</v>
      </c>
      <c r="BG202" s="28">
        <f t="shared" si="26"/>
        <v>26.723039935565875</v>
      </c>
      <c r="BH202" t="e">
        <f t="shared" si="27"/>
        <v>#N/A</v>
      </c>
      <c r="BI202" t="e">
        <f t="shared" si="28"/>
        <v>#N/A</v>
      </c>
      <c r="BJ202">
        <v>10</v>
      </c>
    </row>
    <row r="203" spans="3:62" x14ac:dyDescent="0.3">
      <c r="C203">
        <v>13</v>
      </c>
      <c r="D203" s="36">
        <v>28.51</v>
      </c>
      <c r="K203" s="14">
        <f t="shared" si="25"/>
        <v>1E-3</v>
      </c>
      <c r="L203" s="14"/>
      <c r="O203" s="14">
        <f t="shared" si="23"/>
        <v>1E-3</v>
      </c>
      <c r="P203" s="14">
        <f t="shared" si="24"/>
        <v>4.0000000000000002E-4</v>
      </c>
      <c r="BF203">
        <v>13.51</v>
      </c>
      <c r="BG203" s="28">
        <f t="shared" si="26"/>
        <v>26.743296425345154</v>
      </c>
      <c r="BH203" t="e">
        <f t="shared" si="27"/>
        <v>#N/A</v>
      </c>
      <c r="BI203" t="e">
        <f t="shared" si="28"/>
        <v>#N/A</v>
      </c>
      <c r="BJ203">
        <v>10</v>
      </c>
    </row>
    <row r="204" spans="3:62" x14ac:dyDescent="0.3">
      <c r="C204">
        <v>12</v>
      </c>
      <c r="D204" s="36">
        <v>18.5</v>
      </c>
      <c r="K204" s="14">
        <f t="shared" si="25"/>
        <v>1E-3</v>
      </c>
      <c r="L204" s="14"/>
      <c r="O204" s="14">
        <f t="shared" si="23"/>
        <v>3.0000000000000001E-3</v>
      </c>
      <c r="P204" s="14">
        <f t="shared" si="24"/>
        <v>5.0000000000000001E-3</v>
      </c>
      <c r="BF204">
        <v>13.52</v>
      </c>
      <c r="BG204" s="28">
        <f t="shared" si="26"/>
        <v>26.763552915124432</v>
      </c>
      <c r="BH204" t="e">
        <f t="shared" si="27"/>
        <v>#N/A</v>
      </c>
      <c r="BI204" t="e">
        <f t="shared" si="28"/>
        <v>#N/A</v>
      </c>
      <c r="BJ204">
        <v>10</v>
      </c>
    </row>
    <row r="205" spans="3:62" x14ac:dyDescent="0.3">
      <c r="C205">
        <v>16</v>
      </c>
      <c r="D205" s="36">
        <v>41.04</v>
      </c>
      <c r="K205" s="14">
        <f t="shared" si="25"/>
        <v>1E-3</v>
      </c>
      <c r="L205" s="14"/>
      <c r="O205" s="14">
        <f t="shared" si="23"/>
        <v>2.0000000000000001E-4</v>
      </c>
      <c r="P205" s="14">
        <f t="shared" si="24"/>
        <v>1E-4</v>
      </c>
      <c r="BF205">
        <v>13.53</v>
      </c>
      <c r="BG205" s="28">
        <f t="shared" si="26"/>
        <v>26.783809404903707</v>
      </c>
      <c r="BH205" t="e">
        <f t="shared" si="27"/>
        <v>#N/A</v>
      </c>
      <c r="BI205" t="e">
        <f t="shared" si="28"/>
        <v>#N/A</v>
      </c>
      <c r="BJ205">
        <v>10</v>
      </c>
    </row>
    <row r="206" spans="3:62" x14ac:dyDescent="0.3">
      <c r="C206">
        <v>13</v>
      </c>
      <c r="D206" s="36">
        <v>31.31</v>
      </c>
      <c r="K206" s="14">
        <f t="shared" si="25"/>
        <v>1E-3</v>
      </c>
      <c r="L206" s="14"/>
      <c r="O206" s="14">
        <f t="shared" si="23"/>
        <v>1E-3</v>
      </c>
      <c r="P206" s="14">
        <f t="shared" si="24"/>
        <v>4.0000000000000002E-4</v>
      </c>
      <c r="BF206">
        <v>13.54</v>
      </c>
      <c r="BG206" s="28">
        <f t="shared" si="26"/>
        <v>26.804065894682985</v>
      </c>
      <c r="BH206" t="e">
        <f t="shared" si="27"/>
        <v>#N/A</v>
      </c>
      <c r="BI206" t="e">
        <f t="shared" si="28"/>
        <v>#N/A</v>
      </c>
      <c r="BJ206">
        <v>10</v>
      </c>
    </row>
    <row r="207" spans="3:62" x14ac:dyDescent="0.3">
      <c r="C207">
        <v>15</v>
      </c>
      <c r="D207" s="36">
        <v>26.1</v>
      </c>
      <c r="K207" s="14">
        <f t="shared" si="25"/>
        <v>1E-3</v>
      </c>
      <c r="L207" s="14"/>
      <c r="O207" s="14">
        <f t="shared" si="23"/>
        <v>4.0000000000000002E-4</v>
      </c>
      <c r="P207" s="14">
        <f t="shared" si="24"/>
        <v>7.8587786259546764E-4</v>
      </c>
      <c r="BF207">
        <v>13.55</v>
      </c>
      <c r="BG207" s="28">
        <f t="shared" si="26"/>
        <v>26.824322384462267</v>
      </c>
      <c r="BH207" t="e">
        <f t="shared" si="27"/>
        <v>#N/A</v>
      </c>
      <c r="BI207" t="e">
        <f t="shared" si="28"/>
        <v>#N/A</v>
      </c>
      <c r="BJ207">
        <v>10</v>
      </c>
    </row>
    <row r="208" spans="3:62" x14ac:dyDescent="0.3">
      <c r="C208">
        <v>16</v>
      </c>
      <c r="D208" s="36">
        <v>39.44</v>
      </c>
      <c r="K208" s="14">
        <f t="shared" si="25"/>
        <v>1E-3</v>
      </c>
      <c r="L208" s="14"/>
      <c r="O208" s="14">
        <f t="shared" si="23"/>
        <v>2.0000000000000001E-4</v>
      </c>
      <c r="P208" s="14">
        <f t="shared" si="24"/>
        <v>1E-4</v>
      </c>
      <c r="BF208">
        <v>13.56</v>
      </c>
      <c r="BG208" s="28">
        <f t="shared" si="26"/>
        <v>26.844578874241542</v>
      </c>
      <c r="BH208" t="e">
        <f t="shared" si="27"/>
        <v>#N/A</v>
      </c>
      <c r="BI208" t="e">
        <f t="shared" si="28"/>
        <v>#N/A</v>
      </c>
      <c r="BJ208">
        <v>10</v>
      </c>
    </row>
    <row r="209" spans="3:62" x14ac:dyDescent="0.3">
      <c r="C209">
        <v>13</v>
      </c>
      <c r="D209" s="36">
        <v>21.26</v>
      </c>
      <c r="K209" s="14">
        <f t="shared" si="25"/>
        <v>1E-3</v>
      </c>
      <c r="L209" s="14"/>
      <c r="O209" s="14">
        <f t="shared" si="23"/>
        <v>1E-3</v>
      </c>
      <c r="P209" s="14">
        <f t="shared" si="24"/>
        <v>1.5E-3</v>
      </c>
      <c r="BF209">
        <v>13.57</v>
      </c>
      <c r="BG209" s="28">
        <f t="shared" si="26"/>
        <v>26.86483536402082</v>
      </c>
      <c r="BH209" t="e">
        <f t="shared" si="27"/>
        <v>#N/A</v>
      </c>
      <c r="BI209" t="e">
        <f t="shared" si="28"/>
        <v>#N/A</v>
      </c>
      <c r="BJ209">
        <v>10</v>
      </c>
    </row>
    <row r="210" spans="3:62" x14ac:dyDescent="0.3">
      <c r="C210">
        <v>13</v>
      </c>
      <c r="D210" s="36">
        <v>20.83</v>
      </c>
      <c r="K210" s="14">
        <f t="shared" si="25"/>
        <v>1E-3</v>
      </c>
      <c r="L210" s="14"/>
      <c r="O210" s="14">
        <f t="shared" si="23"/>
        <v>1E-3</v>
      </c>
      <c r="P210" s="14">
        <f t="shared" si="24"/>
        <v>1.5E-3</v>
      </c>
      <c r="BF210">
        <v>13.58</v>
      </c>
      <c r="BG210" s="28">
        <f t="shared" si="26"/>
        <v>26.885091853800098</v>
      </c>
      <c r="BH210" t="e">
        <f t="shared" si="27"/>
        <v>#N/A</v>
      </c>
      <c r="BI210" t="e">
        <f t="shared" si="28"/>
        <v>#N/A</v>
      </c>
      <c r="BJ210">
        <v>10</v>
      </c>
    </row>
    <row r="211" spans="3:62" x14ac:dyDescent="0.3">
      <c r="C211">
        <v>13</v>
      </c>
      <c r="D211" s="36">
        <v>21.62</v>
      </c>
      <c r="K211" s="14">
        <f t="shared" si="25"/>
        <v>1E-3</v>
      </c>
      <c r="L211" s="14"/>
      <c r="O211" s="14">
        <f t="shared" si="23"/>
        <v>1E-3</v>
      </c>
      <c r="P211" s="14">
        <f t="shared" si="24"/>
        <v>1.5E-3</v>
      </c>
      <c r="BF211">
        <v>13.59</v>
      </c>
      <c r="BG211" s="28">
        <f t="shared" si="26"/>
        <v>26.905348343579373</v>
      </c>
      <c r="BH211" t="e">
        <f t="shared" si="27"/>
        <v>#N/A</v>
      </c>
      <c r="BI211" t="e">
        <f t="shared" si="28"/>
        <v>#N/A</v>
      </c>
      <c r="BJ211">
        <v>10</v>
      </c>
    </row>
    <row r="212" spans="3:62" x14ac:dyDescent="0.3">
      <c r="C212">
        <v>15</v>
      </c>
      <c r="D212" s="36">
        <v>26.32</v>
      </c>
      <c r="K212" s="14">
        <f t="shared" si="25"/>
        <v>1E-3</v>
      </c>
      <c r="L212" s="14"/>
      <c r="O212" s="14">
        <f t="shared" si="23"/>
        <v>4.0000000000000002E-4</v>
      </c>
      <c r="P212" s="14">
        <f t="shared" si="24"/>
        <v>7.8587786259546764E-4</v>
      </c>
      <c r="BF212">
        <v>13.6</v>
      </c>
      <c r="BG212" s="28">
        <f t="shared" si="26"/>
        <v>26.925604833358651</v>
      </c>
      <c r="BH212" t="e">
        <f t="shared" si="27"/>
        <v>#N/A</v>
      </c>
      <c r="BI212" t="e">
        <f t="shared" si="28"/>
        <v>#N/A</v>
      </c>
      <c r="BJ212">
        <v>10</v>
      </c>
    </row>
    <row r="213" spans="3:62" x14ac:dyDescent="0.3">
      <c r="C213">
        <v>13</v>
      </c>
      <c r="D213" s="36">
        <v>26.7</v>
      </c>
      <c r="K213" s="14">
        <f t="shared" si="25"/>
        <v>1E-3</v>
      </c>
      <c r="L213" s="14"/>
      <c r="O213" s="14">
        <f t="shared" si="23"/>
        <v>1E-3</v>
      </c>
      <c r="P213" s="14">
        <f t="shared" si="24"/>
        <v>7.8587786259546764E-4</v>
      </c>
      <c r="BF213">
        <v>13.61</v>
      </c>
      <c r="BG213" s="28">
        <f t="shared" si="26"/>
        <v>26.94586132313793</v>
      </c>
      <c r="BH213" t="e">
        <f t="shared" si="27"/>
        <v>#N/A</v>
      </c>
      <c r="BI213" t="e">
        <f t="shared" si="28"/>
        <v>#N/A</v>
      </c>
      <c r="BJ213">
        <v>10</v>
      </c>
    </row>
    <row r="214" spans="3:62" x14ac:dyDescent="0.3">
      <c r="C214">
        <v>12</v>
      </c>
      <c r="D214" s="36">
        <v>27.71</v>
      </c>
      <c r="K214" s="14">
        <f t="shared" si="25"/>
        <v>1E-3</v>
      </c>
      <c r="L214" s="14"/>
      <c r="O214" s="14">
        <f t="shared" si="23"/>
        <v>3.0000000000000001E-3</v>
      </c>
      <c r="P214" s="14">
        <f t="shared" si="24"/>
        <v>7.8587786259546764E-4</v>
      </c>
      <c r="BF214">
        <v>13.62</v>
      </c>
      <c r="BG214" s="28">
        <f t="shared" si="26"/>
        <v>26.966117812917204</v>
      </c>
      <c r="BH214" t="e">
        <f t="shared" si="27"/>
        <v>#N/A</v>
      </c>
      <c r="BI214" t="e">
        <f t="shared" si="28"/>
        <v>#N/A</v>
      </c>
      <c r="BJ214">
        <v>10</v>
      </c>
    </row>
    <row r="215" spans="3:62" x14ac:dyDescent="0.3">
      <c r="C215">
        <v>14</v>
      </c>
      <c r="D215" s="36">
        <v>26.77</v>
      </c>
      <c r="K215" s="14">
        <f t="shared" si="25"/>
        <v>1E-3</v>
      </c>
      <c r="L215" s="14"/>
      <c r="O215" s="14">
        <f t="shared" si="23"/>
        <v>4.7156372549026095E-4</v>
      </c>
      <c r="P215" s="14">
        <f t="shared" si="24"/>
        <v>7.8587786259546764E-4</v>
      </c>
      <c r="BF215">
        <v>13.63</v>
      </c>
      <c r="BG215" s="28">
        <f t="shared" si="26"/>
        <v>26.986374302696486</v>
      </c>
      <c r="BH215" t="e">
        <f t="shared" si="27"/>
        <v>#N/A</v>
      </c>
      <c r="BI215" t="e">
        <f t="shared" si="28"/>
        <v>#N/A</v>
      </c>
      <c r="BJ215">
        <v>10</v>
      </c>
    </row>
    <row r="216" spans="3:62" x14ac:dyDescent="0.3">
      <c r="C216">
        <v>12</v>
      </c>
      <c r="D216" s="36">
        <v>20.83</v>
      </c>
      <c r="K216" s="14">
        <f t="shared" si="25"/>
        <v>1E-3</v>
      </c>
      <c r="L216" s="14"/>
      <c r="O216" s="14">
        <f t="shared" si="23"/>
        <v>3.0000000000000001E-3</v>
      </c>
      <c r="P216" s="14">
        <f t="shared" si="24"/>
        <v>1.5E-3</v>
      </c>
      <c r="BF216">
        <v>13.64</v>
      </c>
      <c r="BG216" s="28">
        <f t="shared" si="26"/>
        <v>27.006630792475764</v>
      </c>
      <c r="BH216" t="e">
        <f t="shared" si="27"/>
        <v>#N/A</v>
      </c>
      <c r="BI216" t="e">
        <f t="shared" si="28"/>
        <v>#N/A</v>
      </c>
      <c r="BJ216">
        <v>10</v>
      </c>
    </row>
    <row r="217" spans="3:62" x14ac:dyDescent="0.3">
      <c r="C217">
        <v>14</v>
      </c>
      <c r="D217" s="36">
        <v>31.72</v>
      </c>
      <c r="K217" s="14">
        <f t="shared" si="25"/>
        <v>1E-3</v>
      </c>
      <c r="L217" s="14"/>
      <c r="O217" s="14">
        <f t="shared" si="23"/>
        <v>4.7156372549026095E-4</v>
      </c>
      <c r="P217" s="14">
        <f t="shared" si="24"/>
        <v>4.0000000000000002E-4</v>
      </c>
      <c r="BF217">
        <v>13.65</v>
      </c>
      <c r="BG217" s="28">
        <f t="shared" si="26"/>
        <v>27.026887282255039</v>
      </c>
      <c r="BH217" t="e">
        <f t="shared" si="27"/>
        <v>#N/A</v>
      </c>
      <c r="BI217" t="e">
        <f t="shared" si="28"/>
        <v>#N/A</v>
      </c>
      <c r="BJ217">
        <v>10</v>
      </c>
    </row>
    <row r="218" spans="3:62" x14ac:dyDescent="0.3">
      <c r="C218">
        <v>12</v>
      </c>
      <c r="D218" s="36">
        <v>29.18</v>
      </c>
      <c r="K218" s="14">
        <f t="shared" si="25"/>
        <v>1E-3</v>
      </c>
      <c r="L218" s="14"/>
      <c r="O218" s="14">
        <f t="shared" si="23"/>
        <v>3.0000000000000001E-3</v>
      </c>
      <c r="P218" s="14">
        <f t="shared" si="24"/>
        <v>4.0000000000000002E-4</v>
      </c>
      <c r="BF218">
        <v>13.66</v>
      </c>
      <c r="BG218" s="28">
        <f t="shared" si="26"/>
        <v>27.047143772034318</v>
      </c>
      <c r="BH218" t="e">
        <f t="shared" si="27"/>
        <v>#N/A</v>
      </c>
      <c r="BI218" t="e">
        <f t="shared" si="28"/>
        <v>#N/A</v>
      </c>
      <c r="BJ218">
        <v>10</v>
      </c>
    </row>
    <row r="219" spans="3:62" x14ac:dyDescent="0.3">
      <c r="C219">
        <v>13</v>
      </c>
      <c r="D219" s="36">
        <v>22.99</v>
      </c>
      <c r="K219" s="14">
        <f t="shared" si="25"/>
        <v>1E-3</v>
      </c>
      <c r="L219" s="14"/>
      <c r="O219" s="14">
        <f t="shared" si="23"/>
        <v>1E-3</v>
      </c>
      <c r="P219" s="14">
        <f t="shared" si="24"/>
        <v>1.5E-3</v>
      </c>
      <c r="BF219">
        <v>13.67</v>
      </c>
      <c r="BG219" s="28">
        <f t="shared" si="26"/>
        <v>27.067400261813596</v>
      </c>
      <c r="BH219" t="e">
        <f t="shared" si="27"/>
        <v>#N/A</v>
      </c>
      <c r="BI219" t="e">
        <f t="shared" si="28"/>
        <v>#N/A</v>
      </c>
      <c r="BJ219">
        <v>10</v>
      </c>
    </row>
    <row r="220" spans="3:62" x14ac:dyDescent="0.3">
      <c r="C220">
        <v>15</v>
      </c>
      <c r="D220" s="36">
        <v>33.56</v>
      </c>
      <c r="K220" s="14">
        <f t="shared" si="25"/>
        <v>1E-3</v>
      </c>
      <c r="L220" s="14"/>
      <c r="O220" s="14">
        <f t="shared" si="23"/>
        <v>4.0000000000000002E-4</v>
      </c>
      <c r="P220" s="14">
        <f t="shared" si="24"/>
        <v>1E-4</v>
      </c>
      <c r="BF220">
        <v>13.68</v>
      </c>
      <c r="BG220" s="28">
        <f t="shared" si="26"/>
        <v>27.087656751592871</v>
      </c>
      <c r="BH220" t="e">
        <f t="shared" si="27"/>
        <v>#N/A</v>
      </c>
      <c r="BI220" t="e">
        <f t="shared" si="28"/>
        <v>#N/A</v>
      </c>
      <c r="BJ220">
        <v>10</v>
      </c>
    </row>
    <row r="221" spans="3:62" x14ac:dyDescent="0.3">
      <c r="C221">
        <v>16</v>
      </c>
      <c r="D221" s="36">
        <v>32.85</v>
      </c>
      <c r="K221" s="14">
        <f t="shared" si="25"/>
        <v>1E-3</v>
      </c>
      <c r="L221" s="14"/>
      <c r="O221" s="14">
        <f t="shared" si="23"/>
        <v>2.0000000000000001E-4</v>
      </c>
      <c r="P221" s="14">
        <f t="shared" si="24"/>
        <v>1E-4</v>
      </c>
      <c r="BF221">
        <v>13.69</v>
      </c>
      <c r="BG221" s="28">
        <f t="shared" si="26"/>
        <v>27.107913241372149</v>
      </c>
      <c r="BH221" t="e">
        <f t="shared" si="27"/>
        <v>#N/A</v>
      </c>
      <c r="BI221" t="e">
        <f t="shared" si="28"/>
        <v>#N/A</v>
      </c>
      <c r="BJ221">
        <v>10</v>
      </c>
    </row>
    <row r="222" spans="3:62" x14ac:dyDescent="0.3">
      <c r="C222">
        <v>16</v>
      </c>
      <c r="D222" s="36">
        <v>24.59</v>
      </c>
      <c r="K222" s="14">
        <f t="shared" si="25"/>
        <v>1E-3</v>
      </c>
      <c r="L222" s="14"/>
      <c r="O222" s="14">
        <f t="shared" si="23"/>
        <v>2.0000000000000001E-4</v>
      </c>
      <c r="P222" s="14">
        <f t="shared" si="24"/>
        <v>7.8587786259546764E-4</v>
      </c>
      <c r="BF222">
        <v>13.7</v>
      </c>
      <c r="BG222" s="28">
        <f t="shared" si="26"/>
        <v>27.128169731151427</v>
      </c>
      <c r="BH222" t="e">
        <f t="shared" si="27"/>
        <v>#N/A</v>
      </c>
      <c r="BI222" t="e">
        <f t="shared" si="28"/>
        <v>#N/A</v>
      </c>
      <c r="BJ222">
        <v>10</v>
      </c>
    </row>
    <row r="223" spans="3:62" x14ac:dyDescent="0.3">
      <c r="C223">
        <v>14</v>
      </c>
      <c r="D223" s="36">
        <v>20.02</v>
      </c>
      <c r="K223" s="14">
        <f t="shared" si="25"/>
        <v>1E-3</v>
      </c>
      <c r="L223" s="14"/>
      <c r="O223" s="14">
        <f t="shared" si="23"/>
        <v>4.7156372549026095E-4</v>
      </c>
      <c r="P223" s="14">
        <f t="shared" si="24"/>
        <v>1.5E-3</v>
      </c>
      <c r="BF223">
        <v>13.71</v>
      </c>
      <c r="BG223" s="28">
        <f t="shared" si="26"/>
        <v>27.148426220930705</v>
      </c>
      <c r="BH223" t="e">
        <f t="shared" si="27"/>
        <v>#N/A</v>
      </c>
      <c r="BI223" t="e">
        <f t="shared" si="28"/>
        <v>#N/A</v>
      </c>
      <c r="BJ223">
        <v>10</v>
      </c>
    </row>
    <row r="224" spans="3:62" x14ac:dyDescent="0.3">
      <c r="C224">
        <v>16</v>
      </c>
      <c r="D224" s="36">
        <v>34.35</v>
      </c>
      <c r="K224" s="14">
        <f t="shared" si="25"/>
        <v>1E-3</v>
      </c>
      <c r="L224" s="14"/>
      <c r="O224" s="14">
        <f t="shared" si="23"/>
        <v>2.0000000000000001E-4</v>
      </c>
      <c r="P224" s="14">
        <f t="shared" si="24"/>
        <v>1E-4</v>
      </c>
      <c r="BF224">
        <v>13.72</v>
      </c>
      <c r="BG224" s="28">
        <f t="shared" si="26"/>
        <v>27.168682710709984</v>
      </c>
      <c r="BH224" t="e">
        <f t="shared" si="27"/>
        <v>#N/A</v>
      </c>
      <c r="BI224" t="e">
        <f t="shared" si="28"/>
        <v>#N/A</v>
      </c>
      <c r="BJ224">
        <v>10</v>
      </c>
    </row>
    <row r="225" spans="3:62" x14ac:dyDescent="0.3">
      <c r="C225">
        <v>12</v>
      </c>
      <c r="D225" s="36">
        <v>26.74</v>
      </c>
      <c r="K225" s="14">
        <f t="shared" si="25"/>
        <v>1E-3</v>
      </c>
      <c r="L225" s="14"/>
      <c r="O225" s="14">
        <f t="shared" si="23"/>
        <v>3.0000000000000001E-3</v>
      </c>
      <c r="P225" s="14">
        <f t="shared" si="24"/>
        <v>7.8587786259546764E-4</v>
      </c>
      <c r="BF225">
        <v>13.73</v>
      </c>
      <c r="BG225" s="28">
        <f t="shared" si="26"/>
        <v>27.188939200489262</v>
      </c>
      <c r="BH225" t="e">
        <f t="shared" si="27"/>
        <v>#N/A</v>
      </c>
      <c r="BI225" t="e">
        <f t="shared" si="28"/>
        <v>#N/A</v>
      </c>
      <c r="BJ225">
        <v>10</v>
      </c>
    </row>
    <row r="226" spans="3:62" x14ac:dyDescent="0.3">
      <c r="C226">
        <v>12</v>
      </c>
      <c r="D226" s="36">
        <v>20.63</v>
      </c>
      <c r="K226" s="14">
        <f t="shared" si="25"/>
        <v>1E-3</v>
      </c>
      <c r="L226" s="14"/>
      <c r="O226" s="14">
        <f t="shared" si="23"/>
        <v>3.0000000000000001E-3</v>
      </c>
      <c r="P226" s="14">
        <f t="shared" si="24"/>
        <v>1.5E-3</v>
      </c>
      <c r="BF226">
        <v>13.74</v>
      </c>
      <c r="BG226" s="28">
        <f t="shared" si="26"/>
        <v>27.209195690268537</v>
      </c>
      <c r="BH226" t="e">
        <f t="shared" si="27"/>
        <v>#N/A</v>
      </c>
      <c r="BI226" t="e">
        <f t="shared" si="28"/>
        <v>#N/A</v>
      </c>
      <c r="BJ226">
        <v>10</v>
      </c>
    </row>
    <row r="227" spans="3:62" x14ac:dyDescent="0.3">
      <c r="C227">
        <v>16</v>
      </c>
      <c r="D227" s="36">
        <v>25.53</v>
      </c>
      <c r="K227" s="14">
        <f t="shared" si="25"/>
        <v>1E-3</v>
      </c>
      <c r="L227" s="14"/>
      <c r="O227" s="14">
        <f t="shared" si="23"/>
        <v>2.0000000000000001E-4</v>
      </c>
      <c r="P227" s="14">
        <f t="shared" si="24"/>
        <v>7.8587786259546764E-4</v>
      </c>
      <c r="BF227">
        <v>13.75</v>
      </c>
      <c r="BG227" s="28">
        <f t="shared" si="26"/>
        <v>27.229452180047815</v>
      </c>
      <c r="BH227" t="e">
        <f t="shared" si="27"/>
        <v>#N/A</v>
      </c>
      <c r="BI227" t="e">
        <f t="shared" si="28"/>
        <v>#N/A</v>
      </c>
      <c r="BJ227">
        <v>10</v>
      </c>
    </row>
    <row r="228" spans="3:62" x14ac:dyDescent="0.3">
      <c r="C228">
        <v>14</v>
      </c>
      <c r="D228" s="36">
        <v>26.83</v>
      </c>
      <c r="K228" s="14">
        <f t="shared" si="25"/>
        <v>1E-3</v>
      </c>
      <c r="L228" s="14"/>
      <c r="O228" s="14">
        <f t="shared" si="23"/>
        <v>4.7156372549026095E-4</v>
      </c>
      <c r="P228" s="14">
        <f t="shared" si="24"/>
        <v>7.8587786259546764E-4</v>
      </c>
      <c r="BF228">
        <v>13.76</v>
      </c>
      <c r="BG228" s="28">
        <f t="shared" si="26"/>
        <v>27.249708669827093</v>
      </c>
      <c r="BH228" t="e">
        <f t="shared" si="27"/>
        <v>#N/A</v>
      </c>
      <c r="BI228" t="e">
        <f t="shared" si="28"/>
        <v>#N/A</v>
      </c>
      <c r="BJ228">
        <v>10</v>
      </c>
    </row>
    <row r="229" spans="3:62" x14ac:dyDescent="0.3">
      <c r="C229">
        <v>13</v>
      </c>
      <c r="D229" s="36">
        <v>33.47</v>
      </c>
      <c r="K229" s="14">
        <f t="shared" si="25"/>
        <v>1E-3</v>
      </c>
      <c r="L229" s="14"/>
      <c r="O229" s="14">
        <f t="shared" si="23"/>
        <v>1E-3</v>
      </c>
      <c r="P229" s="14">
        <f t="shared" si="24"/>
        <v>1E-4</v>
      </c>
      <c r="BF229">
        <v>13.77</v>
      </c>
      <c r="BG229" s="28">
        <f t="shared" si="26"/>
        <v>27.269965159606368</v>
      </c>
      <c r="BH229" t="e">
        <f t="shared" si="27"/>
        <v>#N/A</v>
      </c>
      <c r="BI229" t="e">
        <f t="shared" si="28"/>
        <v>#N/A</v>
      </c>
      <c r="BJ229">
        <v>10</v>
      </c>
    </row>
    <row r="230" spans="3:62" x14ac:dyDescent="0.3">
      <c r="C230">
        <v>15</v>
      </c>
      <c r="D230" s="36">
        <v>23.22</v>
      </c>
      <c r="K230" s="14">
        <f t="shared" si="25"/>
        <v>1E-3</v>
      </c>
      <c r="L230" s="14"/>
      <c r="O230" s="14">
        <f t="shared" si="23"/>
        <v>4.0000000000000002E-4</v>
      </c>
      <c r="P230" s="14">
        <f t="shared" si="24"/>
        <v>1.5E-3</v>
      </c>
      <c r="BF230">
        <v>13.78</v>
      </c>
      <c r="BG230" s="28">
        <f t="shared" si="26"/>
        <v>27.290221649385646</v>
      </c>
      <c r="BH230" t="e">
        <f t="shared" si="27"/>
        <v>#N/A</v>
      </c>
      <c r="BI230" t="e">
        <f t="shared" si="28"/>
        <v>#N/A</v>
      </c>
      <c r="BJ230">
        <v>10</v>
      </c>
    </row>
    <row r="231" spans="3:62" x14ac:dyDescent="0.3">
      <c r="C231">
        <v>16</v>
      </c>
      <c r="D231" s="36">
        <v>27.76</v>
      </c>
      <c r="K231" s="14">
        <f t="shared" si="25"/>
        <v>1E-3</v>
      </c>
      <c r="L231" s="14"/>
      <c r="O231" s="14">
        <f t="shared" si="23"/>
        <v>2.0000000000000001E-4</v>
      </c>
      <c r="P231" s="14">
        <f t="shared" si="24"/>
        <v>7.8587786259546764E-4</v>
      </c>
      <c r="BF231">
        <v>13.79</v>
      </c>
      <c r="BG231" s="28">
        <f t="shared" si="26"/>
        <v>27.310478139164925</v>
      </c>
      <c r="BH231" t="e">
        <f t="shared" si="27"/>
        <v>#N/A</v>
      </c>
      <c r="BI231" t="e">
        <f t="shared" si="28"/>
        <v>#N/A</v>
      </c>
      <c r="BJ231">
        <v>10</v>
      </c>
    </row>
    <row r="232" spans="3:62" x14ac:dyDescent="0.3">
      <c r="C232">
        <v>12</v>
      </c>
      <c r="D232" s="36">
        <v>26.18</v>
      </c>
      <c r="K232" s="14">
        <f t="shared" si="25"/>
        <v>1E-3</v>
      </c>
      <c r="L232" s="14"/>
      <c r="O232" s="14">
        <f t="shared" si="23"/>
        <v>3.0000000000000001E-3</v>
      </c>
      <c r="P232" s="14">
        <f t="shared" si="24"/>
        <v>7.8587786259546764E-4</v>
      </c>
      <c r="BF232">
        <v>13.8</v>
      </c>
      <c r="BG232" s="28">
        <f t="shared" si="26"/>
        <v>27.330734628944203</v>
      </c>
      <c r="BH232" t="e">
        <f t="shared" si="27"/>
        <v>#N/A</v>
      </c>
      <c r="BI232" t="e">
        <f t="shared" si="28"/>
        <v>#N/A</v>
      </c>
      <c r="BJ232">
        <v>10</v>
      </c>
    </row>
    <row r="233" spans="3:62" x14ac:dyDescent="0.3">
      <c r="C233">
        <v>12</v>
      </c>
      <c r="D233" s="36">
        <v>22.83</v>
      </c>
      <c r="K233" s="14">
        <f t="shared" si="25"/>
        <v>1E-3</v>
      </c>
      <c r="L233" s="14"/>
      <c r="O233" s="14">
        <f t="shared" si="23"/>
        <v>3.0000000000000001E-3</v>
      </c>
      <c r="P233" s="14">
        <f t="shared" si="24"/>
        <v>1.5E-3</v>
      </c>
      <c r="BF233">
        <v>13.81</v>
      </c>
      <c r="BG233" s="28">
        <f t="shared" si="26"/>
        <v>27.350991118723481</v>
      </c>
      <c r="BH233" t="e">
        <f t="shared" si="27"/>
        <v>#N/A</v>
      </c>
      <c r="BI233" t="e">
        <f t="shared" si="28"/>
        <v>#N/A</v>
      </c>
      <c r="BJ233">
        <v>10</v>
      </c>
    </row>
    <row r="234" spans="3:62" x14ac:dyDescent="0.3">
      <c r="C234">
        <v>14</v>
      </c>
      <c r="D234" s="36">
        <v>26.72</v>
      </c>
      <c r="K234" s="14">
        <f t="shared" si="25"/>
        <v>1E-3</v>
      </c>
      <c r="L234" s="14"/>
      <c r="O234" s="14">
        <f t="shared" si="23"/>
        <v>4.7156372549026095E-4</v>
      </c>
      <c r="P234" s="14">
        <f t="shared" si="24"/>
        <v>7.8587786259546764E-4</v>
      </c>
      <c r="BF234">
        <v>13.82</v>
      </c>
      <c r="BG234" s="28">
        <f t="shared" si="26"/>
        <v>27.37124760850276</v>
      </c>
      <c r="BH234" t="e">
        <f t="shared" si="27"/>
        <v>#N/A</v>
      </c>
      <c r="BI234" t="e">
        <f t="shared" si="28"/>
        <v>#N/A</v>
      </c>
      <c r="BJ234">
        <v>10</v>
      </c>
    </row>
    <row r="235" spans="3:62" x14ac:dyDescent="0.3">
      <c r="C235">
        <v>16</v>
      </c>
      <c r="D235" s="36">
        <v>25.67</v>
      </c>
      <c r="K235" s="14">
        <f t="shared" si="25"/>
        <v>1E-3</v>
      </c>
      <c r="L235" s="14"/>
      <c r="O235" s="14">
        <f t="shared" si="23"/>
        <v>2.0000000000000001E-4</v>
      </c>
      <c r="P235" s="14">
        <f t="shared" si="24"/>
        <v>7.8587786259546764E-4</v>
      </c>
      <c r="BF235">
        <v>13.83</v>
      </c>
      <c r="BG235" s="28">
        <f t="shared" si="26"/>
        <v>27.391504098282034</v>
      </c>
      <c r="BH235" t="e">
        <f t="shared" si="27"/>
        <v>#N/A</v>
      </c>
      <c r="BI235" t="e">
        <f t="shared" si="28"/>
        <v>#N/A</v>
      </c>
      <c r="BJ235">
        <v>10</v>
      </c>
    </row>
    <row r="236" spans="3:62" x14ac:dyDescent="0.3">
      <c r="C236">
        <v>16</v>
      </c>
      <c r="D236" s="36">
        <v>29.98</v>
      </c>
      <c r="K236" s="14">
        <f t="shared" si="25"/>
        <v>1E-3</v>
      </c>
      <c r="L236" s="14"/>
      <c r="O236" s="14">
        <f t="shared" si="23"/>
        <v>2.0000000000000001E-4</v>
      </c>
      <c r="P236" s="14">
        <f t="shared" si="24"/>
        <v>4.0000000000000002E-4</v>
      </c>
      <c r="BF236">
        <v>13.84</v>
      </c>
      <c r="BG236" s="28">
        <f t="shared" si="26"/>
        <v>27.411760588061313</v>
      </c>
      <c r="BH236" t="e">
        <f t="shared" si="27"/>
        <v>#N/A</v>
      </c>
      <c r="BI236" t="e">
        <f t="shared" si="28"/>
        <v>#N/A</v>
      </c>
      <c r="BJ236">
        <v>10</v>
      </c>
    </row>
    <row r="237" spans="3:62" x14ac:dyDescent="0.3">
      <c r="C237">
        <v>15</v>
      </c>
      <c r="D237" s="36">
        <v>35.79</v>
      </c>
      <c r="K237" s="14">
        <f t="shared" si="25"/>
        <v>1E-3</v>
      </c>
      <c r="L237" s="14"/>
      <c r="O237" s="14">
        <f t="shared" si="23"/>
        <v>4.0000000000000002E-4</v>
      </c>
      <c r="P237" s="14">
        <f t="shared" si="24"/>
        <v>1E-4</v>
      </c>
      <c r="BF237">
        <v>13.85</v>
      </c>
      <c r="BG237" s="28">
        <f t="shared" si="26"/>
        <v>27.432017077840591</v>
      </c>
      <c r="BH237" t="e">
        <f t="shared" si="27"/>
        <v>#N/A</v>
      </c>
      <c r="BI237" t="e">
        <f t="shared" si="28"/>
        <v>#N/A</v>
      </c>
      <c r="BJ237">
        <v>10</v>
      </c>
    </row>
    <row r="238" spans="3:62" x14ac:dyDescent="0.3">
      <c r="C238">
        <v>15</v>
      </c>
      <c r="D238" s="36">
        <v>33.67</v>
      </c>
      <c r="K238" s="14">
        <f t="shared" si="25"/>
        <v>1E-3</v>
      </c>
      <c r="L238" s="14"/>
      <c r="O238" s="14">
        <f t="shared" si="23"/>
        <v>4.0000000000000002E-4</v>
      </c>
      <c r="P238" s="14">
        <f t="shared" si="24"/>
        <v>1E-4</v>
      </c>
      <c r="BF238">
        <v>13.86</v>
      </c>
      <c r="BG238" s="28">
        <f t="shared" si="26"/>
        <v>27.452273567619866</v>
      </c>
      <c r="BH238" t="e">
        <f t="shared" si="27"/>
        <v>#N/A</v>
      </c>
      <c r="BI238" t="e">
        <f t="shared" si="28"/>
        <v>#N/A</v>
      </c>
      <c r="BJ238">
        <v>10</v>
      </c>
    </row>
    <row r="239" spans="3:62" x14ac:dyDescent="0.3">
      <c r="C239">
        <v>15</v>
      </c>
      <c r="D239" s="36">
        <v>26.73</v>
      </c>
      <c r="K239" s="14">
        <f t="shared" si="25"/>
        <v>1E-3</v>
      </c>
      <c r="L239" s="14"/>
      <c r="O239" s="14">
        <f t="shared" si="23"/>
        <v>4.0000000000000002E-4</v>
      </c>
      <c r="P239" s="14">
        <f t="shared" si="24"/>
        <v>7.8587786259546764E-4</v>
      </c>
      <c r="BF239">
        <v>13.87</v>
      </c>
      <c r="BG239" s="28">
        <f t="shared" si="26"/>
        <v>27.472530057399144</v>
      </c>
      <c r="BH239" t="e">
        <f t="shared" si="27"/>
        <v>#N/A</v>
      </c>
      <c r="BI239" t="e">
        <f t="shared" si="28"/>
        <v>#N/A</v>
      </c>
      <c r="BJ239">
        <v>10</v>
      </c>
    </row>
    <row r="240" spans="3:62" x14ac:dyDescent="0.3">
      <c r="C240">
        <v>13</v>
      </c>
      <c r="D240" s="36">
        <v>25.23</v>
      </c>
      <c r="K240" s="14">
        <f t="shared" si="25"/>
        <v>1E-3</v>
      </c>
      <c r="L240" s="14"/>
      <c r="O240" s="14">
        <f t="shared" si="23"/>
        <v>1E-3</v>
      </c>
      <c r="P240" s="14">
        <f t="shared" si="24"/>
        <v>7.8587786259546764E-4</v>
      </c>
      <c r="BF240">
        <v>13.88</v>
      </c>
      <c r="BG240" s="28">
        <f t="shared" si="26"/>
        <v>27.492786547178426</v>
      </c>
      <c r="BH240" t="e">
        <f t="shared" si="27"/>
        <v>#N/A</v>
      </c>
      <c r="BI240" t="e">
        <f t="shared" si="28"/>
        <v>#N/A</v>
      </c>
      <c r="BJ240">
        <v>10</v>
      </c>
    </row>
    <row r="241" spans="3:62" x14ac:dyDescent="0.3">
      <c r="C241">
        <v>16</v>
      </c>
      <c r="D241" s="36">
        <v>38.020000000000003</v>
      </c>
      <c r="K241" s="14">
        <f t="shared" si="25"/>
        <v>1E-3</v>
      </c>
      <c r="L241" s="14"/>
      <c r="O241" s="14">
        <f t="shared" si="23"/>
        <v>2.0000000000000001E-4</v>
      </c>
      <c r="P241" s="14">
        <f t="shared" si="24"/>
        <v>1E-4</v>
      </c>
      <c r="BF241">
        <v>13.889999999999899</v>
      </c>
      <c r="BG241" s="28">
        <f t="shared" si="26"/>
        <v>27.513043036957495</v>
      </c>
      <c r="BH241" t="e">
        <f t="shared" si="27"/>
        <v>#N/A</v>
      </c>
      <c r="BI241" t="e">
        <f t="shared" si="28"/>
        <v>#N/A</v>
      </c>
      <c r="BJ241">
        <v>10</v>
      </c>
    </row>
    <row r="242" spans="3:62" x14ac:dyDescent="0.3">
      <c r="C242">
        <v>14</v>
      </c>
      <c r="D242" s="36">
        <v>24.89</v>
      </c>
      <c r="K242" s="14">
        <f t="shared" si="25"/>
        <v>1E-3</v>
      </c>
      <c r="L242" s="14"/>
      <c r="O242" s="14">
        <f t="shared" si="23"/>
        <v>4.7156372549026095E-4</v>
      </c>
      <c r="P242" s="14">
        <f t="shared" si="24"/>
        <v>7.8587786259546764E-4</v>
      </c>
      <c r="BF242">
        <v>13.899999999999901</v>
      </c>
      <c r="BG242" s="28">
        <f t="shared" si="26"/>
        <v>27.533299526736776</v>
      </c>
      <c r="BH242" t="e">
        <f t="shared" si="27"/>
        <v>#N/A</v>
      </c>
      <c r="BI242" t="e">
        <f t="shared" si="28"/>
        <v>#N/A</v>
      </c>
      <c r="BJ242">
        <v>10</v>
      </c>
    </row>
    <row r="243" spans="3:62" x14ac:dyDescent="0.3">
      <c r="C243">
        <v>12</v>
      </c>
      <c r="D243" s="36">
        <v>20.87</v>
      </c>
      <c r="K243" s="14">
        <f t="shared" si="25"/>
        <v>1E-3</v>
      </c>
      <c r="L243" s="14"/>
      <c r="O243" s="14">
        <f t="shared" si="23"/>
        <v>3.0000000000000001E-3</v>
      </c>
      <c r="P243" s="14">
        <f t="shared" si="24"/>
        <v>1.5E-3</v>
      </c>
      <c r="BF243">
        <v>13.91</v>
      </c>
      <c r="BG243" s="28">
        <f t="shared" si="26"/>
        <v>27.553556016516257</v>
      </c>
      <c r="BH243" t="e">
        <f t="shared" si="27"/>
        <v>#N/A</v>
      </c>
      <c r="BI243" t="e">
        <f t="shared" si="28"/>
        <v>#N/A</v>
      </c>
      <c r="BJ243">
        <v>10</v>
      </c>
    </row>
    <row r="244" spans="3:62" x14ac:dyDescent="0.3">
      <c r="C244">
        <v>12</v>
      </c>
      <c r="D244" s="36">
        <v>25.53</v>
      </c>
      <c r="K244" s="14">
        <f t="shared" si="25"/>
        <v>1E-3</v>
      </c>
      <c r="L244" s="14"/>
      <c r="O244" s="14">
        <f t="shared" si="23"/>
        <v>3.0000000000000001E-3</v>
      </c>
      <c r="P244" s="14">
        <f t="shared" si="24"/>
        <v>7.8587786259546764E-4</v>
      </c>
      <c r="BF244">
        <v>13.92</v>
      </c>
      <c r="BG244" s="28">
        <f t="shared" si="26"/>
        <v>27.573812506295532</v>
      </c>
      <c r="BH244" t="e">
        <f t="shared" si="27"/>
        <v>#N/A</v>
      </c>
      <c r="BI244" t="e">
        <f t="shared" si="28"/>
        <v>#N/A</v>
      </c>
      <c r="BJ244">
        <v>10</v>
      </c>
    </row>
    <row r="245" spans="3:62" x14ac:dyDescent="0.3">
      <c r="C245">
        <v>16</v>
      </c>
      <c r="D245" s="36">
        <v>31.83</v>
      </c>
      <c r="K245" s="14">
        <f t="shared" si="25"/>
        <v>1E-3</v>
      </c>
      <c r="L245" s="14"/>
      <c r="O245" s="14">
        <f t="shared" si="23"/>
        <v>2.0000000000000001E-4</v>
      </c>
      <c r="P245" s="14">
        <f t="shared" si="24"/>
        <v>4.0000000000000002E-4</v>
      </c>
      <c r="BF245">
        <v>13.9299999999999</v>
      </c>
      <c r="BG245" s="28">
        <f t="shared" si="26"/>
        <v>27.594068996074608</v>
      </c>
      <c r="BH245" t="e">
        <f t="shared" si="27"/>
        <v>#N/A</v>
      </c>
      <c r="BI245" t="e">
        <f t="shared" si="28"/>
        <v>#N/A</v>
      </c>
      <c r="BJ245">
        <v>10</v>
      </c>
    </row>
    <row r="246" spans="3:62" x14ac:dyDescent="0.3">
      <c r="C246">
        <v>13</v>
      </c>
      <c r="D246" s="36">
        <v>35.659999999999997</v>
      </c>
      <c r="K246" s="14">
        <f t="shared" si="25"/>
        <v>1E-3</v>
      </c>
      <c r="L246" s="14"/>
      <c r="O246" s="14">
        <f t="shared" si="23"/>
        <v>1E-3</v>
      </c>
      <c r="P246" s="14">
        <f t="shared" si="24"/>
        <v>1E-4</v>
      </c>
      <c r="BF246">
        <v>13.9399999999999</v>
      </c>
      <c r="BG246" s="28">
        <f t="shared" si="26"/>
        <v>27.614325485853886</v>
      </c>
      <c r="BH246" t="e">
        <f t="shared" si="27"/>
        <v>#N/A</v>
      </c>
      <c r="BI246" t="e">
        <f t="shared" si="28"/>
        <v>#N/A</v>
      </c>
      <c r="BJ246">
        <v>10</v>
      </c>
    </row>
    <row r="247" spans="3:62" x14ac:dyDescent="0.3">
      <c r="C247">
        <v>14</v>
      </c>
      <c r="D247" s="36">
        <v>31.45</v>
      </c>
      <c r="K247" s="14">
        <f t="shared" si="25"/>
        <v>1E-3</v>
      </c>
      <c r="L247" s="14"/>
      <c r="O247" s="14">
        <f t="shared" si="23"/>
        <v>4.7156372549026095E-4</v>
      </c>
      <c r="P247" s="14">
        <f t="shared" si="24"/>
        <v>4.0000000000000002E-4</v>
      </c>
      <c r="BF247">
        <v>13.9499999999999</v>
      </c>
      <c r="BG247" s="28">
        <f t="shared" si="26"/>
        <v>27.634581975633161</v>
      </c>
      <c r="BH247" t="e">
        <f t="shared" si="27"/>
        <v>#N/A</v>
      </c>
      <c r="BI247" t="e">
        <f t="shared" si="28"/>
        <v>#N/A</v>
      </c>
      <c r="BJ247">
        <v>10</v>
      </c>
    </row>
    <row r="248" spans="3:62" x14ac:dyDescent="0.3">
      <c r="C248">
        <v>15</v>
      </c>
      <c r="D248" s="36">
        <v>21.91</v>
      </c>
      <c r="K248" s="14">
        <f t="shared" si="25"/>
        <v>1E-3</v>
      </c>
      <c r="L248" s="14"/>
      <c r="O248" s="14">
        <f t="shared" si="23"/>
        <v>4.0000000000000002E-4</v>
      </c>
      <c r="P248" s="14">
        <f t="shared" si="24"/>
        <v>1.5E-3</v>
      </c>
      <c r="BF248">
        <v>13.9599999999999</v>
      </c>
      <c r="BG248" s="28">
        <f t="shared" si="26"/>
        <v>27.654838465412439</v>
      </c>
      <c r="BH248" t="e">
        <f t="shared" si="27"/>
        <v>#N/A</v>
      </c>
      <c r="BI248" t="e">
        <f t="shared" si="28"/>
        <v>#N/A</v>
      </c>
      <c r="BJ248">
        <v>10</v>
      </c>
    </row>
    <row r="249" spans="3:62" x14ac:dyDescent="0.3">
      <c r="C249">
        <v>16</v>
      </c>
      <c r="D249" s="36">
        <v>34.19</v>
      </c>
      <c r="K249" s="14">
        <f t="shared" si="25"/>
        <v>1E-3</v>
      </c>
      <c r="L249" s="14"/>
      <c r="O249" s="14">
        <f t="shared" si="23"/>
        <v>2.0000000000000001E-4</v>
      </c>
      <c r="P249" s="14">
        <f t="shared" si="24"/>
        <v>1E-4</v>
      </c>
      <c r="BF249">
        <v>13.969999999999899</v>
      </c>
      <c r="BG249" s="28">
        <f t="shared" si="26"/>
        <v>27.675094955191717</v>
      </c>
      <c r="BH249" t="e">
        <f t="shared" si="27"/>
        <v>#N/A</v>
      </c>
      <c r="BI249" t="e">
        <f t="shared" si="28"/>
        <v>#N/A</v>
      </c>
      <c r="BJ249">
        <v>10</v>
      </c>
    </row>
    <row r="250" spans="3:62" x14ac:dyDescent="0.3">
      <c r="C250">
        <v>12</v>
      </c>
      <c r="D250" s="36">
        <v>31.61</v>
      </c>
      <c r="K250" s="14">
        <f t="shared" si="25"/>
        <v>1E-3</v>
      </c>
      <c r="L250" s="14"/>
      <c r="O250" s="14">
        <f t="shared" si="23"/>
        <v>3.0000000000000001E-3</v>
      </c>
      <c r="P250" s="14">
        <f t="shared" si="24"/>
        <v>4.0000000000000002E-4</v>
      </c>
      <c r="BF250">
        <v>13.979999999999899</v>
      </c>
      <c r="BG250" s="28">
        <f t="shared" si="26"/>
        <v>27.695351444970992</v>
      </c>
      <c r="BH250" t="e">
        <f t="shared" si="27"/>
        <v>#N/A</v>
      </c>
      <c r="BI250" t="e">
        <f t="shared" si="28"/>
        <v>#N/A</v>
      </c>
      <c r="BJ250">
        <v>10</v>
      </c>
    </row>
    <row r="251" spans="3:62" x14ac:dyDescent="0.3">
      <c r="C251">
        <v>15</v>
      </c>
      <c r="D251" s="36">
        <v>31.72</v>
      </c>
      <c r="K251" s="14">
        <f t="shared" si="25"/>
        <v>1E-3</v>
      </c>
      <c r="L251" s="14"/>
      <c r="O251" s="14">
        <f t="shared" si="23"/>
        <v>4.0000000000000002E-4</v>
      </c>
      <c r="P251" s="14">
        <f t="shared" si="24"/>
        <v>4.0000000000000002E-4</v>
      </c>
      <c r="BF251">
        <v>13.989999999999901</v>
      </c>
      <c r="BG251" s="28">
        <f t="shared" si="26"/>
        <v>27.715607934750274</v>
      </c>
      <c r="BH251" t="e">
        <f t="shared" si="27"/>
        <v>#N/A</v>
      </c>
      <c r="BI251" t="e">
        <f t="shared" si="28"/>
        <v>#N/A</v>
      </c>
      <c r="BJ251">
        <v>10</v>
      </c>
    </row>
    <row r="252" spans="3:62" x14ac:dyDescent="0.3">
      <c r="C252">
        <v>16</v>
      </c>
      <c r="D252" s="36">
        <v>35.72</v>
      </c>
      <c r="K252" s="14">
        <f t="shared" si="25"/>
        <v>1E-3</v>
      </c>
      <c r="L252" s="14"/>
      <c r="O252" s="14">
        <f t="shared" si="23"/>
        <v>2.0000000000000001E-4</v>
      </c>
      <c r="P252" s="14">
        <f t="shared" si="24"/>
        <v>1E-4</v>
      </c>
      <c r="BF252">
        <v>14</v>
      </c>
      <c r="BG252" s="28">
        <f t="shared" si="26"/>
        <v>27.735864424529755</v>
      </c>
      <c r="BH252" t="e">
        <f t="shared" si="27"/>
        <v>#N/A</v>
      </c>
      <c r="BI252" t="e">
        <f t="shared" si="28"/>
        <v>#N/A</v>
      </c>
      <c r="BJ252">
        <v>10</v>
      </c>
    </row>
    <row r="253" spans="3:62" x14ac:dyDescent="0.3">
      <c r="C253">
        <v>12</v>
      </c>
      <c r="D253" s="36">
        <v>16.46</v>
      </c>
      <c r="K253" s="14">
        <f t="shared" si="25"/>
        <v>1E-3</v>
      </c>
      <c r="L253" s="14"/>
      <c r="O253" s="14">
        <f t="shared" si="23"/>
        <v>3.0000000000000001E-3</v>
      </c>
      <c r="P253" s="14">
        <f t="shared" si="24"/>
        <v>5.0000000000000001E-3</v>
      </c>
      <c r="BF253">
        <v>14.01</v>
      </c>
      <c r="BG253" s="28">
        <f t="shared" si="26"/>
        <v>27.75612091430903</v>
      </c>
      <c r="BH253" t="e">
        <f t="shared" si="27"/>
        <v>#N/A</v>
      </c>
      <c r="BI253" t="e">
        <f t="shared" si="28"/>
        <v>#N/A</v>
      </c>
      <c r="BJ253">
        <v>10</v>
      </c>
    </row>
    <row r="254" spans="3:62" x14ac:dyDescent="0.3">
      <c r="C254">
        <v>15</v>
      </c>
      <c r="D254" s="36">
        <v>26.73</v>
      </c>
      <c r="K254" s="14">
        <f t="shared" si="25"/>
        <v>1E-3</v>
      </c>
      <c r="L254" s="14"/>
      <c r="O254" s="14">
        <f t="shared" si="23"/>
        <v>4.0000000000000002E-4</v>
      </c>
      <c r="P254" s="14">
        <f t="shared" si="24"/>
        <v>7.8587786259546764E-4</v>
      </c>
      <c r="BF254">
        <v>14.0199999999999</v>
      </c>
      <c r="BG254" s="28">
        <f t="shared" si="26"/>
        <v>27.776377404088105</v>
      </c>
      <c r="BH254" t="e">
        <f t="shared" si="27"/>
        <v>#N/A</v>
      </c>
      <c r="BI254" t="e">
        <f t="shared" si="28"/>
        <v>#N/A</v>
      </c>
      <c r="BJ254">
        <v>10</v>
      </c>
    </row>
    <row r="255" spans="3:62" x14ac:dyDescent="0.3">
      <c r="C255">
        <v>16</v>
      </c>
      <c r="D255" s="36">
        <v>32.65</v>
      </c>
      <c r="K255" s="14">
        <f t="shared" si="25"/>
        <v>1E-3</v>
      </c>
      <c r="L255" s="14"/>
      <c r="O255" s="14">
        <f t="shared" si="23"/>
        <v>2.0000000000000001E-4</v>
      </c>
      <c r="P255" s="14">
        <f t="shared" si="24"/>
        <v>1E-4</v>
      </c>
      <c r="BF255">
        <v>14.0299999999999</v>
      </c>
      <c r="BG255" s="28">
        <f t="shared" si="26"/>
        <v>27.796633893867384</v>
      </c>
      <c r="BH255" t="e">
        <f t="shared" si="27"/>
        <v>#N/A</v>
      </c>
      <c r="BI255" t="e">
        <f t="shared" si="28"/>
        <v>#N/A</v>
      </c>
      <c r="BJ255">
        <v>10</v>
      </c>
    </row>
    <row r="256" spans="3:62" x14ac:dyDescent="0.3">
      <c r="C256">
        <v>13</v>
      </c>
      <c r="D256" s="36">
        <v>30.54</v>
      </c>
      <c r="K256" s="14">
        <f t="shared" si="25"/>
        <v>1E-3</v>
      </c>
      <c r="L256" s="14"/>
      <c r="O256" s="14">
        <f t="shared" si="23"/>
        <v>1E-3</v>
      </c>
      <c r="P256" s="14">
        <f t="shared" si="24"/>
        <v>4.0000000000000002E-4</v>
      </c>
      <c r="BF256">
        <v>14.0399999999999</v>
      </c>
      <c r="BG256" s="28">
        <f t="shared" si="26"/>
        <v>27.816890383646658</v>
      </c>
      <c r="BH256" t="e">
        <f t="shared" si="27"/>
        <v>#N/A</v>
      </c>
      <c r="BI256" t="e">
        <f t="shared" si="28"/>
        <v>#N/A</v>
      </c>
      <c r="BJ256">
        <v>10</v>
      </c>
    </row>
    <row r="257" spans="3:62" x14ac:dyDescent="0.3">
      <c r="C257">
        <v>13</v>
      </c>
      <c r="D257" s="36">
        <v>30.72</v>
      </c>
      <c r="K257" s="14">
        <f t="shared" si="25"/>
        <v>1E-3</v>
      </c>
      <c r="L257" s="14"/>
      <c r="O257" s="14">
        <f t="shared" si="23"/>
        <v>1E-3</v>
      </c>
      <c r="P257" s="14">
        <f t="shared" si="24"/>
        <v>4.0000000000000002E-4</v>
      </c>
      <c r="BF257">
        <v>14.049999999999899</v>
      </c>
      <c r="BG257" s="28">
        <f t="shared" si="26"/>
        <v>27.837146873425937</v>
      </c>
      <c r="BH257" t="e">
        <f t="shared" si="27"/>
        <v>#N/A</v>
      </c>
      <c r="BI257" t="e">
        <f t="shared" si="28"/>
        <v>#N/A</v>
      </c>
      <c r="BJ257">
        <v>10</v>
      </c>
    </row>
    <row r="258" spans="3:62" x14ac:dyDescent="0.3">
      <c r="C258">
        <v>16</v>
      </c>
      <c r="D258" s="36">
        <v>33.79</v>
      </c>
      <c r="K258" s="14">
        <f t="shared" si="25"/>
        <v>1E-3</v>
      </c>
      <c r="L258" s="14"/>
      <c r="O258" s="14">
        <f t="shared" ref="O258:O321" si="29">IF(C258=12,$M$4,IF(C258=13,$M$5,IF(C258=14,$M$6,IF(C258=15,$M$7,$M$8))))</f>
        <v>2.0000000000000001E-4</v>
      </c>
      <c r="P258" s="14">
        <f t="shared" ref="P258:P321" si="30">IF(D258&lt;20,$M$14,IF(D258&lt;24,$M$15,IF(D258&lt;28,$M$16,IF(D258&lt;32,$M$17,$M$18))))</f>
        <v>1E-4</v>
      </c>
      <c r="BF258">
        <v>14.059999999999899</v>
      </c>
      <c r="BG258" s="28">
        <f t="shared" si="26"/>
        <v>27.857403363205215</v>
      </c>
      <c r="BH258" t="e">
        <f t="shared" si="27"/>
        <v>#N/A</v>
      </c>
      <c r="BI258" t="e">
        <f t="shared" si="28"/>
        <v>#N/A</v>
      </c>
      <c r="BJ258">
        <v>10</v>
      </c>
    </row>
    <row r="259" spans="3:62" x14ac:dyDescent="0.3">
      <c r="C259">
        <v>12</v>
      </c>
      <c r="D259" s="36">
        <v>24.14</v>
      </c>
      <c r="K259" s="14">
        <f t="shared" ref="K259:K322" si="31">1/1000</f>
        <v>1E-3</v>
      </c>
      <c r="L259" s="14"/>
      <c r="O259" s="14">
        <f t="shared" si="29"/>
        <v>3.0000000000000001E-3</v>
      </c>
      <c r="P259" s="14">
        <f t="shared" si="30"/>
        <v>7.8587786259546764E-4</v>
      </c>
      <c r="BF259">
        <v>14.07</v>
      </c>
      <c r="BG259" s="28">
        <f t="shared" ref="BG259:BG322" si="32">$I$8+$I$10*BF259</f>
        <v>27.877659852984696</v>
      </c>
      <c r="BH259" t="e">
        <f t="shared" ref="BH259:BH322" si="33">IF($AD$9=1,$W$3+$V$3*BF259,#N/A)</f>
        <v>#N/A</v>
      </c>
      <c r="BI259" t="e">
        <f t="shared" ref="BI259:BI322" si="34">IF($AD$12=1,$AA$3+$Z$3*BF259,#N/A)</f>
        <v>#N/A</v>
      </c>
      <c r="BJ259">
        <v>10</v>
      </c>
    </row>
    <row r="260" spans="3:62" x14ac:dyDescent="0.3">
      <c r="C260">
        <v>12</v>
      </c>
      <c r="D260" s="36">
        <v>21.17</v>
      </c>
      <c r="K260" s="14">
        <f t="shared" si="31"/>
        <v>1E-3</v>
      </c>
      <c r="L260" s="14"/>
      <c r="O260" s="14">
        <f t="shared" si="29"/>
        <v>3.0000000000000001E-3</v>
      </c>
      <c r="P260" s="14">
        <f t="shared" si="30"/>
        <v>1.5E-3</v>
      </c>
      <c r="BF260">
        <v>14.079999999999901</v>
      </c>
      <c r="BG260" s="28">
        <f t="shared" si="32"/>
        <v>27.897916342763772</v>
      </c>
      <c r="BH260" t="e">
        <f t="shared" si="33"/>
        <v>#N/A</v>
      </c>
      <c r="BI260" t="e">
        <f t="shared" si="34"/>
        <v>#N/A</v>
      </c>
      <c r="BJ260">
        <v>10</v>
      </c>
    </row>
    <row r="261" spans="3:62" x14ac:dyDescent="0.3">
      <c r="C261">
        <v>12</v>
      </c>
      <c r="D261" s="36">
        <v>23.1</v>
      </c>
      <c r="K261" s="14">
        <f t="shared" si="31"/>
        <v>1E-3</v>
      </c>
      <c r="L261" s="14"/>
      <c r="O261" s="14">
        <f t="shared" si="29"/>
        <v>3.0000000000000001E-3</v>
      </c>
      <c r="P261" s="14">
        <f t="shared" si="30"/>
        <v>1.5E-3</v>
      </c>
      <c r="BF261">
        <v>14.09</v>
      </c>
      <c r="BG261" s="28">
        <f t="shared" si="32"/>
        <v>27.918172832543249</v>
      </c>
      <c r="BH261" t="e">
        <f t="shared" si="33"/>
        <v>#N/A</v>
      </c>
      <c r="BI261" t="e">
        <f t="shared" si="34"/>
        <v>#N/A</v>
      </c>
      <c r="BJ261">
        <v>10</v>
      </c>
    </row>
    <row r="262" spans="3:62" x14ac:dyDescent="0.3">
      <c r="C262">
        <v>12</v>
      </c>
      <c r="D262" s="36">
        <v>23.81</v>
      </c>
      <c r="K262" s="14">
        <f t="shared" si="31"/>
        <v>1E-3</v>
      </c>
      <c r="L262" s="14"/>
      <c r="O262" s="14">
        <f t="shared" si="29"/>
        <v>3.0000000000000001E-3</v>
      </c>
      <c r="P262" s="14">
        <f t="shared" si="30"/>
        <v>1.5E-3</v>
      </c>
      <c r="BF262">
        <v>14.0999999999999</v>
      </c>
      <c r="BG262" s="28">
        <f t="shared" si="32"/>
        <v>27.938429322322325</v>
      </c>
      <c r="BH262" t="e">
        <f t="shared" si="33"/>
        <v>#N/A</v>
      </c>
      <c r="BI262" t="e">
        <f t="shared" si="34"/>
        <v>#N/A</v>
      </c>
      <c r="BJ262">
        <v>10</v>
      </c>
    </row>
    <row r="263" spans="3:62" x14ac:dyDescent="0.3">
      <c r="C263">
        <v>14</v>
      </c>
      <c r="D263" s="36">
        <v>26.68</v>
      </c>
      <c r="K263" s="14">
        <f t="shared" si="31"/>
        <v>1E-3</v>
      </c>
      <c r="L263" s="14"/>
      <c r="O263" s="14">
        <f t="shared" si="29"/>
        <v>4.7156372549026095E-4</v>
      </c>
      <c r="P263" s="14">
        <f t="shared" si="30"/>
        <v>7.8587786259546764E-4</v>
      </c>
      <c r="BF263">
        <v>14.1099999999999</v>
      </c>
      <c r="BG263" s="28">
        <f t="shared" si="32"/>
        <v>27.958685812101603</v>
      </c>
      <c r="BH263" t="e">
        <f t="shared" si="33"/>
        <v>#N/A</v>
      </c>
      <c r="BI263" t="e">
        <f t="shared" si="34"/>
        <v>#N/A</v>
      </c>
      <c r="BJ263">
        <v>10</v>
      </c>
    </row>
    <row r="264" spans="3:62" x14ac:dyDescent="0.3">
      <c r="C264">
        <v>14</v>
      </c>
      <c r="D264" s="36">
        <v>27.97</v>
      </c>
      <c r="K264" s="14">
        <f t="shared" si="31"/>
        <v>1E-3</v>
      </c>
      <c r="L264" s="14"/>
      <c r="O264" s="14">
        <f t="shared" si="29"/>
        <v>4.7156372549026095E-4</v>
      </c>
      <c r="P264" s="14">
        <f t="shared" si="30"/>
        <v>7.8587786259546764E-4</v>
      </c>
      <c r="BF264">
        <v>14.1199999999999</v>
      </c>
      <c r="BG264" s="28">
        <f t="shared" si="32"/>
        <v>27.978942301880881</v>
      </c>
      <c r="BH264" t="e">
        <f t="shared" si="33"/>
        <v>#N/A</v>
      </c>
      <c r="BI264" t="e">
        <f t="shared" si="34"/>
        <v>#N/A</v>
      </c>
      <c r="BJ264">
        <v>10</v>
      </c>
    </row>
    <row r="265" spans="3:62" x14ac:dyDescent="0.3">
      <c r="C265">
        <v>16</v>
      </c>
      <c r="D265" s="36">
        <v>38.869999999999997</v>
      </c>
      <c r="K265" s="14">
        <f t="shared" si="31"/>
        <v>1E-3</v>
      </c>
      <c r="L265" s="14"/>
      <c r="O265" s="14">
        <f t="shared" si="29"/>
        <v>2.0000000000000001E-4</v>
      </c>
      <c r="P265" s="14">
        <f t="shared" si="30"/>
        <v>1E-4</v>
      </c>
      <c r="BF265">
        <v>14.1299999999999</v>
      </c>
      <c r="BG265" s="28">
        <f t="shared" si="32"/>
        <v>27.999198791660156</v>
      </c>
      <c r="BH265" t="e">
        <f t="shared" si="33"/>
        <v>#N/A</v>
      </c>
      <c r="BI265" t="e">
        <f t="shared" si="34"/>
        <v>#N/A</v>
      </c>
      <c r="BJ265">
        <v>10</v>
      </c>
    </row>
    <row r="266" spans="3:62" x14ac:dyDescent="0.3">
      <c r="C266">
        <v>13</v>
      </c>
      <c r="D266" s="36">
        <v>27.53</v>
      </c>
      <c r="K266" s="14">
        <f t="shared" si="31"/>
        <v>1E-3</v>
      </c>
      <c r="L266" s="14"/>
      <c r="O266" s="14">
        <f t="shared" si="29"/>
        <v>1E-3</v>
      </c>
      <c r="P266" s="14">
        <f t="shared" si="30"/>
        <v>7.8587786259546764E-4</v>
      </c>
      <c r="BF266">
        <v>14.139999999999899</v>
      </c>
      <c r="BG266" s="28">
        <f t="shared" si="32"/>
        <v>28.019455281439434</v>
      </c>
      <c r="BH266" t="e">
        <f t="shared" si="33"/>
        <v>#N/A</v>
      </c>
      <c r="BI266" t="e">
        <f t="shared" si="34"/>
        <v>#N/A</v>
      </c>
      <c r="BJ266">
        <v>10</v>
      </c>
    </row>
    <row r="267" spans="3:62" x14ac:dyDescent="0.3">
      <c r="C267">
        <v>14</v>
      </c>
      <c r="D267" s="36">
        <v>25.31</v>
      </c>
      <c r="K267" s="14">
        <f t="shared" si="31"/>
        <v>1E-3</v>
      </c>
      <c r="L267" s="14"/>
      <c r="O267" s="14">
        <f t="shared" si="29"/>
        <v>4.7156372549026095E-4</v>
      </c>
      <c r="P267" s="14">
        <f t="shared" si="30"/>
        <v>7.8587786259546764E-4</v>
      </c>
      <c r="BF267">
        <v>14.149999999999901</v>
      </c>
      <c r="BG267" s="28">
        <f t="shared" si="32"/>
        <v>28.039711771218716</v>
      </c>
      <c r="BH267" t="e">
        <f t="shared" si="33"/>
        <v>#N/A</v>
      </c>
      <c r="BI267" t="e">
        <f t="shared" si="34"/>
        <v>#N/A</v>
      </c>
      <c r="BJ267">
        <v>10</v>
      </c>
    </row>
    <row r="268" spans="3:62" x14ac:dyDescent="0.3">
      <c r="C268">
        <v>12</v>
      </c>
      <c r="D268" s="36">
        <v>26.84</v>
      </c>
      <c r="K268" s="14">
        <f t="shared" si="31"/>
        <v>1E-3</v>
      </c>
      <c r="L268" s="14"/>
      <c r="O268" s="14">
        <f t="shared" si="29"/>
        <v>3.0000000000000001E-3</v>
      </c>
      <c r="P268" s="14">
        <f t="shared" si="30"/>
        <v>7.8587786259546764E-4</v>
      </c>
      <c r="BF268">
        <v>14.16</v>
      </c>
      <c r="BG268" s="28">
        <f t="shared" si="32"/>
        <v>28.059968260998193</v>
      </c>
      <c r="BH268" t="e">
        <f t="shared" si="33"/>
        <v>#N/A</v>
      </c>
      <c r="BI268" t="e">
        <f t="shared" si="34"/>
        <v>#N/A</v>
      </c>
      <c r="BJ268">
        <v>10</v>
      </c>
    </row>
    <row r="269" spans="3:62" x14ac:dyDescent="0.3">
      <c r="C269">
        <v>12</v>
      </c>
      <c r="D269" s="36">
        <v>22.8</v>
      </c>
      <c r="K269" s="14">
        <f t="shared" si="31"/>
        <v>1E-3</v>
      </c>
      <c r="L269" s="14"/>
      <c r="O269" s="14">
        <f t="shared" si="29"/>
        <v>3.0000000000000001E-3</v>
      </c>
      <c r="P269" s="14">
        <f t="shared" si="30"/>
        <v>1.5E-3</v>
      </c>
      <c r="BF269">
        <v>14.17</v>
      </c>
      <c r="BG269" s="28">
        <f t="shared" si="32"/>
        <v>28.080224750777472</v>
      </c>
      <c r="BH269" t="e">
        <f t="shared" si="33"/>
        <v>#N/A</v>
      </c>
      <c r="BI269" t="e">
        <f t="shared" si="34"/>
        <v>#N/A</v>
      </c>
      <c r="BJ269">
        <v>10</v>
      </c>
    </row>
    <row r="270" spans="3:62" x14ac:dyDescent="0.3">
      <c r="C270">
        <v>14</v>
      </c>
      <c r="D270" s="36">
        <v>17.46</v>
      </c>
      <c r="K270" s="14">
        <f t="shared" si="31"/>
        <v>1E-3</v>
      </c>
      <c r="L270" s="14"/>
      <c r="O270" s="14">
        <f t="shared" si="29"/>
        <v>4.7156372549026095E-4</v>
      </c>
      <c r="P270" s="14">
        <f t="shared" si="30"/>
        <v>5.0000000000000001E-3</v>
      </c>
      <c r="BF270">
        <v>14.1799999999999</v>
      </c>
      <c r="BG270" s="28">
        <f t="shared" si="32"/>
        <v>28.100481240556547</v>
      </c>
      <c r="BH270" t="e">
        <f t="shared" si="33"/>
        <v>#N/A</v>
      </c>
      <c r="BI270" t="e">
        <f t="shared" si="34"/>
        <v>#N/A</v>
      </c>
      <c r="BJ270">
        <v>10</v>
      </c>
    </row>
    <row r="271" spans="3:62" x14ac:dyDescent="0.3">
      <c r="C271">
        <v>13</v>
      </c>
      <c r="D271" s="36">
        <v>17.899999999999999</v>
      </c>
      <c r="K271" s="14">
        <f t="shared" si="31"/>
        <v>1E-3</v>
      </c>
      <c r="L271" s="14"/>
      <c r="O271" s="14">
        <f t="shared" si="29"/>
        <v>1E-3</v>
      </c>
      <c r="P271" s="14">
        <f t="shared" si="30"/>
        <v>5.0000000000000001E-3</v>
      </c>
      <c r="BF271">
        <v>14.1899999999999</v>
      </c>
      <c r="BG271" s="28">
        <f t="shared" si="32"/>
        <v>28.120737730335822</v>
      </c>
      <c r="BH271" t="e">
        <f t="shared" si="33"/>
        <v>#N/A</v>
      </c>
      <c r="BI271" t="e">
        <f t="shared" si="34"/>
        <v>#N/A</v>
      </c>
      <c r="BJ271">
        <v>10</v>
      </c>
    </row>
    <row r="272" spans="3:62" x14ac:dyDescent="0.3">
      <c r="C272">
        <v>16</v>
      </c>
      <c r="D272" s="36">
        <v>33.840000000000003</v>
      </c>
      <c r="K272" s="14">
        <f t="shared" si="31"/>
        <v>1E-3</v>
      </c>
      <c r="L272" s="14"/>
      <c r="O272" s="14">
        <f t="shared" si="29"/>
        <v>2.0000000000000001E-4</v>
      </c>
      <c r="P272" s="14">
        <f t="shared" si="30"/>
        <v>1E-4</v>
      </c>
      <c r="BF272">
        <v>14.1999999999999</v>
      </c>
      <c r="BG272" s="28">
        <f t="shared" si="32"/>
        <v>28.1409942201151</v>
      </c>
      <c r="BH272" t="e">
        <f t="shared" si="33"/>
        <v>#N/A</v>
      </c>
      <c r="BI272" t="e">
        <f t="shared" si="34"/>
        <v>#N/A</v>
      </c>
      <c r="BJ272">
        <v>10</v>
      </c>
    </row>
    <row r="273" spans="3:62" x14ac:dyDescent="0.3">
      <c r="C273">
        <v>14</v>
      </c>
      <c r="D273" s="36">
        <v>28.72</v>
      </c>
      <c r="K273" s="14">
        <f t="shared" si="31"/>
        <v>1E-3</v>
      </c>
      <c r="L273" s="14"/>
      <c r="O273" s="14">
        <f t="shared" si="29"/>
        <v>4.7156372549026095E-4</v>
      </c>
      <c r="P273" s="14">
        <f t="shared" si="30"/>
        <v>4.0000000000000002E-4</v>
      </c>
      <c r="BF273">
        <v>14.2099999999999</v>
      </c>
      <c r="BG273" s="28">
        <f t="shared" si="32"/>
        <v>28.161250709894379</v>
      </c>
      <c r="BH273" t="e">
        <f t="shared" si="33"/>
        <v>#N/A</v>
      </c>
      <c r="BI273" t="e">
        <f t="shared" si="34"/>
        <v>#N/A</v>
      </c>
      <c r="BJ273">
        <v>10</v>
      </c>
    </row>
    <row r="274" spans="3:62" x14ac:dyDescent="0.3">
      <c r="C274">
        <v>13</v>
      </c>
      <c r="D274" s="36">
        <v>26.22</v>
      </c>
      <c r="K274" s="14">
        <f t="shared" si="31"/>
        <v>1E-3</v>
      </c>
      <c r="L274" s="14"/>
      <c r="O274" s="14">
        <f t="shared" si="29"/>
        <v>1E-3</v>
      </c>
      <c r="P274" s="14">
        <f t="shared" si="30"/>
        <v>7.8587786259546764E-4</v>
      </c>
      <c r="BF274">
        <v>14.219999999999899</v>
      </c>
      <c r="BG274" s="28">
        <f t="shared" si="32"/>
        <v>28.181507199673653</v>
      </c>
      <c r="BH274" t="e">
        <f t="shared" si="33"/>
        <v>#N/A</v>
      </c>
      <c r="BI274" t="e">
        <f t="shared" si="34"/>
        <v>#N/A</v>
      </c>
      <c r="BJ274">
        <v>10</v>
      </c>
    </row>
    <row r="275" spans="3:62" x14ac:dyDescent="0.3">
      <c r="C275">
        <v>13</v>
      </c>
      <c r="D275" s="36">
        <v>29.81</v>
      </c>
      <c r="K275" s="14">
        <f t="shared" si="31"/>
        <v>1E-3</v>
      </c>
      <c r="L275" s="14"/>
      <c r="O275" s="14">
        <f t="shared" si="29"/>
        <v>1E-3</v>
      </c>
      <c r="P275" s="14">
        <f t="shared" si="30"/>
        <v>4.0000000000000002E-4</v>
      </c>
      <c r="BF275">
        <v>14.229999999999899</v>
      </c>
      <c r="BG275" s="28">
        <f t="shared" si="32"/>
        <v>28.201763689452932</v>
      </c>
      <c r="BH275" t="e">
        <f t="shared" si="33"/>
        <v>#N/A</v>
      </c>
      <c r="BI275" t="e">
        <f t="shared" si="34"/>
        <v>#N/A</v>
      </c>
      <c r="BJ275">
        <v>10</v>
      </c>
    </row>
    <row r="276" spans="3:62" x14ac:dyDescent="0.3">
      <c r="C276">
        <v>15</v>
      </c>
      <c r="D276" s="36">
        <v>40.020000000000003</v>
      </c>
      <c r="K276" s="14">
        <f t="shared" si="31"/>
        <v>1E-3</v>
      </c>
      <c r="L276" s="14"/>
      <c r="O276" s="14">
        <f t="shared" si="29"/>
        <v>4.0000000000000002E-4</v>
      </c>
      <c r="P276" s="14">
        <f t="shared" si="30"/>
        <v>1E-4</v>
      </c>
      <c r="BF276">
        <v>14.239999999999901</v>
      </c>
      <c r="BG276" s="28">
        <f t="shared" si="32"/>
        <v>28.222020179232214</v>
      </c>
      <c r="BH276" t="e">
        <f t="shared" si="33"/>
        <v>#N/A</v>
      </c>
      <c r="BI276" t="e">
        <f t="shared" si="34"/>
        <v>#N/A</v>
      </c>
      <c r="BJ276">
        <v>10</v>
      </c>
    </row>
    <row r="277" spans="3:62" x14ac:dyDescent="0.3">
      <c r="C277">
        <v>15</v>
      </c>
      <c r="D277" s="36">
        <v>25.49</v>
      </c>
      <c r="K277" s="14">
        <f t="shared" si="31"/>
        <v>1E-3</v>
      </c>
      <c r="L277" s="14"/>
      <c r="O277" s="14">
        <f t="shared" si="29"/>
        <v>4.0000000000000002E-4</v>
      </c>
      <c r="P277" s="14">
        <f t="shared" si="30"/>
        <v>7.8587786259546764E-4</v>
      </c>
      <c r="BF277">
        <v>14.25</v>
      </c>
      <c r="BG277" s="28">
        <f t="shared" si="32"/>
        <v>28.242276669011691</v>
      </c>
      <c r="BH277" t="e">
        <f t="shared" si="33"/>
        <v>#N/A</v>
      </c>
      <c r="BI277" t="e">
        <f t="shared" si="34"/>
        <v>#N/A</v>
      </c>
      <c r="BJ277">
        <v>10</v>
      </c>
    </row>
    <row r="278" spans="3:62" x14ac:dyDescent="0.3">
      <c r="C278">
        <v>16</v>
      </c>
      <c r="D278" s="36">
        <v>34.07</v>
      </c>
      <c r="K278" s="14">
        <f t="shared" si="31"/>
        <v>1E-3</v>
      </c>
      <c r="L278" s="14"/>
      <c r="O278" s="14">
        <f t="shared" si="29"/>
        <v>2.0000000000000001E-4</v>
      </c>
      <c r="P278" s="14">
        <f t="shared" si="30"/>
        <v>1E-4</v>
      </c>
      <c r="BF278">
        <v>14.26</v>
      </c>
      <c r="BG278" s="28">
        <f t="shared" si="32"/>
        <v>28.262533158790969</v>
      </c>
      <c r="BH278" t="e">
        <f t="shared" si="33"/>
        <v>#N/A</v>
      </c>
      <c r="BI278" t="e">
        <f t="shared" si="34"/>
        <v>#N/A</v>
      </c>
      <c r="BJ278">
        <v>10</v>
      </c>
    </row>
    <row r="279" spans="3:62" x14ac:dyDescent="0.3">
      <c r="C279">
        <v>14</v>
      </c>
      <c r="D279" s="36">
        <v>30.29</v>
      </c>
      <c r="K279" s="14">
        <f t="shared" si="31"/>
        <v>1E-3</v>
      </c>
      <c r="L279" s="14"/>
      <c r="O279" s="14">
        <f t="shared" si="29"/>
        <v>4.7156372549026095E-4</v>
      </c>
      <c r="P279" s="14">
        <f t="shared" si="30"/>
        <v>4.0000000000000002E-4</v>
      </c>
      <c r="BF279">
        <v>14.2699999999999</v>
      </c>
      <c r="BG279" s="28">
        <f t="shared" si="32"/>
        <v>28.282789648570045</v>
      </c>
      <c r="BH279" t="e">
        <f t="shared" si="33"/>
        <v>#N/A</v>
      </c>
      <c r="BI279" t="e">
        <f t="shared" si="34"/>
        <v>#N/A</v>
      </c>
      <c r="BJ279">
        <v>10</v>
      </c>
    </row>
    <row r="280" spans="3:62" x14ac:dyDescent="0.3">
      <c r="C280">
        <v>12</v>
      </c>
      <c r="D280" s="36">
        <v>20.87</v>
      </c>
      <c r="K280" s="14">
        <f t="shared" si="31"/>
        <v>1E-3</v>
      </c>
      <c r="L280" s="14"/>
      <c r="O280" s="14">
        <f t="shared" si="29"/>
        <v>3.0000000000000001E-3</v>
      </c>
      <c r="P280" s="14">
        <f t="shared" si="30"/>
        <v>1.5E-3</v>
      </c>
      <c r="BF280">
        <v>14.2799999999999</v>
      </c>
      <c r="BG280" s="28">
        <f t="shared" si="32"/>
        <v>28.30304613834932</v>
      </c>
      <c r="BH280" t="e">
        <f t="shared" si="33"/>
        <v>#N/A</v>
      </c>
      <c r="BI280" t="e">
        <f t="shared" si="34"/>
        <v>#N/A</v>
      </c>
      <c r="BJ280">
        <v>10</v>
      </c>
    </row>
    <row r="281" spans="3:62" x14ac:dyDescent="0.3">
      <c r="C281">
        <v>14</v>
      </c>
      <c r="D281" s="36">
        <v>38.42</v>
      </c>
      <c r="K281" s="14">
        <f t="shared" si="31"/>
        <v>1E-3</v>
      </c>
      <c r="L281" s="14"/>
      <c r="O281" s="14">
        <f t="shared" si="29"/>
        <v>4.7156372549026095E-4</v>
      </c>
      <c r="P281" s="14">
        <f t="shared" si="30"/>
        <v>1E-4</v>
      </c>
      <c r="BF281">
        <v>14.2899999999999</v>
      </c>
      <c r="BG281" s="28">
        <f t="shared" si="32"/>
        <v>28.323302628128598</v>
      </c>
      <c r="BH281" t="e">
        <f t="shared" si="33"/>
        <v>#N/A</v>
      </c>
      <c r="BI281" t="e">
        <f t="shared" si="34"/>
        <v>#N/A</v>
      </c>
      <c r="BJ281">
        <v>10</v>
      </c>
    </row>
    <row r="282" spans="3:62" x14ac:dyDescent="0.3">
      <c r="C282">
        <v>16</v>
      </c>
      <c r="D282" s="36">
        <v>20.100000000000001</v>
      </c>
      <c r="K282" s="14">
        <f t="shared" si="31"/>
        <v>1E-3</v>
      </c>
      <c r="L282" s="14"/>
      <c r="O282" s="14">
        <f t="shared" si="29"/>
        <v>2.0000000000000001E-4</v>
      </c>
      <c r="P282" s="14">
        <f t="shared" si="30"/>
        <v>1.5E-3</v>
      </c>
      <c r="BF282">
        <v>14.299999999999899</v>
      </c>
      <c r="BG282" s="28">
        <f t="shared" si="32"/>
        <v>28.343559117907876</v>
      </c>
      <c r="BH282" t="e">
        <f t="shared" si="33"/>
        <v>#N/A</v>
      </c>
      <c r="BI282" t="e">
        <f t="shared" si="34"/>
        <v>#N/A</v>
      </c>
      <c r="BJ282">
        <v>10</v>
      </c>
    </row>
    <row r="283" spans="3:62" x14ac:dyDescent="0.3">
      <c r="C283">
        <v>13</v>
      </c>
      <c r="D283" s="36">
        <v>27.65</v>
      </c>
      <c r="K283" s="14">
        <f t="shared" si="31"/>
        <v>1E-3</v>
      </c>
      <c r="L283" s="14"/>
      <c r="O283" s="14">
        <f t="shared" si="29"/>
        <v>1E-3</v>
      </c>
      <c r="P283" s="14">
        <f t="shared" si="30"/>
        <v>7.8587786259546764E-4</v>
      </c>
      <c r="BF283">
        <v>14.309999999999899</v>
      </c>
      <c r="BG283" s="28">
        <f t="shared" si="32"/>
        <v>28.363815607687151</v>
      </c>
      <c r="BH283" t="e">
        <f t="shared" si="33"/>
        <v>#N/A</v>
      </c>
      <c r="BI283" t="e">
        <f t="shared" si="34"/>
        <v>#N/A</v>
      </c>
      <c r="BJ283">
        <v>10</v>
      </c>
    </row>
    <row r="284" spans="3:62" x14ac:dyDescent="0.3">
      <c r="C284">
        <v>13</v>
      </c>
      <c r="D284" s="36">
        <v>18.72</v>
      </c>
      <c r="K284" s="14">
        <f t="shared" si="31"/>
        <v>1E-3</v>
      </c>
      <c r="L284" s="14"/>
      <c r="O284" s="14">
        <f t="shared" si="29"/>
        <v>1E-3</v>
      </c>
      <c r="P284" s="14">
        <f t="shared" si="30"/>
        <v>5.0000000000000001E-3</v>
      </c>
      <c r="BF284">
        <v>14.32</v>
      </c>
      <c r="BG284" s="28">
        <f t="shared" si="32"/>
        <v>28.384072097466635</v>
      </c>
      <c r="BH284" t="e">
        <f t="shared" si="33"/>
        <v>#N/A</v>
      </c>
      <c r="BI284" t="e">
        <f t="shared" si="34"/>
        <v>#N/A</v>
      </c>
      <c r="BJ284">
        <v>10</v>
      </c>
    </row>
    <row r="285" spans="3:62" x14ac:dyDescent="0.3">
      <c r="C285">
        <v>13</v>
      </c>
      <c r="D285" s="36">
        <v>29.95</v>
      </c>
      <c r="K285" s="14">
        <f t="shared" si="31"/>
        <v>1E-3</v>
      </c>
      <c r="L285" s="14"/>
      <c r="O285" s="14">
        <f t="shared" si="29"/>
        <v>1E-3</v>
      </c>
      <c r="P285" s="14">
        <f t="shared" si="30"/>
        <v>4.0000000000000002E-4</v>
      </c>
      <c r="BF285">
        <v>14.329999999999901</v>
      </c>
      <c r="BG285" s="28">
        <f t="shared" si="32"/>
        <v>28.404328587245711</v>
      </c>
      <c r="BH285" t="e">
        <f t="shared" si="33"/>
        <v>#N/A</v>
      </c>
      <c r="BI285" t="e">
        <f t="shared" si="34"/>
        <v>#N/A</v>
      </c>
      <c r="BJ285">
        <v>10</v>
      </c>
    </row>
    <row r="286" spans="3:62" x14ac:dyDescent="0.3">
      <c r="C286">
        <v>13</v>
      </c>
      <c r="D286" s="36">
        <v>16.95</v>
      </c>
      <c r="K286" s="14">
        <f t="shared" si="31"/>
        <v>1E-3</v>
      </c>
      <c r="L286" s="14"/>
      <c r="O286" s="14">
        <f t="shared" si="29"/>
        <v>1E-3</v>
      </c>
      <c r="P286" s="14">
        <f t="shared" si="30"/>
        <v>5.0000000000000001E-3</v>
      </c>
      <c r="BF286">
        <v>14.34</v>
      </c>
      <c r="BG286" s="28">
        <f t="shared" si="32"/>
        <v>28.424585077025188</v>
      </c>
      <c r="BH286" t="e">
        <f t="shared" si="33"/>
        <v>#N/A</v>
      </c>
      <c r="BI286" t="e">
        <f t="shared" si="34"/>
        <v>#N/A</v>
      </c>
      <c r="BJ286">
        <v>10</v>
      </c>
    </row>
    <row r="287" spans="3:62" x14ac:dyDescent="0.3">
      <c r="C287">
        <v>16</v>
      </c>
      <c r="D287" s="36">
        <v>34.770000000000003</v>
      </c>
      <c r="K287" s="14">
        <f t="shared" si="31"/>
        <v>1E-3</v>
      </c>
      <c r="L287" s="14"/>
      <c r="O287" s="14">
        <f t="shared" si="29"/>
        <v>2.0000000000000001E-4</v>
      </c>
      <c r="P287" s="14">
        <f t="shared" si="30"/>
        <v>1E-4</v>
      </c>
      <c r="BF287">
        <v>14.3499999999999</v>
      </c>
      <c r="BG287" s="28">
        <f t="shared" si="32"/>
        <v>28.444841566804264</v>
      </c>
      <c r="BH287" t="e">
        <f t="shared" si="33"/>
        <v>#N/A</v>
      </c>
      <c r="BI287" t="e">
        <f t="shared" si="34"/>
        <v>#N/A</v>
      </c>
      <c r="BJ287">
        <v>10</v>
      </c>
    </row>
    <row r="288" spans="3:62" x14ac:dyDescent="0.3">
      <c r="C288">
        <v>12</v>
      </c>
      <c r="D288" s="36">
        <v>29.06</v>
      </c>
      <c r="K288" s="14">
        <f t="shared" si="31"/>
        <v>1E-3</v>
      </c>
      <c r="L288" s="14"/>
      <c r="O288" s="14">
        <f t="shared" si="29"/>
        <v>3.0000000000000001E-3</v>
      </c>
      <c r="P288" s="14">
        <f t="shared" si="30"/>
        <v>4.0000000000000002E-4</v>
      </c>
      <c r="BF288">
        <v>14.3599999999999</v>
      </c>
      <c r="BG288" s="28">
        <f t="shared" si="32"/>
        <v>28.465098056583543</v>
      </c>
      <c r="BH288" t="e">
        <f t="shared" si="33"/>
        <v>#N/A</v>
      </c>
      <c r="BI288" t="e">
        <f t="shared" si="34"/>
        <v>#N/A</v>
      </c>
      <c r="BJ288">
        <v>10</v>
      </c>
    </row>
    <row r="289" spans="3:62" x14ac:dyDescent="0.3">
      <c r="C289">
        <v>13</v>
      </c>
      <c r="D289" s="36">
        <v>26.68</v>
      </c>
      <c r="K289" s="14">
        <f t="shared" si="31"/>
        <v>1E-3</v>
      </c>
      <c r="L289" s="14"/>
      <c r="O289" s="14">
        <f t="shared" si="29"/>
        <v>1E-3</v>
      </c>
      <c r="P289" s="14">
        <f t="shared" si="30"/>
        <v>7.8587786259546764E-4</v>
      </c>
      <c r="BF289">
        <v>14.3699999999999</v>
      </c>
      <c r="BG289" s="28">
        <f t="shared" si="32"/>
        <v>28.485354546362817</v>
      </c>
      <c r="BH289" t="e">
        <f t="shared" si="33"/>
        <v>#N/A</v>
      </c>
      <c r="BI289" t="e">
        <f t="shared" si="34"/>
        <v>#N/A</v>
      </c>
      <c r="BJ289">
        <v>10</v>
      </c>
    </row>
    <row r="290" spans="3:62" x14ac:dyDescent="0.3">
      <c r="C290">
        <v>13</v>
      </c>
      <c r="D290" s="36">
        <v>23.63</v>
      </c>
      <c r="K290" s="14">
        <f t="shared" si="31"/>
        <v>1E-3</v>
      </c>
      <c r="L290" s="14"/>
      <c r="O290" s="14">
        <f t="shared" si="29"/>
        <v>1E-3</v>
      </c>
      <c r="P290" s="14">
        <f t="shared" si="30"/>
        <v>1.5E-3</v>
      </c>
      <c r="BF290">
        <v>14.3799999999999</v>
      </c>
      <c r="BG290" s="28">
        <f t="shared" si="32"/>
        <v>28.505611036142096</v>
      </c>
      <c r="BH290" t="e">
        <f t="shared" si="33"/>
        <v>#N/A</v>
      </c>
      <c r="BI290" t="e">
        <f t="shared" si="34"/>
        <v>#N/A</v>
      </c>
      <c r="BJ290">
        <v>10</v>
      </c>
    </row>
    <row r="291" spans="3:62" x14ac:dyDescent="0.3">
      <c r="C291">
        <v>13</v>
      </c>
      <c r="D291" s="36">
        <v>32.799999999999997</v>
      </c>
      <c r="K291" s="14">
        <f t="shared" si="31"/>
        <v>1E-3</v>
      </c>
      <c r="L291" s="14"/>
      <c r="O291" s="14">
        <f t="shared" si="29"/>
        <v>1E-3</v>
      </c>
      <c r="P291" s="14">
        <f t="shared" si="30"/>
        <v>1E-4</v>
      </c>
      <c r="BF291">
        <v>14.389999999999899</v>
      </c>
      <c r="BG291" s="28">
        <f t="shared" si="32"/>
        <v>28.525867525921374</v>
      </c>
      <c r="BH291" t="e">
        <f t="shared" si="33"/>
        <v>#N/A</v>
      </c>
      <c r="BI291" t="e">
        <f t="shared" si="34"/>
        <v>#N/A</v>
      </c>
      <c r="BJ291">
        <v>10</v>
      </c>
    </row>
    <row r="292" spans="3:62" x14ac:dyDescent="0.3">
      <c r="C292">
        <v>14</v>
      </c>
      <c r="D292" s="36">
        <v>28.19</v>
      </c>
      <c r="K292" s="14">
        <f t="shared" si="31"/>
        <v>1E-3</v>
      </c>
      <c r="L292" s="14"/>
      <c r="O292" s="14">
        <f t="shared" si="29"/>
        <v>4.7156372549026095E-4</v>
      </c>
      <c r="P292" s="14">
        <f t="shared" si="30"/>
        <v>4.0000000000000002E-4</v>
      </c>
      <c r="BF292">
        <v>14.399999999999901</v>
      </c>
      <c r="BG292" s="28">
        <f t="shared" si="32"/>
        <v>28.546124015700652</v>
      </c>
      <c r="BH292" t="e">
        <f t="shared" si="33"/>
        <v>#N/A</v>
      </c>
      <c r="BI292" t="e">
        <f t="shared" si="34"/>
        <v>#N/A</v>
      </c>
      <c r="BJ292">
        <v>10</v>
      </c>
    </row>
    <row r="293" spans="3:62" x14ac:dyDescent="0.3">
      <c r="C293">
        <v>16</v>
      </c>
      <c r="D293" s="36">
        <v>31.97</v>
      </c>
      <c r="K293" s="14">
        <f t="shared" si="31"/>
        <v>1E-3</v>
      </c>
      <c r="L293" s="14"/>
      <c r="O293" s="14">
        <f t="shared" si="29"/>
        <v>2.0000000000000001E-4</v>
      </c>
      <c r="P293" s="14">
        <f t="shared" si="30"/>
        <v>4.0000000000000002E-4</v>
      </c>
      <c r="BF293">
        <v>14.409999999999901</v>
      </c>
      <c r="BG293" s="28">
        <f t="shared" si="32"/>
        <v>28.56638050547993</v>
      </c>
      <c r="BH293" t="e">
        <f t="shared" si="33"/>
        <v>#N/A</v>
      </c>
      <c r="BI293" t="e">
        <f t="shared" si="34"/>
        <v>#N/A</v>
      </c>
      <c r="BJ293">
        <v>10</v>
      </c>
    </row>
    <row r="294" spans="3:62" x14ac:dyDescent="0.3">
      <c r="C294">
        <v>15</v>
      </c>
      <c r="D294" s="36">
        <v>21.93</v>
      </c>
      <c r="K294" s="14">
        <f t="shared" si="31"/>
        <v>1E-3</v>
      </c>
      <c r="L294" s="14"/>
      <c r="O294" s="14">
        <f t="shared" si="29"/>
        <v>4.0000000000000002E-4</v>
      </c>
      <c r="P294" s="14">
        <f t="shared" si="30"/>
        <v>1.5E-3</v>
      </c>
      <c r="BF294">
        <v>14.4199999999999</v>
      </c>
      <c r="BG294" s="28">
        <f t="shared" si="32"/>
        <v>28.586636995259209</v>
      </c>
      <c r="BH294" t="e">
        <f t="shared" si="33"/>
        <v>#N/A</v>
      </c>
      <c r="BI294" t="e">
        <f t="shared" si="34"/>
        <v>#N/A</v>
      </c>
      <c r="BJ294">
        <v>10</v>
      </c>
    </row>
    <row r="295" spans="3:62" x14ac:dyDescent="0.3">
      <c r="C295">
        <v>14</v>
      </c>
      <c r="D295" s="36">
        <v>24.3</v>
      </c>
      <c r="K295" s="14">
        <f t="shared" si="31"/>
        <v>1E-3</v>
      </c>
      <c r="L295" s="14"/>
      <c r="O295" s="14">
        <f t="shared" si="29"/>
        <v>4.7156372549026095E-4</v>
      </c>
      <c r="P295" s="14">
        <f t="shared" si="30"/>
        <v>7.8587786259546764E-4</v>
      </c>
      <c r="BF295">
        <v>14.4299999999999</v>
      </c>
      <c r="BG295" s="28">
        <f t="shared" si="32"/>
        <v>28.606893485038484</v>
      </c>
      <c r="BH295" t="e">
        <f t="shared" si="33"/>
        <v>#N/A</v>
      </c>
      <c r="BI295" t="e">
        <f t="shared" si="34"/>
        <v>#N/A</v>
      </c>
      <c r="BJ295">
        <v>10</v>
      </c>
    </row>
    <row r="296" spans="3:62" x14ac:dyDescent="0.3">
      <c r="C296">
        <v>16</v>
      </c>
      <c r="D296" s="36">
        <v>28.52</v>
      </c>
      <c r="K296" s="14">
        <f t="shared" si="31"/>
        <v>1E-3</v>
      </c>
      <c r="L296" s="14"/>
      <c r="O296" s="14">
        <f t="shared" si="29"/>
        <v>2.0000000000000001E-4</v>
      </c>
      <c r="P296" s="14">
        <f t="shared" si="30"/>
        <v>4.0000000000000002E-4</v>
      </c>
      <c r="BF296">
        <v>14.4399999999999</v>
      </c>
      <c r="BG296" s="28">
        <f t="shared" si="32"/>
        <v>28.627149974817762</v>
      </c>
      <c r="BH296" t="e">
        <f t="shared" si="33"/>
        <v>#N/A</v>
      </c>
      <c r="BI296" t="e">
        <f t="shared" si="34"/>
        <v>#N/A</v>
      </c>
      <c r="BJ296">
        <v>10</v>
      </c>
    </row>
    <row r="297" spans="3:62" x14ac:dyDescent="0.3">
      <c r="C297">
        <v>14</v>
      </c>
      <c r="D297" s="36">
        <v>30.05</v>
      </c>
      <c r="K297" s="14">
        <f t="shared" si="31"/>
        <v>1E-3</v>
      </c>
      <c r="L297" s="14"/>
      <c r="O297" s="14">
        <f t="shared" si="29"/>
        <v>4.7156372549026095E-4</v>
      </c>
      <c r="P297" s="14">
        <f t="shared" si="30"/>
        <v>4.0000000000000002E-4</v>
      </c>
      <c r="BF297">
        <v>14.4499999999999</v>
      </c>
      <c r="BG297" s="28">
        <f t="shared" si="32"/>
        <v>28.64740646459704</v>
      </c>
      <c r="BH297" t="e">
        <f t="shared" si="33"/>
        <v>#N/A</v>
      </c>
      <c r="BI297" t="e">
        <f t="shared" si="34"/>
        <v>#N/A</v>
      </c>
      <c r="BJ297">
        <v>10</v>
      </c>
    </row>
    <row r="298" spans="3:62" x14ac:dyDescent="0.3">
      <c r="C298">
        <v>15</v>
      </c>
      <c r="D298" s="36">
        <v>36.35</v>
      </c>
      <c r="K298" s="14">
        <f t="shared" si="31"/>
        <v>1E-3</v>
      </c>
      <c r="L298" s="14"/>
      <c r="O298" s="14">
        <f t="shared" si="29"/>
        <v>4.0000000000000002E-4</v>
      </c>
      <c r="P298" s="14">
        <f t="shared" si="30"/>
        <v>1E-4</v>
      </c>
      <c r="BF298">
        <v>14.4599999999999</v>
      </c>
      <c r="BG298" s="28">
        <f t="shared" si="32"/>
        <v>28.667662954376315</v>
      </c>
      <c r="BH298" t="e">
        <f t="shared" si="33"/>
        <v>#N/A</v>
      </c>
      <c r="BI298" t="e">
        <f t="shared" si="34"/>
        <v>#N/A</v>
      </c>
      <c r="BJ298">
        <v>10</v>
      </c>
    </row>
    <row r="299" spans="3:62" x14ac:dyDescent="0.3">
      <c r="C299">
        <v>13</v>
      </c>
      <c r="D299" s="36">
        <v>19.239999999999998</v>
      </c>
      <c r="K299" s="14">
        <f t="shared" si="31"/>
        <v>1E-3</v>
      </c>
      <c r="L299" s="14"/>
      <c r="O299" s="14">
        <f t="shared" si="29"/>
        <v>1E-3</v>
      </c>
      <c r="P299" s="14">
        <f t="shared" si="30"/>
        <v>5.0000000000000001E-3</v>
      </c>
      <c r="BF299">
        <v>14.469999999999899</v>
      </c>
      <c r="BG299" s="28">
        <f t="shared" si="32"/>
        <v>28.687919444155593</v>
      </c>
      <c r="BH299" t="e">
        <f t="shared" si="33"/>
        <v>#N/A</v>
      </c>
      <c r="BI299" t="e">
        <f t="shared" si="34"/>
        <v>#N/A</v>
      </c>
      <c r="BJ299">
        <v>10</v>
      </c>
    </row>
    <row r="300" spans="3:62" x14ac:dyDescent="0.3">
      <c r="C300">
        <v>16</v>
      </c>
      <c r="D300" s="36">
        <v>23.96</v>
      </c>
      <c r="K300" s="14">
        <f t="shared" si="31"/>
        <v>1E-3</v>
      </c>
      <c r="L300" s="14"/>
      <c r="O300" s="14">
        <f t="shared" si="29"/>
        <v>2.0000000000000001E-4</v>
      </c>
      <c r="P300" s="14">
        <f t="shared" si="30"/>
        <v>1.5E-3</v>
      </c>
      <c r="BF300">
        <v>14.479999999999899</v>
      </c>
      <c r="BG300" s="28">
        <f t="shared" si="32"/>
        <v>28.708175933934871</v>
      </c>
      <c r="BH300" t="e">
        <f t="shared" si="33"/>
        <v>#N/A</v>
      </c>
      <c r="BI300" t="e">
        <f t="shared" si="34"/>
        <v>#N/A</v>
      </c>
      <c r="BJ300">
        <v>10</v>
      </c>
    </row>
    <row r="301" spans="3:62" x14ac:dyDescent="0.3">
      <c r="C301">
        <v>15</v>
      </c>
      <c r="D301" s="36">
        <v>29.13</v>
      </c>
      <c r="K301" s="14">
        <f t="shared" si="31"/>
        <v>1E-3</v>
      </c>
      <c r="L301" s="14"/>
      <c r="O301" s="14">
        <f t="shared" si="29"/>
        <v>4.0000000000000002E-4</v>
      </c>
      <c r="P301" s="14">
        <f t="shared" si="30"/>
        <v>4.0000000000000002E-4</v>
      </c>
      <c r="BF301">
        <v>14.489999999999901</v>
      </c>
      <c r="BG301" s="28">
        <f t="shared" si="32"/>
        <v>28.72843242371415</v>
      </c>
      <c r="BH301" t="e">
        <f t="shared" si="33"/>
        <v>#N/A</v>
      </c>
      <c r="BI301" t="e">
        <f t="shared" si="34"/>
        <v>#N/A</v>
      </c>
      <c r="BJ301">
        <v>10</v>
      </c>
    </row>
    <row r="302" spans="3:62" x14ac:dyDescent="0.3">
      <c r="C302">
        <v>16</v>
      </c>
      <c r="D302" s="36">
        <v>36.78</v>
      </c>
      <c r="K302" s="14">
        <f t="shared" si="31"/>
        <v>1E-3</v>
      </c>
      <c r="L302" s="14"/>
      <c r="O302" s="14">
        <f t="shared" si="29"/>
        <v>2.0000000000000001E-4</v>
      </c>
      <c r="P302" s="14">
        <f t="shared" si="30"/>
        <v>1E-4</v>
      </c>
      <c r="BF302">
        <v>14.499999999999901</v>
      </c>
      <c r="BG302" s="28">
        <f t="shared" si="32"/>
        <v>28.748688913493428</v>
      </c>
      <c r="BH302" t="e">
        <f t="shared" si="33"/>
        <v>#N/A</v>
      </c>
      <c r="BI302" t="e">
        <f t="shared" si="34"/>
        <v>#N/A</v>
      </c>
      <c r="BJ302">
        <v>10</v>
      </c>
    </row>
    <row r="303" spans="3:62" x14ac:dyDescent="0.3">
      <c r="C303">
        <v>16</v>
      </c>
      <c r="D303" s="36">
        <v>26.89</v>
      </c>
      <c r="K303" s="14">
        <f t="shared" si="31"/>
        <v>1E-3</v>
      </c>
      <c r="L303" s="14"/>
      <c r="O303" s="14">
        <f t="shared" si="29"/>
        <v>2.0000000000000001E-4</v>
      </c>
      <c r="P303" s="14">
        <f t="shared" si="30"/>
        <v>7.8587786259546764E-4</v>
      </c>
      <c r="BF303">
        <v>14.5099999999999</v>
      </c>
      <c r="BG303" s="28">
        <f t="shared" si="32"/>
        <v>28.768945403272706</v>
      </c>
      <c r="BH303" t="e">
        <f t="shared" si="33"/>
        <v>#N/A</v>
      </c>
      <c r="BI303" t="e">
        <f t="shared" si="34"/>
        <v>#N/A</v>
      </c>
      <c r="BJ303">
        <v>10</v>
      </c>
    </row>
    <row r="304" spans="3:62" x14ac:dyDescent="0.3">
      <c r="C304">
        <v>13</v>
      </c>
      <c r="D304" s="36">
        <v>31.65</v>
      </c>
      <c r="K304" s="14">
        <f t="shared" si="31"/>
        <v>1E-3</v>
      </c>
      <c r="L304" s="14"/>
      <c r="O304" s="14">
        <f t="shared" si="29"/>
        <v>1E-3</v>
      </c>
      <c r="P304" s="14">
        <f t="shared" si="30"/>
        <v>4.0000000000000002E-4</v>
      </c>
      <c r="BF304">
        <v>14.5199999999999</v>
      </c>
      <c r="BG304" s="28">
        <f t="shared" si="32"/>
        <v>28.789201893051981</v>
      </c>
      <c r="BH304" t="e">
        <f t="shared" si="33"/>
        <v>#N/A</v>
      </c>
      <c r="BI304" t="e">
        <f t="shared" si="34"/>
        <v>#N/A</v>
      </c>
      <c r="BJ304">
        <v>10</v>
      </c>
    </row>
    <row r="305" spans="3:62" x14ac:dyDescent="0.3">
      <c r="C305">
        <v>14</v>
      </c>
      <c r="D305" s="36">
        <v>33.950000000000003</v>
      </c>
      <c r="K305" s="14">
        <f t="shared" si="31"/>
        <v>1E-3</v>
      </c>
      <c r="L305" s="14"/>
      <c r="O305" s="14">
        <f t="shared" si="29"/>
        <v>4.7156372549026095E-4</v>
      </c>
      <c r="P305" s="14">
        <f t="shared" si="30"/>
        <v>1E-4</v>
      </c>
      <c r="BF305">
        <v>14.5299999999999</v>
      </c>
      <c r="BG305" s="28">
        <f t="shared" si="32"/>
        <v>28.809458382831259</v>
      </c>
      <c r="BH305" t="e">
        <f t="shared" si="33"/>
        <v>#N/A</v>
      </c>
      <c r="BI305" t="e">
        <f t="shared" si="34"/>
        <v>#N/A</v>
      </c>
      <c r="BJ305">
        <v>10</v>
      </c>
    </row>
    <row r="306" spans="3:62" x14ac:dyDescent="0.3">
      <c r="C306">
        <v>14</v>
      </c>
      <c r="D306" s="36">
        <v>27.78</v>
      </c>
      <c r="K306" s="14">
        <f t="shared" si="31"/>
        <v>1E-3</v>
      </c>
      <c r="L306" s="14"/>
      <c r="O306" s="14">
        <f t="shared" si="29"/>
        <v>4.7156372549026095E-4</v>
      </c>
      <c r="P306" s="14">
        <f t="shared" si="30"/>
        <v>7.8587786259546764E-4</v>
      </c>
      <c r="BF306">
        <v>14.5399999999999</v>
      </c>
      <c r="BG306" s="28">
        <f t="shared" si="32"/>
        <v>28.829714872610538</v>
      </c>
      <c r="BH306" t="e">
        <f t="shared" si="33"/>
        <v>#N/A</v>
      </c>
      <c r="BI306" t="e">
        <f t="shared" si="34"/>
        <v>#N/A</v>
      </c>
      <c r="BJ306">
        <v>10</v>
      </c>
    </row>
    <row r="307" spans="3:62" x14ac:dyDescent="0.3">
      <c r="C307">
        <v>12</v>
      </c>
      <c r="D307" s="36">
        <v>25.17</v>
      </c>
      <c r="K307" s="14">
        <f t="shared" si="31"/>
        <v>1E-3</v>
      </c>
      <c r="L307" s="14"/>
      <c r="O307" s="14">
        <f t="shared" si="29"/>
        <v>3.0000000000000001E-3</v>
      </c>
      <c r="P307" s="14">
        <f t="shared" si="30"/>
        <v>7.8587786259546764E-4</v>
      </c>
      <c r="BF307">
        <v>14.549999999999899</v>
      </c>
      <c r="BG307" s="28">
        <f t="shared" si="32"/>
        <v>28.849971362389812</v>
      </c>
      <c r="BH307" t="e">
        <f t="shared" si="33"/>
        <v>#N/A</v>
      </c>
      <c r="BI307" t="e">
        <f t="shared" si="34"/>
        <v>#N/A</v>
      </c>
      <c r="BJ307">
        <v>10</v>
      </c>
    </row>
    <row r="308" spans="3:62" x14ac:dyDescent="0.3">
      <c r="C308">
        <v>14</v>
      </c>
      <c r="D308" s="36">
        <v>25.61</v>
      </c>
      <c r="K308" s="14">
        <f t="shared" si="31"/>
        <v>1E-3</v>
      </c>
      <c r="L308" s="14"/>
      <c r="O308" s="14">
        <f t="shared" si="29"/>
        <v>4.7156372549026095E-4</v>
      </c>
      <c r="P308" s="14">
        <f t="shared" si="30"/>
        <v>7.8587786259546764E-4</v>
      </c>
      <c r="BF308">
        <v>14.559999999999899</v>
      </c>
      <c r="BG308" s="28">
        <f t="shared" si="32"/>
        <v>28.870227852169091</v>
      </c>
      <c r="BH308" t="e">
        <f t="shared" si="33"/>
        <v>#N/A</v>
      </c>
      <c r="BI308" t="e">
        <f t="shared" si="34"/>
        <v>#N/A</v>
      </c>
      <c r="BJ308">
        <v>10</v>
      </c>
    </row>
    <row r="309" spans="3:62" x14ac:dyDescent="0.3">
      <c r="C309">
        <v>15</v>
      </c>
      <c r="D309" s="36">
        <v>33.29</v>
      </c>
      <c r="K309" s="14">
        <f t="shared" si="31"/>
        <v>1E-3</v>
      </c>
      <c r="L309" s="14"/>
      <c r="O309" s="14">
        <f t="shared" si="29"/>
        <v>4.0000000000000002E-4</v>
      </c>
      <c r="P309" s="14">
        <f t="shared" si="30"/>
        <v>1E-4</v>
      </c>
      <c r="BF309">
        <v>14.569999999999901</v>
      </c>
      <c r="BG309" s="28">
        <f t="shared" si="32"/>
        <v>28.890484341948373</v>
      </c>
      <c r="BH309" t="e">
        <f t="shared" si="33"/>
        <v>#N/A</v>
      </c>
      <c r="BI309" t="e">
        <f t="shared" si="34"/>
        <v>#N/A</v>
      </c>
      <c r="BJ309">
        <v>10</v>
      </c>
    </row>
    <row r="310" spans="3:62" x14ac:dyDescent="0.3">
      <c r="C310">
        <v>13</v>
      </c>
      <c r="D310" s="36">
        <v>17.760000000000002</v>
      </c>
      <c r="K310" s="14">
        <f t="shared" si="31"/>
        <v>1E-3</v>
      </c>
      <c r="L310" s="14"/>
      <c r="O310" s="14">
        <f t="shared" si="29"/>
        <v>1E-3</v>
      </c>
      <c r="P310" s="14">
        <f t="shared" si="30"/>
        <v>5.0000000000000001E-3</v>
      </c>
      <c r="BF310">
        <v>14.579999999999901</v>
      </c>
      <c r="BG310" s="28">
        <f t="shared" si="32"/>
        <v>28.910740831727647</v>
      </c>
      <c r="BH310" t="e">
        <f t="shared" si="33"/>
        <v>#N/A</v>
      </c>
      <c r="BI310" t="e">
        <f t="shared" si="34"/>
        <v>#N/A</v>
      </c>
      <c r="BJ310">
        <v>10</v>
      </c>
    </row>
    <row r="311" spans="3:62" x14ac:dyDescent="0.3">
      <c r="C311">
        <v>12</v>
      </c>
      <c r="D311" s="36">
        <v>18.75</v>
      </c>
      <c r="K311" s="14">
        <f t="shared" si="31"/>
        <v>1E-3</v>
      </c>
      <c r="L311" s="14"/>
      <c r="O311" s="14">
        <f t="shared" si="29"/>
        <v>3.0000000000000001E-3</v>
      </c>
      <c r="P311" s="14">
        <f t="shared" si="30"/>
        <v>5.0000000000000001E-3</v>
      </c>
      <c r="BF311">
        <v>14.5899999999999</v>
      </c>
      <c r="BG311" s="28">
        <f t="shared" si="32"/>
        <v>28.930997321506926</v>
      </c>
      <c r="BH311" t="e">
        <f t="shared" si="33"/>
        <v>#N/A</v>
      </c>
      <c r="BI311" t="e">
        <f t="shared" si="34"/>
        <v>#N/A</v>
      </c>
      <c r="BJ311">
        <v>10</v>
      </c>
    </row>
    <row r="312" spans="3:62" x14ac:dyDescent="0.3">
      <c r="C312">
        <v>12</v>
      </c>
      <c r="D312" s="36">
        <v>23.23</v>
      </c>
      <c r="K312" s="14">
        <f t="shared" si="31"/>
        <v>1E-3</v>
      </c>
      <c r="L312" s="14"/>
      <c r="O312" s="14">
        <f t="shared" si="29"/>
        <v>3.0000000000000001E-3</v>
      </c>
      <c r="P312" s="14">
        <f t="shared" si="30"/>
        <v>1.5E-3</v>
      </c>
      <c r="BF312">
        <v>14.5999999999999</v>
      </c>
      <c r="BG312" s="28">
        <f t="shared" si="32"/>
        <v>28.951253811286204</v>
      </c>
      <c r="BH312" t="e">
        <f t="shared" si="33"/>
        <v>#N/A</v>
      </c>
      <c r="BI312" t="e">
        <f t="shared" si="34"/>
        <v>#N/A</v>
      </c>
      <c r="BJ312">
        <v>10</v>
      </c>
    </row>
    <row r="313" spans="3:62" x14ac:dyDescent="0.3">
      <c r="C313">
        <v>12</v>
      </c>
      <c r="D313" s="36">
        <v>22.05</v>
      </c>
      <c r="K313" s="14">
        <f t="shared" si="31"/>
        <v>1E-3</v>
      </c>
      <c r="L313" s="14"/>
      <c r="O313" s="14">
        <f t="shared" si="29"/>
        <v>3.0000000000000001E-3</v>
      </c>
      <c r="P313" s="14">
        <f t="shared" si="30"/>
        <v>1.5E-3</v>
      </c>
      <c r="BF313">
        <v>14.6099999999999</v>
      </c>
      <c r="BG313" s="28">
        <f t="shared" si="32"/>
        <v>28.971510301065479</v>
      </c>
      <c r="BH313" t="e">
        <f t="shared" si="33"/>
        <v>#N/A</v>
      </c>
      <c r="BI313" t="e">
        <f t="shared" si="34"/>
        <v>#N/A</v>
      </c>
      <c r="BJ313">
        <v>10</v>
      </c>
    </row>
    <row r="314" spans="3:62" x14ac:dyDescent="0.3">
      <c r="C314">
        <v>14</v>
      </c>
      <c r="D314" s="36">
        <v>22.98</v>
      </c>
      <c r="K314" s="14">
        <f t="shared" si="31"/>
        <v>1E-3</v>
      </c>
      <c r="L314" s="14"/>
      <c r="O314" s="14">
        <f t="shared" si="29"/>
        <v>4.7156372549026095E-4</v>
      </c>
      <c r="P314" s="14">
        <f t="shared" si="30"/>
        <v>1.5E-3</v>
      </c>
      <c r="BF314">
        <v>14.6199999999999</v>
      </c>
      <c r="BG314" s="28">
        <f t="shared" si="32"/>
        <v>28.991766790844757</v>
      </c>
      <c r="BH314" t="e">
        <f t="shared" si="33"/>
        <v>#N/A</v>
      </c>
      <c r="BI314" t="e">
        <f t="shared" si="34"/>
        <v>#N/A</v>
      </c>
      <c r="BJ314">
        <v>10</v>
      </c>
    </row>
    <row r="315" spans="3:62" x14ac:dyDescent="0.3">
      <c r="C315">
        <v>16</v>
      </c>
      <c r="D315" s="36">
        <v>34.93</v>
      </c>
      <c r="K315" s="14">
        <f t="shared" si="31"/>
        <v>1E-3</v>
      </c>
      <c r="L315" s="14"/>
      <c r="O315" s="14">
        <f t="shared" si="29"/>
        <v>2.0000000000000001E-4</v>
      </c>
      <c r="P315" s="14">
        <f t="shared" si="30"/>
        <v>1E-4</v>
      </c>
      <c r="BF315">
        <v>14.6299999999999</v>
      </c>
      <c r="BG315" s="28">
        <f t="shared" si="32"/>
        <v>29.012023280624035</v>
      </c>
      <c r="BH315" t="e">
        <f t="shared" si="33"/>
        <v>#N/A</v>
      </c>
      <c r="BI315" t="e">
        <f t="shared" si="34"/>
        <v>#N/A</v>
      </c>
      <c r="BJ315">
        <v>10</v>
      </c>
    </row>
    <row r="316" spans="3:62" x14ac:dyDescent="0.3">
      <c r="C316">
        <v>14</v>
      </c>
      <c r="D316" s="36">
        <v>23.03</v>
      </c>
      <c r="K316" s="14">
        <f t="shared" si="31"/>
        <v>1E-3</v>
      </c>
      <c r="L316" s="14"/>
      <c r="O316" s="14">
        <f t="shared" si="29"/>
        <v>4.7156372549026095E-4</v>
      </c>
      <c r="P316" s="14">
        <f t="shared" si="30"/>
        <v>1.5E-3</v>
      </c>
      <c r="BF316">
        <v>14.639999999999899</v>
      </c>
      <c r="BG316" s="28">
        <f t="shared" si="32"/>
        <v>29.03227977040331</v>
      </c>
      <c r="BH316" t="e">
        <f t="shared" si="33"/>
        <v>#N/A</v>
      </c>
      <c r="BI316" t="e">
        <f t="shared" si="34"/>
        <v>#N/A</v>
      </c>
      <c r="BJ316">
        <v>10</v>
      </c>
    </row>
    <row r="317" spans="3:62" x14ac:dyDescent="0.3">
      <c r="C317">
        <v>15</v>
      </c>
      <c r="D317" s="36">
        <v>31.33</v>
      </c>
      <c r="K317" s="14">
        <f t="shared" si="31"/>
        <v>1E-3</v>
      </c>
      <c r="L317" s="14"/>
      <c r="O317" s="14">
        <f t="shared" si="29"/>
        <v>4.0000000000000002E-4</v>
      </c>
      <c r="P317" s="14">
        <f t="shared" si="30"/>
        <v>4.0000000000000002E-4</v>
      </c>
      <c r="BF317">
        <v>14.649999999999901</v>
      </c>
      <c r="BG317" s="28">
        <f t="shared" si="32"/>
        <v>29.052536260182592</v>
      </c>
      <c r="BH317" t="e">
        <f t="shared" si="33"/>
        <v>#N/A</v>
      </c>
      <c r="BI317" t="e">
        <f t="shared" si="34"/>
        <v>#N/A</v>
      </c>
      <c r="BJ317">
        <v>10</v>
      </c>
    </row>
    <row r="318" spans="3:62" x14ac:dyDescent="0.3">
      <c r="C318">
        <v>15</v>
      </c>
      <c r="D318" s="36">
        <v>25.23</v>
      </c>
      <c r="K318" s="14">
        <f t="shared" si="31"/>
        <v>1E-3</v>
      </c>
      <c r="L318" s="14"/>
      <c r="O318" s="14">
        <f t="shared" si="29"/>
        <v>4.0000000000000002E-4</v>
      </c>
      <c r="P318" s="14">
        <f t="shared" si="30"/>
        <v>7.8587786259546764E-4</v>
      </c>
      <c r="BF318">
        <v>14.659999999999901</v>
      </c>
      <c r="BG318" s="28">
        <f t="shared" si="32"/>
        <v>29.07279274996187</v>
      </c>
      <c r="BH318" t="e">
        <f t="shared" si="33"/>
        <v>#N/A</v>
      </c>
      <c r="BI318" t="e">
        <f t="shared" si="34"/>
        <v>#N/A</v>
      </c>
      <c r="BJ318">
        <v>10</v>
      </c>
    </row>
    <row r="319" spans="3:62" x14ac:dyDescent="0.3">
      <c r="C319">
        <v>12</v>
      </c>
      <c r="D319" s="36">
        <v>18.23</v>
      </c>
      <c r="K319" s="14">
        <f t="shared" si="31"/>
        <v>1E-3</v>
      </c>
      <c r="L319" s="14"/>
      <c r="O319" s="14">
        <f t="shared" si="29"/>
        <v>3.0000000000000001E-3</v>
      </c>
      <c r="P319" s="14">
        <f t="shared" si="30"/>
        <v>5.0000000000000001E-3</v>
      </c>
      <c r="BF319">
        <v>14.6699999999999</v>
      </c>
      <c r="BG319" s="28">
        <f t="shared" si="32"/>
        <v>29.093049239741145</v>
      </c>
      <c r="BH319" t="e">
        <f t="shared" si="33"/>
        <v>#N/A</v>
      </c>
      <c r="BI319" t="e">
        <f t="shared" si="34"/>
        <v>#N/A</v>
      </c>
      <c r="BJ319">
        <v>10</v>
      </c>
    </row>
    <row r="320" spans="3:62" x14ac:dyDescent="0.3">
      <c r="C320">
        <v>16</v>
      </c>
      <c r="D320" s="36">
        <v>32.380000000000003</v>
      </c>
      <c r="K320" s="14">
        <f t="shared" si="31"/>
        <v>1E-3</v>
      </c>
      <c r="L320" s="14"/>
      <c r="O320" s="14">
        <f t="shared" si="29"/>
        <v>2.0000000000000001E-4</v>
      </c>
      <c r="P320" s="14">
        <f t="shared" si="30"/>
        <v>1E-4</v>
      </c>
      <c r="BF320">
        <v>14.6799999999999</v>
      </c>
      <c r="BG320" s="28">
        <f t="shared" si="32"/>
        <v>29.113305729520423</v>
      </c>
      <c r="BH320" t="e">
        <f t="shared" si="33"/>
        <v>#N/A</v>
      </c>
      <c r="BI320" t="e">
        <f t="shared" si="34"/>
        <v>#N/A</v>
      </c>
      <c r="BJ320">
        <v>10</v>
      </c>
    </row>
    <row r="321" spans="3:62" x14ac:dyDescent="0.3">
      <c r="C321">
        <v>12</v>
      </c>
      <c r="D321" s="36">
        <v>21.98</v>
      </c>
      <c r="K321" s="14">
        <f t="shared" si="31"/>
        <v>1E-3</v>
      </c>
      <c r="L321" s="14"/>
      <c r="O321" s="14">
        <f t="shared" si="29"/>
        <v>3.0000000000000001E-3</v>
      </c>
      <c r="P321" s="14">
        <f t="shared" si="30"/>
        <v>1.5E-3</v>
      </c>
      <c r="BF321">
        <v>14.6899999999999</v>
      </c>
      <c r="BG321" s="28">
        <f t="shared" si="32"/>
        <v>29.133562219299698</v>
      </c>
      <c r="BH321" t="e">
        <f t="shared" si="33"/>
        <v>#N/A</v>
      </c>
      <c r="BI321" t="e">
        <f t="shared" si="34"/>
        <v>#N/A</v>
      </c>
      <c r="BJ321">
        <v>10</v>
      </c>
    </row>
    <row r="322" spans="3:62" x14ac:dyDescent="0.3">
      <c r="C322">
        <v>12</v>
      </c>
      <c r="D322" s="36">
        <v>30.5</v>
      </c>
      <c r="K322" s="14">
        <f t="shared" si="31"/>
        <v>1E-3</v>
      </c>
      <c r="L322" s="14"/>
      <c r="O322" s="14">
        <f t="shared" ref="O322:O385" si="35">IF(C322=12,$M$4,IF(C322=13,$M$5,IF(C322=14,$M$6,IF(C322=15,$M$7,$M$8))))</f>
        <v>3.0000000000000001E-3</v>
      </c>
      <c r="P322" s="14">
        <f t="shared" ref="P322:P385" si="36">IF(D322&lt;20,$M$14,IF(D322&lt;24,$M$15,IF(D322&lt;28,$M$16,IF(D322&lt;32,$M$17,$M$18))))</f>
        <v>4.0000000000000002E-4</v>
      </c>
      <c r="BF322">
        <v>14.6999999999999</v>
      </c>
      <c r="BG322" s="28">
        <f t="shared" si="32"/>
        <v>29.153818709078976</v>
      </c>
      <c r="BH322" t="e">
        <f t="shared" si="33"/>
        <v>#N/A</v>
      </c>
      <c r="BI322" t="e">
        <f t="shared" si="34"/>
        <v>#N/A</v>
      </c>
      <c r="BJ322">
        <v>10</v>
      </c>
    </row>
    <row r="323" spans="3:62" x14ac:dyDescent="0.3">
      <c r="C323">
        <v>15</v>
      </c>
      <c r="D323" s="36">
        <v>32.76</v>
      </c>
      <c r="K323" s="14">
        <f t="shared" ref="K323:K386" si="37">1/1000</f>
        <v>1E-3</v>
      </c>
      <c r="L323" s="14"/>
      <c r="O323" s="14">
        <f t="shared" si="35"/>
        <v>4.0000000000000002E-4</v>
      </c>
      <c r="P323" s="14">
        <f t="shared" si="36"/>
        <v>1E-4</v>
      </c>
      <c r="BF323">
        <v>14.7099999999999</v>
      </c>
      <c r="BG323" s="28">
        <f t="shared" ref="BG323:BG386" si="38">$I$8+$I$10*BF323</f>
        <v>29.174075198858255</v>
      </c>
      <c r="BH323" t="e">
        <f t="shared" ref="BH323:BH386" si="39">IF($AD$9=1,$W$3+$V$3*BF323,#N/A)</f>
        <v>#N/A</v>
      </c>
      <c r="BI323" t="e">
        <f t="shared" ref="BI323:BI386" si="40">IF($AD$12=1,$AA$3+$Z$3*BF323,#N/A)</f>
        <v>#N/A</v>
      </c>
      <c r="BJ323">
        <v>10</v>
      </c>
    </row>
    <row r="324" spans="3:62" x14ac:dyDescent="0.3">
      <c r="C324">
        <v>15</v>
      </c>
      <c r="D324" s="36">
        <v>24.68</v>
      </c>
      <c r="K324" s="14">
        <f t="shared" si="37"/>
        <v>1E-3</v>
      </c>
      <c r="L324" s="14"/>
      <c r="O324" s="14">
        <f t="shared" si="35"/>
        <v>4.0000000000000002E-4</v>
      </c>
      <c r="P324" s="14">
        <f t="shared" si="36"/>
        <v>7.8587786259546764E-4</v>
      </c>
      <c r="BF324">
        <v>14.719999999999899</v>
      </c>
      <c r="BG324" s="28">
        <f t="shared" si="38"/>
        <v>29.194331688637529</v>
      </c>
      <c r="BH324" t="e">
        <f t="shared" si="39"/>
        <v>#N/A</v>
      </c>
      <c r="BI324" t="e">
        <f t="shared" si="40"/>
        <v>#N/A</v>
      </c>
      <c r="BJ324">
        <v>10</v>
      </c>
    </row>
    <row r="325" spans="3:62" x14ac:dyDescent="0.3">
      <c r="C325">
        <v>14</v>
      </c>
      <c r="D325" s="36">
        <v>28.26</v>
      </c>
      <c r="K325" s="14">
        <f t="shared" si="37"/>
        <v>1E-3</v>
      </c>
      <c r="L325" s="14"/>
      <c r="O325" s="14">
        <f t="shared" si="35"/>
        <v>4.7156372549026095E-4</v>
      </c>
      <c r="P325" s="14">
        <f t="shared" si="36"/>
        <v>4.0000000000000002E-4</v>
      </c>
      <c r="BF325">
        <v>14.729999999999899</v>
      </c>
      <c r="BG325" s="28">
        <f t="shared" si="38"/>
        <v>29.214588178416808</v>
      </c>
      <c r="BH325" t="e">
        <f t="shared" si="39"/>
        <v>#N/A</v>
      </c>
      <c r="BI325" t="e">
        <f t="shared" si="40"/>
        <v>#N/A</v>
      </c>
      <c r="BJ325">
        <v>10</v>
      </c>
    </row>
    <row r="326" spans="3:62" x14ac:dyDescent="0.3">
      <c r="C326">
        <v>12</v>
      </c>
      <c r="D326" s="36">
        <v>16.16</v>
      </c>
      <c r="K326" s="14">
        <f t="shared" si="37"/>
        <v>1E-3</v>
      </c>
      <c r="L326" s="14"/>
      <c r="O326" s="14">
        <f t="shared" si="35"/>
        <v>3.0000000000000001E-3</v>
      </c>
      <c r="P326" s="14">
        <f t="shared" si="36"/>
        <v>5.0000000000000001E-3</v>
      </c>
      <c r="BF326">
        <v>14.739999999999901</v>
      </c>
      <c r="BG326" s="28">
        <f t="shared" si="38"/>
        <v>29.234844668196089</v>
      </c>
      <c r="BH326" t="e">
        <f t="shared" si="39"/>
        <v>#N/A</v>
      </c>
      <c r="BI326" t="e">
        <f t="shared" si="40"/>
        <v>#N/A</v>
      </c>
      <c r="BJ326">
        <v>10</v>
      </c>
    </row>
    <row r="327" spans="3:62" x14ac:dyDescent="0.3">
      <c r="C327">
        <v>14</v>
      </c>
      <c r="D327" s="36">
        <v>31.15</v>
      </c>
      <c r="K327" s="14">
        <f t="shared" si="37"/>
        <v>1E-3</v>
      </c>
      <c r="L327" s="14"/>
      <c r="O327" s="14">
        <f t="shared" si="35"/>
        <v>4.7156372549026095E-4</v>
      </c>
      <c r="P327" s="14">
        <f t="shared" si="36"/>
        <v>4.0000000000000002E-4</v>
      </c>
      <c r="BF327">
        <v>14.749999999999901</v>
      </c>
      <c r="BG327" s="28">
        <f t="shared" si="38"/>
        <v>29.255101157975364</v>
      </c>
      <c r="BH327" t="e">
        <f t="shared" si="39"/>
        <v>#N/A</v>
      </c>
      <c r="BI327" t="e">
        <f t="shared" si="40"/>
        <v>#N/A</v>
      </c>
      <c r="BJ327">
        <v>10</v>
      </c>
    </row>
    <row r="328" spans="3:62" x14ac:dyDescent="0.3">
      <c r="C328">
        <v>12</v>
      </c>
      <c r="D328" s="36">
        <v>27.26</v>
      </c>
      <c r="K328" s="14">
        <f t="shared" si="37"/>
        <v>1E-3</v>
      </c>
      <c r="L328" s="14"/>
      <c r="O328" s="14">
        <f t="shared" si="35"/>
        <v>3.0000000000000001E-3</v>
      </c>
      <c r="P328" s="14">
        <f t="shared" si="36"/>
        <v>7.8587786259546764E-4</v>
      </c>
      <c r="BF328">
        <v>14.7599999999999</v>
      </c>
      <c r="BG328" s="28">
        <f t="shared" si="38"/>
        <v>29.275357647754642</v>
      </c>
      <c r="BH328" t="e">
        <f t="shared" si="39"/>
        <v>#N/A</v>
      </c>
      <c r="BI328" t="e">
        <f t="shared" si="40"/>
        <v>#N/A</v>
      </c>
      <c r="BJ328">
        <v>10</v>
      </c>
    </row>
    <row r="329" spans="3:62" x14ac:dyDescent="0.3">
      <c r="C329">
        <v>13</v>
      </c>
      <c r="D329" s="36">
        <v>24.29</v>
      </c>
      <c r="K329" s="14">
        <f t="shared" si="37"/>
        <v>1E-3</v>
      </c>
      <c r="L329" s="14"/>
      <c r="O329" s="14">
        <f t="shared" si="35"/>
        <v>1E-3</v>
      </c>
      <c r="P329" s="14">
        <f t="shared" si="36"/>
        <v>7.8587786259546764E-4</v>
      </c>
      <c r="BF329">
        <v>14.7699999999999</v>
      </c>
      <c r="BG329" s="28">
        <f t="shared" si="38"/>
        <v>29.295614137533921</v>
      </c>
      <c r="BH329" t="e">
        <f t="shared" si="39"/>
        <v>#N/A</v>
      </c>
      <c r="BI329" t="e">
        <f t="shared" si="40"/>
        <v>#N/A</v>
      </c>
      <c r="BJ329">
        <v>10</v>
      </c>
    </row>
    <row r="330" spans="3:62" x14ac:dyDescent="0.3">
      <c r="C330">
        <v>15</v>
      </c>
      <c r="D330" s="36">
        <v>30.14</v>
      </c>
      <c r="K330" s="14">
        <f t="shared" si="37"/>
        <v>1E-3</v>
      </c>
      <c r="L330" s="14"/>
      <c r="O330" s="14">
        <f t="shared" si="35"/>
        <v>4.0000000000000002E-4</v>
      </c>
      <c r="P330" s="14">
        <f t="shared" si="36"/>
        <v>4.0000000000000002E-4</v>
      </c>
      <c r="BF330">
        <v>14.7799999999999</v>
      </c>
      <c r="BG330" s="28">
        <f t="shared" si="38"/>
        <v>29.315870627313195</v>
      </c>
      <c r="BH330" t="e">
        <f t="shared" si="39"/>
        <v>#N/A</v>
      </c>
      <c r="BI330" t="e">
        <f t="shared" si="40"/>
        <v>#N/A</v>
      </c>
      <c r="BJ330">
        <v>10</v>
      </c>
    </row>
    <row r="331" spans="3:62" x14ac:dyDescent="0.3">
      <c r="C331">
        <v>13</v>
      </c>
      <c r="D331" s="36">
        <v>22.05</v>
      </c>
      <c r="K331" s="14">
        <f t="shared" si="37"/>
        <v>1E-3</v>
      </c>
      <c r="L331" s="14"/>
      <c r="O331" s="14">
        <f t="shared" si="35"/>
        <v>1E-3</v>
      </c>
      <c r="P331" s="14">
        <f t="shared" si="36"/>
        <v>1.5E-3</v>
      </c>
      <c r="BF331">
        <v>14.7899999999999</v>
      </c>
      <c r="BG331" s="28">
        <f t="shared" si="38"/>
        <v>29.336127117092474</v>
      </c>
      <c r="BH331" t="e">
        <f t="shared" si="39"/>
        <v>#N/A</v>
      </c>
      <c r="BI331" t="e">
        <f t="shared" si="40"/>
        <v>#N/A</v>
      </c>
      <c r="BJ331">
        <v>10</v>
      </c>
    </row>
    <row r="332" spans="3:62" x14ac:dyDescent="0.3">
      <c r="C332">
        <v>13</v>
      </c>
      <c r="D332" s="36">
        <v>39.44</v>
      </c>
      <c r="K332" s="14">
        <f t="shared" si="37"/>
        <v>1E-3</v>
      </c>
      <c r="L332" s="14"/>
      <c r="O332" s="14">
        <f t="shared" si="35"/>
        <v>1E-3</v>
      </c>
      <c r="P332" s="14">
        <f t="shared" si="36"/>
        <v>1E-4</v>
      </c>
      <c r="BF332">
        <v>14.799999999999899</v>
      </c>
      <c r="BG332" s="28">
        <f t="shared" si="38"/>
        <v>29.356383606871752</v>
      </c>
      <c r="BH332" t="e">
        <f t="shared" si="39"/>
        <v>#N/A</v>
      </c>
      <c r="BI332" t="e">
        <f t="shared" si="40"/>
        <v>#N/A</v>
      </c>
      <c r="BJ332">
        <v>10</v>
      </c>
    </row>
    <row r="333" spans="3:62" x14ac:dyDescent="0.3">
      <c r="C333">
        <v>15</v>
      </c>
      <c r="D333" s="36">
        <v>21.19</v>
      </c>
      <c r="K333" s="14">
        <f t="shared" si="37"/>
        <v>1E-3</v>
      </c>
      <c r="L333" s="14"/>
      <c r="O333" s="14">
        <f t="shared" si="35"/>
        <v>4.0000000000000002E-4</v>
      </c>
      <c r="P333" s="14">
        <f t="shared" si="36"/>
        <v>1.5E-3</v>
      </c>
      <c r="BF333">
        <v>14.809999999999899</v>
      </c>
      <c r="BG333" s="28">
        <f t="shared" si="38"/>
        <v>29.376640096651027</v>
      </c>
      <c r="BH333" t="e">
        <f t="shared" si="39"/>
        <v>#N/A</v>
      </c>
      <c r="BI333" t="e">
        <f t="shared" si="40"/>
        <v>#N/A</v>
      </c>
      <c r="BJ333">
        <v>10</v>
      </c>
    </row>
    <row r="334" spans="3:62" x14ac:dyDescent="0.3">
      <c r="C334">
        <v>12</v>
      </c>
      <c r="D334" s="36">
        <v>22.22</v>
      </c>
      <c r="K334" s="14">
        <f t="shared" si="37"/>
        <v>1E-3</v>
      </c>
      <c r="L334" s="14"/>
      <c r="O334" s="14">
        <f t="shared" si="35"/>
        <v>3.0000000000000001E-3</v>
      </c>
      <c r="P334" s="14">
        <f t="shared" si="36"/>
        <v>1.5E-3</v>
      </c>
      <c r="BF334">
        <v>14.819999999999901</v>
      </c>
      <c r="BG334" s="28">
        <f t="shared" si="38"/>
        <v>29.396896586430309</v>
      </c>
      <c r="BH334" t="e">
        <f t="shared" si="39"/>
        <v>#N/A</v>
      </c>
      <c r="BI334" t="e">
        <f t="shared" si="40"/>
        <v>#N/A</v>
      </c>
      <c r="BJ334">
        <v>10</v>
      </c>
    </row>
    <row r="335" spans="3:62" x14ac:dyDescent="0.3">
      <c r="C335">
        <v>14</v>
      </c>
      <c r="D335" s="36">
        <v>23.95</v>
      </c>
      <c r="K335" s="14">
        <f t="shared" si="37"/>
        <v>1E-3</v>
      </c>
      <c r="L335" s="14"/>
      <c r="O335" s="14">
        <f t="shared" si="35"/>
        <v>4.7156372549026095E-4</v>
      </c>
      <c r="P335" s="14">
        <f t="shared" si="36"/>
        <v>1.5E-3</v>
      </c>
      <c r="BF335">
        <v>14.829999999999901</v>
      </c>
      <c r="BG335" s="28">
        <f t="shared" si="38"/>
        <v>29.417153076209587</v>
      </c>
      <c r="BH335" t="e">
        <f t="shared" si="39"/>
        <v>#N/A</v>
      </c>
      <c r="BI335" t="e">
        <f t="shared" si="40"/>
        <v>#N/A</v>
      </c>
      <c r="BJ335">
        <v>10</v>
      </c>
    </row>
    <row r="336" spans="3:62" x14ac:dyDescent="0.3">
      <c r="C336">
        <v>12</v>
      </c>
      <c r="D336" s="36">
        <v>22.61</v>
      </c>
      <c r="K336" s="14">
        <f t="shared" si="37"/>
        <v>1E-3</v>
      </c>
      <c r="L336" s="14"/>
      <c r="O336" s="14">
        <f t="shared" si="35"/>
        <v>3.0000000000000001E-3</v>
      </c>
      <c r="P336" s="14">
        <f t="shared" si="36"/>
        <v>1.5E-3</v>
      </c>
      <c r="BF336">
        <v>14.8399999999999</v>
      </c>
      <c r="BG336" s="28">
        <f t="shared" si="38"/>
        <v>29.437409565988862</v>
      </c>
      <c r="BH336" t="e">
        <f t="shared" si="39"/>
        <v>#N/A</v>
      </c>
      <c r="BI336" t="e">
        <f t="shared" si="40"/>
        <v>#N/A</v>
      </c>
      <c r="BJ336">
        <v>10</v>
      </c>
    </row>
    <row r="337" spans="3:62" x14ac:dyDescent="0.3">
      <c r="C337">
        <v>15</v>
      </c>
      <c r="D337" s="36">
        <v>29.08</v>
      </c>
      <c r="K337" s="14">
        <f t="shared" si="37"/>
        <v>1E-3</v>
      </c>
      <c r="L337" s="14"/>
      <c r="O337" s="14">
        <f t="shared" si="35"/>
        <v>4.0000000000000002E-4</v>
      </c>
      <c r="P337" s="14">
        <f t="shared" si="36"/>
        <v>4.0000000000000002E-4</v>
      </c>
      <c r="BF337">
        <v>14.8499999999999</v>
      </c>
      <c r="BG337" s="28">
        <f t="shared" si="38"/>
        <v>29.45766605576814</v>
      </c>
      <c r="BH337" t="e">
        <f t="shared" si="39"/>
        <v>#N/A</v>
      </c>
      <c r="BI337" t="e">
        <f t="shared" si="40"/>
        <v>#N/A</v>
      </c>
      <c r="BJ337">
        <v>10</v>
      </c>
    </row>
    <row r="338" spans="3:62" x14ac:dyDescent="0.3">
      <c r="C338">
        <v>13</v>
      </c>
      <c r="D338" s="36">
        <v>22.25</v>
      </c>
      <c r="K338" s="14">
        <f t="shared" si="37"/>
        <v>1E-3</v>
      </c>
      <c r="L338" s="14"/>
      <c r="O338" s="14">
        <f t="shared" si="35"/>
        <v>1E-3</v>
      </c>
      <c r="P338" s="14">
        <f t="shared" si="36"/>
        <v>1.5E-3</v>
      </c>
      <c r="BF338">
        <v>14.8599999999999</v>
      </c>
      <c r="BG338" s="28">
        <f t="shared" si="38"/>
        <v>29.477922545547418</v>
      </c>
      <c r="BH338" t="e">
        <f t="shared" si="39"/>
        <v>#N/A</v>
      </c>
      <c r="BI338" t="e">
        <f t="shared" si="40"/>
        <v>#N/A</v>
      </c>
      <c r="BJ338">
        <v>10</v>
      </c>
    </row>
    <row r="339" spans="3:62" x14ac:dyDescent="0.3">
      <c r="C339">
        <v>12</v>
      </c>
      <c r="D339" s="36">
        <v>29.29</v>
      </c>
      <c r="K339" s="14">
        <f t="shared" si="37"/>
        <v>1E-3</v>
      </c>
      <c r="L339" s="14"/>
      <c r="O339" s="14">
        <f t="shared" si="35"/>
        <v>3.0000000000000001E-3</v>
      </c>
      <c r="P339" s="14">
        <f t="shared" si="36"/>
        <v>4.0000000000000002E-4</v>
      </c>
      <c r="BF339">
        <v>14.8699999999999</v>
      </c>
      <c r="BG339" s="28">
        <f t="shared" si="38"/>
        <v>29.498179035326693</v>
      </c>
      <c r="BH339" t="e">
        <f t="shared" si="39"/>
        <v>#N/A</v>
      </c>
      <c r="BI339" t="e">
        <f t="shared" si="40"/>
        <v>#N/A</v>
      </c>
      <c r="BJ339">
        <v>10</v>
      </c>
    </row>
    <row r="340" spans="3:62" x14ac:dyDescent="0.3">
      <c r="C340">
        <v>15</v>
      </c>
      <c r="D340" s="36">
        <v>25.1</v>
      </c>
      <c r="K340" s="14">
        <f t="shared" si="37"/>
        <v>1E-3</v>
      </c>
      <c r="L340" s="14"/>
      <c r="O340" s="14">
        <f t="shared" si="35"/>
        <v>4.0000000000000002E-4</v>
      </c>
      <c r="P340" s="14">
        <f t="shared" si="36"/>
        <v>7.8587786259546764E-4</v>
      </c>
      <c r="BF340">
        <v>14.8799999999999</v>
      </c>
      <c r="BG340" s="28">
        <f t="shared" si="38"/>
        <v>29.518435525105971</v>
      </c>
      <c r="BH340" t="e">
        <f t="shared" si="39"/>
        <v>#N/A</v>
      </c>
      <c r="BI340" t="e">
        <f t="shared" si="40"/>
        <v>#N/A</v>
      </c>
      <c r="BJ340">
        <v>10</v>
      </c>
    </row>
    <row r="341" spans="3:62" x14ac:dyDescent="0.3">
      <c r="C341">
        <v>16</v>
      </c>
      <c r="D341" s="36">
        <v>33.590000000000003</v>
      </c>
      <c r="K341" s="14">
        <f t="shared" si="37"/>
        <v>1E-3</v>
      </c>
      <c r="L341" s="14"/>
      <c r="O341" s="14">
        <f t="shared" si="35"/>
        <v>2.0000000000000001E-4</v>
      </c>
      <c r="P341" s="14">
        <f t="shared" si="36"/>
        <v>1E-4</v>
      </c>
      <c r="BF341">
        <v>14.889999999999899</v>
      </c>
      <c r="BG341" s="28">
        <f t="shared" si="38"/>
        <v>29.53869201488525</v>
      </c>
      <c r="BH341" t="e">
        <f t="shared" si="39"/>
        <v>#N/A</v>
      </c>
      <c r="BI341" t="e">
        <f t="shared" si="40"/>
        <v>#N/A</v>
      </c>
      <c r="BJ341">
        <v>10</v>
      </c>
    </row>
    <row r="342" spans="3:62" x14ac:dyDescent="0.3">
      <c r="C342">
        <v>16</v>
      </c>
      <c r="D342" s="36">
        <v>34.08</v>
      </c>
      <c r="K342" s="14">
        <f t="shared" si="37"/>
        <v>1E-3</v>
      </c>
      <c r="L342" s="14"/>
      <c r="O342" s="14">
        <f t="shared" si="35"/>
        <v>2.0000000000000001E-4</v>
      </c>
      <c r="P342" s="14">
        <f t="shared" si="36"/>
        <v>1E-4</v>
      </c>
      <c r="BF342">
        <v>14.899999999999901</v>
      </c>
      <c r="BG342" s="28">
        <f t="shared" si="38"/>
        <v>29.558948504664528</v>
      </c>
      <c r="BH342" t="e">
        <f t="shared" si="39"/>
        <v>#N/A</v>
      </c>
      <c r="BI342" t="e">
        <f t="shared" si="40"/>
        <v>#N/A</v>
      </c>
      <c r="BJ342">
        <v>10</v>
      </c>
    </row>
    <row r="343" spans="3:62" x14ac:dyDescent="0.3">
      <c r="C343">
        <v>13</v>
      </c>
      <c r="D343" s="36">
        <v>21.63</v>
      </c>
      <c r="K343" s="14">
        <f t="shared" si="37"/>
        <v>1E-3</v>
      </c>
      <c r="L343" s="14"/>
      <c r="O343" s="14">
        <f t="shared" si="35"/>
        <v>1E-3</v>
      </c>
      <c r="P343" s="14">
        <f t="shared" si="36"/>
        <v>1.5E-3</v>
      </c>
      <c r="BF343">
        <v>14.909999999999901</v>
      </c>
      <c r="BG343" s="28">
        <f t="shared" si="38"/>
        <v>29.579204994443806</v>
      </c>
      <c r="BH343" t="e">
        <f t="shared" si="39"/>
        <v>#N/A</v>
      </c>
      <c r="BI343" t="e">
        <f t="shared" si="40"/>
        <v>#N/A</v>
      </c>
      <c r="BJ343">
        <v>10</v>
      </c>
    </row>
    <row r="344" spans="3:62" x14ac:dyDescent="0.3">
      <c r="C344">
        <v>13</v>
      </c>
      <c r="D344" s="36">
        <v>25.77</v>
      </c>
      <c r="K344" s="14">
        <f t="shared" si="37"/>
        <v>1E-3</v>
      </c>
      <c r="L344" s="14"/>
      <c r="O344" s="14">
        <f t="shared" si="35"/>
        <v>1E-3</v>
      </c>
      <c r="P344" s="14">
        <f t="shared" si="36"/>
        <v>7.8587786259546764E-4</v>
      </c>
      <c r="BF344">
        <v>14.9199999999999</v>
      </c>
      <c r="BG344" s="28">
        <f t="shared" si="38"/>
        <v>29.599461484223085</v>
      </c>
      <c r="BH344" t="e">
        <f t="shared" si="39"/>
        <v>#N/A</v>
      </c>
      <c r="BI344" t="e">
        <f t="shared" si="40"/>
        <v>#N/A</v>
      </c>
      <c r="BJ344">
        <v>10</v>
      </c>
    </row>
    <row r="345" spans="3:62" x14ac:dyDescent="0.3">
      <c r="C345">
        <v>13</v>
      </c>
      <c r="D345" s="36">
        <v>29.03</v>
      </c>
      <c r="K345" s="14">
        <f t="shared" si="37"/>
        <v>1E-3</v>
      </c>
      <c r="L345" s="14"/>
      <c r="O345" s="14">
        <f t="shared" si="35"/>
        <v>1E-3</v>
      </c>
      <c r="P345" s="14">
        <f t="shared" si="36"/>
        <v>4.0000000000000002E-4</v>
      </c>
      <c r="BF345">
        <v>14.9299999999999</v>
      </c>
      <c r="BG345" s="28">
        <f t="shared" si="38"/>
        <v>29.619717974002359</v>
      </c>
      <c r="BH345" t="e">
        <f t="shared" si="39"/>
        <v>#N/A</v>
      </c>
      <c r="BI345" t="e">
        <f t="shared" si="40"/>
        <v>#N/A</v>
      </c>
      <c r="BJ345">
        <v>10</v>
      </c>
    </row>
    <row r="346" spans="3:62" x14ac:dyDescent="0.3">
      <c r="C346">
        <v>12</v>
      </c>
      <c r="D346" s="36">
        <v>21.94</v>
      </c>
      <c r="K346" s="14">
        <f t="shared" si="37"/>
        <v>1E-3</v>
      </c>
      <c r="L346" s="14"/>
      <c r="O346" s="14">
        <f t="shared" si="35"/>
        <v>3.0000000000000001E-3</v>
      </c>
      <c r="P346" s="14">
        <f t="shared" si="36"/>
        <v>1.5E-3</v>
      </c>
      <c r="BF346">
        <v>14.9399999999999</v>
      </c>
      <c r="BG346" s="28">
        <f t="shared" si="38"/>
        <v>29.639974463781638</v>
      </c>
      <c r="BH346" t="e">
        <f t="shared" si="39"/>
        <v>#N/A</v>
      </c>
      <c r="BI346" t="e">
        <f t="shared" si="40"/>
        <v>#N/A</v>
      </c>
      <c r="BJ346">
        <v>10</v>
      </c>
    </row>
    <row r="347" spans="3:62" x14ac:dyDescent="0.3">
      <c r="C347">
        <v>14</v>
      </c>
      <c r="D347" s="36">
        <v>15.11</v>
      </c>
      <c r="K347" s="14">
        <f t="shared" si="37"/>
        <v>1E-3</v>
      </c>
      <c r="L347" s="14"/>
      <c r="O347" s="14">
        <f t="shared" si="35"/>
        <v>4.7156372549026095E-4</v>
      </c>
      <c r="P347" s="14">
        <f t="shared" si="36"/>
        <v>5.0000000000000001E-3</v>
      </c>
      <c r="BF347">
        <v>14.9499999999999</v>
      </c>
      <c r="BG347" s="28">
        <f t="shared" si="38"/>
        <v>29.660230953560916</v>
      </c>
      <c r="BH347" t="e">
        <f t="shared" si="39"/>
        <v>#N/A</v>
      </c>
      <c r="BI347" t="e">
        <f t="shared" si="40"/>
        <v>#N/A</v>
      </c>
      <c r="BJ347">
        <v>10</v>
      </c>
    </row>
    <row r="348" spans="3:62" x14ac:dyDescent="0.3">
      <c r="C348">
        <v>15</v>
      </c>
      <c r="D348" s="36">
        <v>20.18</v>
      </c>
      <c r="K348" s="14">
        <f t="shared" si="37"/>
        <v>1E-3</v>
      </c>
      <c r="L348" s="14"/>
      <c r="O348" s="14">
        <f t="shared" si="35"/>
        <v>4.0000000000000002E-4</v>
      </c>
      <c r="P348" s="14">
        <f t="shared" si="36"/>
        <v>1.5E-3</v>
      </c>
      <c r="BF348">
        <v>14.9599999999999</v>
      </c>
      <c r="BG348" s="28">
        <f t="shared" si="38"/>
        <v>29.680487443340191</v>
      </c>
      <c r="BH348" t="e">
        <f t="shared" si="39"/>
        <v>#N/A</v>
      </c>
      <c r="BI348" t="e">
        <f t="shared" si="40"/>
        <v>#N/A</v>
      </c>
      <c r="BJ348">
        <v>10</v>
      </c>
    </row>
    <row r="349" spans="3:62" x14ac:dyDescent="0.3">
      <c r="C349">
        <v>12</v>
      </c>
      <c r="D349" s="36">
        <v>26.29</v>
      </c>
      <c r="K349" s="14">
        <f t="shared" si="37"/>
        <v>1E-3</v>
      </c>
      <c r="L349" s="14"/>
      <c r="O349" s="14">
        <f t="shared" si="35"/>
        <v>3.0000000000000001E-3</v>
      </c>
      <c r="P349" s="14">
        <f t="shared" si="36"/>
        <v>7.8587786259546764E-4</v>
      </c>
      <c r="BF349">
        <v>14.969999999999899</v>
      </c>
      <c r="BG349" s="28">
        <f t="shared" si="38"/>
        <v>29.700743933119469</v>
      </c>
      <c r="BH349" t="e">
        <f t="shared" si="39"/>
        <v>#N/A</v>
      </c>
      <c r="BI349" t="e">
        <f t="shared" si="40"/>
        <v>#N/A</v>
      </c>
      <c r="BJ349">
        <v>10</v>
      </c>
    </row>
    <row r="350" spans="3:62" x14ac:dyDescent="0.3">
      <c r="C350">
        <v>12</v>
      </c>
      <c r="D350" s="36">
        <v>27.35</v>
      </c>
      <c r="K350" s="14">
        <f t="shared" si="37"/>
        <v>1E-3</v>
      </c>
      <c r="L350" s="14"/>
      <c r="O350" s="14">
        <f t="shared" si="35"/>
        <v>3.0000000000000001E-3</v>
      </c>
      <c r="P350" s="14">
        <f t="shared" si="36"/>
        <v>7.8587786259546764E-4</v>
      </c>
      <c r="BF350">
        <v>14.979999999999899</v>
      </c>
      <c r="BG350" s="28">
        <f t="shared" si="38"/>
        <v>29.721000422898747</v>
      </c>
      <c r="BH350" t="e">
        <f t="shared" si="39"/>
        <v>#N/A</v>
      </c>
      <c r="BI350" t="e">
        <f t="shared" si="40"/>
        <v>#N/A</v>
      </c>
      <c r="BJ350">
        <v>10</v>
      </c>
    </row>
    <row r="351" spans="3:62" x14ac:dyDescent="0.3">
      <c r="C351">
        <v>14</v>
      </c>
      <c r="D351" s="36">
        <v>31.93</v>
      </c>
      <c r="K351" s="14">
        <f t="shared" si="37"/>
        <v>1E-3</v>
      </c>
      <c r="L351" s="14"/>
      <c r="O351" s="14">
        <f t="shared" si="35"/>
        <v>4.7156372549026095E-4</v>
      </c>
      <c r="P351" s="14">
        <f t="shared" si="36"/>
        <v>4.0000000000000002E-4</v>
      </c>
      <c r="BF351">
        <v>14.989999999999901</v>
      </c>
      <c r="BG351" s="28">
        <f t="shared" si="38"/>
        <v>29.741256912678026</v>
      </c>
      <c r="BH351" t="e">
        <f t="shared" si="39"/>
        <v>#N/A</v>
      </c>
      <c r="BI351" t="e">
        <f t="shared" si="40"/>
        <v>#N/A</v>
      </c>
      <c r="BJ351">
        <v>10</v>
      </c>
    </row>
    <row r="352" spans="3:62" x14ac:dyDescent="0.3">
      <c r="C352">
        <v>12</v>
      </c>
      <c r="D352" s="36">
        <v>27.64</v>
      </c>
      <c r="K352" s="14">
        <f t="shared" si="37"/>
        <v>1E-3</v>
      </c>
      <c r="L352" s="14"/>
      <c r="O352" s="14">
        <f t="shared" si="35"/>
        <v>3.0000000000000001E-3</v>
      </c>
      <c r="P352" s="14">
        <f t="shared" si="36"/>
        <v>7.8587786259546764E-4</v>
      </c>
      <c r="BF352">
        <v>14.999999999999901</v>
      </c>
      <c r="BG352" s="28">
        <f t="shared" si="38"/>
        <v>29.761513402457304</v>
      </c>
      <c r="BH352" t="e">
        <f t="shared" si="39"/>
        <v>#N/A</v>
      </c>
      <c r="BI352" t="e">
        <f t="shared" si="40"/>
        <v>#N/A</v>
      </c>
      <c r="BJ352">
        <v>10</v>
      </c>
    </row>
    <row r="353" spans="3:62" x14ac:dyDescent="0.3">
      <c r="C353">
        <v>14</v>
      </c>
      <c r="D353" s="36">
        <v>29.21</v>
      </c>
      <c r="K353" s="14">
        <f t="shared" si="37"/>
        <v>1E-3</v>
      </c>
      <c r="L353" s="14"/>
      <c r="O353" s="14">
        <f t="shared" si="35"/>
        <v>4.7156372549026095E-4</v>
      </c>
      <c r="P353" s="14">
        <f t="shared" si="36"/>
        <v>4.0000000000000002E-4</v>
      </c>
      <c r="BF353">
        <v>15.0099999999999</v>
      </c>
      <c r="BG353" s="28">
        <f t="shared" si="38"/>
        <v>29.781769892236582</v>
      </c>
      <c r="BH353" t="e">
        <f t="shared" si="39"/>
        <v>#N/A</v>
      </c>
      <c r="BI353" t="e">
        <f t="shared" si="40"/>
        <v>#N/A</v>
      </c>
      <c r="BJ353">
        <v>10</v>
      </c>
    </row>
    <row r="354" spans="3:62" x14ac:dyDescent="0.3">
      <c r="C354">
        <v>14</v>
      </c>
      <c r="D354" s="36">
        <v>35.51</v>
      </c>
      <c r="K354" s="14">
        <f t="shared" si="37"/>
        <v>1E-3</v>
      </c>
      <c r="L354" s="14"/>
      <c r="O354" s="14">
        <f t="shared" si="35"/>
        <v>4.7156372549026095E-4</v>
      </c>
      <c r="P354" s="14">
        <f t="shared" si="36"/>
        <v>1E-4</v>
      </c>
      <c r="BF354">
        <v>15.0199999999999</v>
      </c>
      <c r="BG354" s="28">
        <f t="shared" si="38"/>
        <v>29.802026382015857</v>
      </c>
      <c r="BH354" t="e">
        <f t="shared" si="39"/>
        <v>#N/A</v>
      </c>
      <c r="BI354" t="e">
        <f t="shared" si="40"/>
        <v>#N/A</v>
      </c>
      <c r="BJ354">
        <v>10</v>
      </c>
    </row>
    <row r="355" spans="3:62" x14ac:dyDescent="0.3">
      <c r="C355">
        <v>15</v>
      </c>
      <c r="D355" s="36">
        <v>33.43</v>
      </c>
      <c r="K355" s="14">
        <f t="shared" si="37"/>
        <v>1E-3</v>
      </c>
      <c r="L355" s="14"/>
      <c r="O355" s="14">
        <f t="shared" si="35"/>
        <v>4.0000000000000002E-4</v>
      </c>
      <c r="P355" s="14">
        <f t="shared" si="36"/>
        <v>1E-4</v>
      </c>
      <c r="BF355">
        <v>15.0299999999999</v>
      </c>
      <c r="BG355" s="28">
        <f t="shared" si="38"/>
        <v>29.822282871795135</v>
      </c>
      <c r="BH355" t="e">
        <f t="shared" si="39"/>
        <v>#N/A</v>
      </c>
      <c r="BI355" t="e">
        <f t="shared" si="40"/>
        <v>#N/A</v>
      </c>
      <c r="BJ355">
        <v>10</v>
      </c>
    </row>
    <row r="356" spans="3:62" x14ac:dyDescent="0.3">
      <c r="C356">
        <v>12</v>
      </c>
      <c r="D356" s="36">
        <v>24.77</v>
      </c>
      <c r="K356" s="14">
        <f t="shared" si="37"/>
        <v>1E-3</v>
      </c>
      <c r="L356" s="14"/>
      <c r="O356" s="14">
        <f t="shared" si="35"/>
        <v>3.0000000000000001E-3</v>
      </c>
      <c r="P356" s="14">
        <f t="shared" si="36"/>
        <v>7.8587786259546764E-4</v>
      </c>
      <c r="BF356">
        <v>15.0399999999999</v>
      </c>
      <c r="BG356" s="28">
        <f t="shared" si="38"/>
        <v>29.842539361574413</v>
      </c>
      <c r="BH356" t="e">
        <f t="shared" si="39"/>
        <v>#N/A</v>
      </c>
      <c r="BI356" t="e">
        <f t="shared" si="40"/>
        <v>#N/A</v>
      </c>
      <c r="BJ356">
        <v>10</v>
      </c>
    </row>
    <row r="357" spans="3:62" x14ac:dyDescent="0.3">
      <c r="C357">
        <v>14</v>
      </c>
      <c r="D357" s="36">
        <v>26.13</v>
      </c>
      <c r="K357" s="14">
        <f t="shared" si="37"/>
        <v>1E-3</v>
      </c>
      <c r="L357" s="14"/>
      <c r="O357" s="14">
        <f t="shared" si="35"/>
        <v>4.7156372549026095E-4</v>
      </c>
      <c r="P357" s="14">
        <f t="shared" si="36"/>
        <v>7.8587786259546764E-4</v>
      </c>
      <c r="BF357">
        <v>15.049999999999899</v>
      </c>
      <c r="BG357" s="28">
        <f t="shared" si="38"/>
        <v>29.862795851353688</v>
      </c>
      <c r="BH357" t="e">
        <f t="shared" si="39"/>
        <v>#N/A</v>
      </c>
      <c r="BI357" t="e">
        <f t="shared" si="40"/>
        <v>#N/A</v>
      </c>
      <c r="BJ357">
        <v>10</v>
      </c>
    </row>
    <row r="358" spans="3:62" x14ac:dyDescent="0.3">
      <c r="C358">
        <v>15</v>
      </c>
      <c r="D358" s="36">
        <v>29.96</v>
      </c>
      <c r="K358" s="14">
        <f t="shared" si="37"/>
        <v>1E-3</v>
      </c>
      <c r="L358" s="14"/>
      <c r="O358" s="14">
        <f t="shared" si="35"/>
        <v>4.0000000000000002E-4</v>
      </c>
      <c r="P358" s="14">
        <f t="shared" si="36"/>
        <v>4.0000000000000002E-4</v>
      </c>
      <c r="BF358">
        <v>15.059999999999899</v>
      </c>
      <c r="BG358" s="28">
        <f t="shared" si="38"/>
        <v>29.883052341132966</v>
      </c>
      <c r="BH358" t="e">
        <f t="shared" si="39"/>
        <v>#N/A</v>
      </c>
      <c r="BI358" t="e">
        <f t="shared" si="40"/>
        <v>#N/A</v>
      </c>
      <c r="BJ358">
        <v>10</v>
      </c>
    </row>
    <row r="359" spans="3:62" x14ac:dyDescent="0.3">
      <c r="C359">
        <v>12</v>
      </c>
      <c r="D359" s="36">
        <v>20.13</v>
      </c>
      <c r="K359" s="14">
        <f t="shared" si="37"/>
        <v>1E-3</v>
      </c>
      <c r="L359" s="14"/>
      <c r="O359" s="14">
        <f t="shared" si="35"/>
        <v>3.0000000000000001E-3</v>
      </c>
      <c r="P359" s="14">
        <f t="shared" si="36"/>
        <v>1.5E-3</v>
      </c>
      <c r="BF359">
        <v>15.069999999999901</v>
      </c>
      <c r="BG359" s="28">
        <f t="shared" si="38"/>
        <v>29.903308830912248</v>
      </c>
      <c r="BH359" t="e">
        <f t="shared" si="39"/>
        <v>#N/A</v>
      </c>
      <c r="BI359" t="e">
        <f t="shared" si="40"/>
        <v>#N/A</v>
      </c>
      <c r="BJ359">
        <v>10</v>
      </c>
    </row>
    <row r="360" spans="3:62" x14ac:dyDescent="0.3">
      <c r="C360">
        <v>14</v>
      </c>
      <c r="D360" s="36">
        <v>26.46</v>
      </c>
      <c r="K360" s="14">
        <f t="shared" si="37"/>
        <v>1E-3</v>
      </c>
      <c r="L360" s="14"/>
      <c r="O360" s="14">
        <f t="shared" si="35"/>
        <v>4.7156372549026095E-4</v>
      </c>
      <c r="P360" s="14">
        <f t="shared" si="36"/>
        <v>7.8587786259546764E-4</v>
      </c>
      <c r="BF360">
        <v>15.079999999999901</v>
      </c>
      <c r="BG360" s="28">
        <f t="shared" si="38"/>
        <v>29.923565320691523</v>
      </c>
      <c r="BH360" t="e">
        <f t="shared" si="39"/>
        <v>#N/A</v>
      </c>
      <c r="BI360" t="e">
        <f t="shared" si="40"/>
        <v>#N/A</v>
      </c>
      <c r="BJ360">
        <v>10</v>
      </c>
    </row>
    <row r="361" spans="3:62" x14ac:dyDescent="0.3">
      <c r="C361">
        <v>16</v>
      </c>
      <c r="D361" s="36">
        <v>34.47</v>
      </c>
      <c r="K361" s="14">
        <f t="shared" si="37"/>
        <v>1E-3</v>
      </c>
      <c r="L361" s="14"/>
      <c r="O361" s="14">
        <f t="shared" si="35"/>
        <v>2.0000000000000001E-4</v>
      </c>
      <c r="P361" s="14">
        <f t="shared" si="36"/>
        <v>1E-4</v>
      </c>
      <c r="BF361">
        <v>15.0899999999999</v>
      </c>
      <c r="BG361" s="28">
        <f t="shared" si="38"/>
        <v>29.943821810470801</v>
      </c>
      <c r="BH361" t="e">
        <f t="shared" si="39"/>
        <v>#N/A</v>
      </c>
      <c r="BI361" t="e">
        <f t="shared" si="40"/>
        <v>#N/A</v>
      </c>
      <c r="BJ361">
        <v>10</v>
      </c>
    </row>
    <row r="362" spans="3:62" x14ac:dyDescent="0.3">
      <c r="C362">
        <v>15</v>
      </c>
      <c r="D362" s="36">
        <v>39.299999999999997</v>
      </c>
      <c r="K362" s="14">
        <f t="shared" si="37"/>
        <v>1E-3</v>
      </c>
      <c r="L362" s="14"/>
      <c r="O362" s="14">
        <f t="shared" si="35"/>
        <v>4.0000000000000002E-4</v>
      </c>
      <c r="P362" s="14">
        <f t="shared" si="36"/>
        <v>1E-4</v>
      </c>
      <c r="BF362">
        <v>15.0999999999999</v>
      </c>
      <c r="BG362" s="28">
        <f t="shared" si="38"/>
        <v>29.96407830025008</v>
      </c>
      <c r="BH362" t="e">
        <f t="shared" si="39"/>
        <v>#N/A</v>
      </c>
      <c r="BI362" t="e">
        <f t="shared" si="40"/>
        <v>#N/A</v>
      </c>
      <c r="BJ362">
        <v>10</v>
      </c>
    </row>
    <row r="363" spans="3:62" x14ac:dyDescent="0.3">
      <c r="C363">
        <v>13</v>
      </c>
      <c r="D363" s="36">
        <v>27.84</v>
      </c>
      <c r="K363" s="14">
        <f t="shared" si="37"/>
        <v>1E-3</v>
      </c>
      <c r="L363" s="14"/>
      <c r="O363" s="14">
        <f t="shared" si="35"/>
        <v>1E-3</v>
      </c>
      <c r="P363" s="14">
        <f t="shared" si="36"/>
        <v>7.8587786259546764E-4</v>
      </c>
      <c r="BF363">
        <v>15.1099999999999</v>
      </c>
      <c r="BG363" s="28">
        <f t="shared" si="38"/>
        <v>29.984334790029354</v>
      </c>
      <c r="BH363" t="e">
        <f t="shared" si="39"/>
        <v>#N/A</v>
      </c>
      <c r="BI363" t="e">
        <f t="shared" si="40"/>
        <v>#N/A</v>
      </c>
      <c r="BJ363">
        <v>10</v>
      </c>
    </row>
    <row r="364" spans="3:62" x14ac:dyDescent="0.3">
      <c r="C364">
        <v>14</v>
      </c>
      <c r="D364" s="36">
        <v>35.380000000000003</v>
      </c>
      <c r="K364" s="14">
        <f t="shared" si="37"/>
        <v>1E-3</v>
      </c>
      <c r="L364" s="14"/>
      <c r="O364" s="14">
        <f t="shared" si="35"/>
        <v>4.7156372549026095E-4</v>
      </c>
      <c r="P364" s="14">
        <f t="shared" si="36"/>
        <v>1E-4</v>
      </c>
      <c r="BF364">
        <v>15.1199999999999</v>
      </c>
      <c r="BG364" s="28">
        <f t="shared" si="38"/>
        <v>30.004591279808633</v>
      </c>
      <c r="BH364" t="e">
        <f t="shared" si="39"/>
        <v>#N/A</v>
      </c>
      <c r="BI364" t="e">
        <f t="shared" si="40"/>
        <v>#N/A</v>
      </c>
      <c r="BJ364">
        <v>10</v>
      </c>
    </row>
    <row r="365" spans="3:62" x14ac:dyDescent="0.3">
      <c r="C365">
        <v>12</v>
      </c>
      <c r="D365" s="36">
        <v>24.24</v>
      </c>
      <c r="K365" s="14">
        <f t="shared" si="37"/>
        <v>1E-3</v>
      </c>
      <c r="L365" s="14"/>
      <c r="O365" s="14">
        <f t="shared" si="35"/>
        <v>3.0000000000000001E-3</v>
      </c>
      <c r="P365" s="14">
        <f t="shared" si="36"/>
        <v>7.8587786259546764E-4</v>
      </c>
      <c r="BF365">
        <v>15.1299999999999</v>
      </c>
      <c r="BG365" s="28">
        <f t="shared" si="38"/>
        <v>30.024847769587911</v>
      </c>
      <c r="BH365" t="e">
        <f t="shared" si="39"/>
        <v>#N/A</v>
      </c>
      <c r="BI365" t="e">
        <f t="shared" si="40"/>
        <v>#N/A</v>
      </c>
      <c r="BJ365">
        <v>10</v>
      </c>
    </row>
    <row r="366" spans="3:62" x14ac:dyDescent="0.3">
      <c r="C366">
        <v>16</v>
      </c>
      <c r="D366" s="36">
        <v>32.979999999999997</v>
      </c>
      <c r="K366" s="14">
        <f t="shared" si="37"/>
        <v>1E-3</v>
      </c>
      <c r="L366" s="14"/>
      <c r="O366" s="14">
        <f t="shared" si="35"/>
        <v>2.0000000000000001E-4</v>
      </c>
      <c r="P366" s="14">
        <f t="shared" si="36"/>
        <v>1E-4</v>
      </c>
      <c r="BF366">
        <v>15.139999999999899</v>
      </c>
      <c r="BG366" s="28">
        <f t="shared" si="38"/>
        <v>30.045104259367186</v>
      </c>
      <c r="BH366" t="e">
        <f t="shared" si="39"/>
        <v>#N/A</v>
      </c>
      <c r="BI366" t="e">
        <f t="shared" si="40"/>
        <v>#N/A</v>
      </c>
      <c r="BJ366">
        <v>10</v>
      </c>
    </row>
    <row r="367" spans="3:62" x14ac:dyDescent="0.3">
      <c r="C367">
        <v>14</v>
      </c>
      <c r="D367" s="36">
        <v>30.92</v>
      </c>
      <c r="K367" s="14">
        <f t="shared" si="37"/>
        <v>1E-3</v>
      </c>
      <c r="L367" s="14"/>
      <c r="O367" s="14">
        <f t="shared" si="35"/>
        <v>4.7156372549026095E-4</v>
      </c>
      <c r="P367" s="14">
        <f t="shared" si="36"/>
        <v>4.0000000000000002E-4</v>
      </c>
      <c r="BF367">
        <v>15.149999999999901</v>
      </c>
      <c r="BG367" s="28">
        <f t="shared" si="38"/>
        <v>30.065360749146468</v>
      </c>
      <c r="BH367" t="e">
        <f t="shared" si="39"/>
        <v>#N/A</v>
      </c>
      <c r="BI367" t="e">
        <f t="shared" si="40"/>
        <v>#N/A</v>
      </c>
      <c r="BJ367">
        <v>10</v>
      </c>
    </row>
    <row r="368" spans="3:62" x14ac:dyDescent="0.3">
      <c r="C368">
        <v>15</v>
      </c>
      <c r="D368" s="36">
        <v>28.39</v>
      </c>
      <c r="K368" s="14">
        <f t="shared" si="37"/>
        <v>1E-3</v>
      </c>
      <c r="L368" s="14"/>
      <c r="O368" s="14">
        <f t="shared" si="35"/>
        <v>4.0000000000000002E-4</v>
      </c>
      <c r="P368" s="14">
        <f t="shared" si="36"/>
        <v>4.0000000000000002E-4</v>
      </c>
      <c r="BF368">
        <v>15.159999999999901</v>
      </c>
      <c r="BG368" s="28">
        <f t="shared" si="38"/>
        <v>30.085617238925746</v>
      </c>
      <c r="BH368" t="e">
        <f t="shared" si="39"/>
        <v>#N/A</v>
      </c>
      <c r="BI368" t="e">
        <f t="shared" si="40"/>
        <v>#N/A</v>
      </c>
      <c r="BJ368">
        <v>10</v>
      </c>
    </row>
    <row r="369" spans="3:62" x14ac:dyDescent="0.3">
      <c r="C369">
        <v>13</v>
      </c>
      <c r="D369" s="36">
        <v>23.01</v>
      </c>
      <c r="K369" s="14">
        <f t="shared" si="37"/>
        <v>1E-3</v>
      </c>
      <c r="L369" s="14"/>
      <c r="O369" s="14">
        <f t="shared" si="35"/>
        <v>1E-3</v>
      </c>
      <c r="P369" s="14">
        <f t="shared" si="36"/>
        <v>1.5E-3</v>
      </c>
      <c r="BF369">
        <v>15.1699999999999</v>
      </c>
      <c r="BG369" s="28">
        <f t="shared" si="38"/>
        <v>30.105873728705021</v>
      </c>
      <c r="BH369" t="e">
        <f t="shared" si="39"/>
        <v>#N/A</v>
      </c>
      <c r="BI369" t="e">
        <f t="shared" si="40"/>
        <v>#N/A</v>
      </c>
      <c r="BJ369">
        <v>10</v>
      </c>
    </row>
    <row r="370" spans="3:62" x14ac:dyDescent="0.3">
      <c r="C370">
        <v>14</v>
      </c>
      <c r="D370" s="36">
        <v>22.25</v>
      </c>
      <c r="K370" s="14">
        <f t="shared" si="37"/>
        <v>1E-3</v>
      </c>
      <c r="L370" s="14"/>
      <c r="O370" s="14">
        <f t="shared" si="35"/>
        <v>4.7156372549026095E-4</v>
      </c>
      <c r="P370" s="14">
        <f t="shared" si="36"/>
        <v>1.5E-3</v>
      </c>
      <c r="BF370">
        <v>15.1799999999999</v>
      </c>
      <c r="BG370" s="28">
        <f t="shared" si="38"/>
        <v>30.126130218484299</v>
      </c>
      <c r="BH370" t="e">
        <f t="shared" si="39"/>
        <v>#N/A</v>
      </c>
      <c r="BI370" t="e">
        <f t="shared" si="40"/>
        <v>#N/A</v>
      </c>
      <c r="BJ370">
        <v>10</v>
      </c>
    </row>
    <row r="371" spans="3:62" x14ac:dyDescent="0.3">
      <c r="C371">
        <v>12</v>
      </c>
      <c r="D371" s="36">
        <v>35.74</v>
      </c>
      <c r="K371" s="14">
        <f t="shared" si="37"/>
        <v>1E-3</v>
      </c>
      <c r="L371" s="14"/>
      <c r="O371" s="14">
        <f t="shared" si="35"/>
        <v>3.0000000000000001E-3</v>
      </c>
      <c r="P371" s="14">
        <f t="shared" si="36"/>
        <v>1E-4</v>
      </c>
      <c r="BF371">
        <v>15.1899999999999</v>
      </c>
      <c r="BG371" s="28">
        <f t="shared" si="38"/>
        <v>30.146386708263577</v>
      </c>
      <c r="BH371" t="e">
        <f t="shared" si="39"/>
        <v>#N/A</v>
      </c>
      <c r="BI371" t="e">
        <f t="shared" si="40"/>
        <v>#N/A</v>
      </c>
      <c r="BJ371">
        <v>10</v>
      </c>
    </row>
    <row r="372" spans="3:62" x14ac:dyDescent="0.3">
      <c r="C372">
        <v>15</v>
      </c>
      <c r="D372" s="36">
        <v>25.49</v>
      </c>
      <c r="K372" s="14">
        <f t="shared" si="37"/>
        <v>1E-3</v>
      </c>
      <c r="L372" s="14"/>
      <c r="O372" s="14">
        <f t="shared" si="35"/>
        <v>4.0000000000000002E-4</v>
      </c>
      <c r="P372" s="14">
        <f t="shared" si="36"/>
        <v>7.8587786259546764E-4</v>
      </c>
      <c r="BF372">
        <v>15.1999999999999</v>
      </c>
      <c r="BG372" s="28">
        <f t="shared" si="38"/>
        <v>30.166643198042852</v>
      </c>
      <c r="BH372" t="e">
        <f t="shared" si="39"/>
        <v>#N/A</v>
      </c>
      <c r="BI372" t="e">
        <f t="shared" si="40"/>
        <v>#N/A</v>
      </c>
      <c r="BJ372">
        <v>10</v>
      </c>
    </row>
    <row r="373" spans="3:62" x14ac:dyDescent="0.3">
      <c r="C373">
        <v>13</v>
      </c>
      <c r="D373" s="36">
        <v>24.87</v>
      </c>
      <c r="K373" s="14">
        <f t="shared" si="37"/>
        <v>1E-3</v>
      </c>
      <c r="L373" s="14"/>
      <c r="O373" s="14">
        <f t="shared" si="35"/>
        <v>1E-3</v>
      </c>
      <c r="P373" s="14">
        <f t="shared" si="36"/>
        <v>7.8587786259546764E-4</v>
      </c>
      <c r="BF373">
        <v>15.2099999999999</v>
      </c>
      <c r="BG373" s="28">
        <f t="shared" si="38"/>
        <v>30.18689968782213</v>
      </c>
      <c r="BH373" t="e">
        <f t="shared" si="39"/>
        <v>#N/A</v>
      </c>
      <c r="BI373" t="e">
        <f t="shared" si="40"/>
        <v>#N/A</v>
      </c>
      <c r="BJ373">
        <v>10</v>
      </c>
    </row>
    <row r="374" spans="3:62" x14ac:dyDescent="0.3">
      <c r="C374">
        <v>13</v>
      </c>
      <c r="D374" s="36">
        <v>26.41</v>
      </c>
      <c r="K374" s="14">
        <f t="shared" si="37"/>
        <v>1E-3</v>
      </c>
      <c r="L374" s="14"/>
      <c r="O374" s="14">
        <f t="shared" si="35"/>
        <v>1E-3</v>
      </c>
      <c r="P374" s="14">
        <f t="shared" si="36"/>
        <v>7.8587786259546764E-4</v>
      </c>
      <c r="BF374">
        <v>15.219999999999899</v>
      </c>
      <c r="BG374" s="28">
        <f t="shared" si="38"/>
        <v>30.207156177601409</v>
      </c>
      <c r="BH374" t="e">
        <f t="shared" si="39"/>
        <v>#N/A</v>
      </c>
      <c r="BI374" t="e">
        <f t="shared" si="40"/>
        <v>#N/A</v>
      </c>
      <c r="BJ374">
        <v>10</v>
      </c>
    </row>
    <row r="375" spans="3:62" x14ac:dyDescent="0.3">
      <c r="C375">
        <v>12</v>
      </c>
      <c r="D375" s="36">
        <v>18.239999999999998</v>
      </c>
      <c r="K375" s="14">
        <f t="shared" si="37"/>
        <v>1E-3</v>
      </c>
      <c r="L375" s="14"/>
      <c r="O375" s="14">
        <f t="shared" si="35"/>
        <v>3.0000000000000001E-3</v>
      </c>
      <c r="P375" s="14">
        <f t="shared" si="36"/>
        <v>5.0000000000000001E-3</v>
      </c>
      <c r="BF375">
        <v>15.229999999999899</v>
      </c>
      <c r="BG375" s="28">
        <f t="shared" si="38"/>
        <v>30.227412667380683</v>
      </c>
      <c r="BH375" t="e">
        <f t="shared" si="39"/>
        <v>#N/A</v>
      </c>
      <c r="BI375" t="e">
        <f t="shared" si="40"/>
        <v>#N/A</v>
      </c>
      <c r="BJ375">
        <v>10</v>
      </c>
    </row>
    <row r="376" spans="3:62" x14ac:dyDescent="0.3">
      <c r="C376">
        <v>15</v>
      </c>
      <c r="D376" s="36">
        <v>24.97</v>
      </c>
      <c r="K376" s="14">
        <f t="shared" si="37"/>
        <v>1E-3</v>
      </c>
      <c r="L376" s="14"/>
      <c r="O376" s="14">
        <f t="shared" si="35"/>
        <v>4.0000000000000002E-4</v>
      </c>
      <c r="P376" s="14">
        <f t="shared" si="36"/>
        <v>7.8587786259546764E-4</v>
      </c>
      <c r="BF376">
        <v>15.239999999999901</v>
      </c>
      <c r="BG376" s="28">
        <f t="shared" si="38"/>
        <v>30.247669157159965</v>
      </c>
      <c r="BH376" t="e">
        <f t="shared" si="39"/>
        <v>#N/A</v>
      </c>
      <c r="BI376" t="e">
        <f t="shared" si="40"/>
        <v>#N/A</v>
      </c>
      <c r="BJ376">
        <v>10</v>
      </c>
    </row>
    <row r="377" spans="3:62" x14ac:dyDescent="0.3">
      <c r="C377">
        <v>12</v>
      </c>
      <c r="D377" s="36">
        <v>18.68</v>
      </c>
      <c r="K377" s="14">
        <f t="shared" si="37"/>
        <v>1E-3</v>
      </c>
      <c r="L377" s="14"/>
      <c r="O377" s="14">
        <f t="shared" si="35"/>
        <v>3.0000000000000001E-3</v>
      </c>
      <c r="P377" s="14">
        <f t="shared" si="36"/>
        <v>5.0000000000000001E-3</v>
      </c>
      <c r="BF377">
        <v>15.249999999999901</v>
      </c>
      <c r="BG377" s="28">
        <f t="shared" si="38"/>
        <v>30.267925646939243</v>
      </c>
      <c r="BH377" t="e">
        <f t="shared" si="39"/>
        <v>#N/A</v>
      </c>
      <c r="BI377" t="e">
        <f t="shared" si="40"/>
        <v>#N/A</v>
      </c>
      <c r="BJ377">
        <v>10</v>
      </c>
    </row>
    <row r="378" spans="3:62" x14ac:dyDescent="0.3">
      <c r="C378">
        <v>13</v>
      </c>
      <c r="D378" s="36">
        <v>28.69</v>
      </c>
      <c r="K378" s="14">
        <f t="shared" si="37"/>
        <v>1E-3</v>
      </c>
      <c r="L378" s="14"/>
      <c r="O378" s="14">
        <f t="shared" si="35"/>
        <v>1E-3</v>
      </c>
      <c r="P378" s="14">
        <f t="shared" si="36"/>
        <v>4.0000000000000002E-4</v>
      </c>
      <c r="BF378">
        <v>15.2599999999999</v>
      </c>
      <c r="BG378" s="28">
        <f t="shared" si="38"/>
        <v>30.288182136718518</v>
      </c>
      <c r="BH378" t="e">
        <f t="shared" si="39"/>
        <v>#N/A</v>
      </c>
      <c r="BI378" t="e">
        <f t="shared" si="40"/>
        <v>#N/A</v>
      </c>
      <c r="BJ378">
        <v>10</v>
      </c>
    </row>
    <row r="379" spans="3:62" x14ac:dyDescent="0.3">
      <c r="C379">
        <v>14</v>
      </c>
      <c r="D379" s="36">
        <v>35.06</v>
      </c>
      <c r="K379" s="14">
        <f t="shared" si="37"/>
        <v>1E-3</v>
      </c>
      <c r="L379" s="14"/>
      <c r="O379" s="14">
        <f t="shared" si="35"/>
        <v>4.7156372549026095E-4</v>
      </c>
      <c r="P379" s="14">
        <f t="shared" si="36"/>
        <v>1E-4</v>
      </c>
      <c r="BF379">
        <v>15.2699999999999</v>
      </c>
      <c r="BG379" s="28">
        <f t="shared" si="38"/>
        <v>30.308438626497797</v>
      </c>
      <c r="BH379" t="e">
        <f t="shared" si="39"/>
        <v>#N/A</v>
      </c>
      <c r="BI379" t="e">
        <f t="shared" si="40"/>
        <v>#N/A</v>
      </c>
      <c r="BJ379">
        <v>10</v>
      </c>
    </row>
    <row r="380" spans="3:62" x14ac:dyDescent="0.3">
      <c r="C380">
        <v>15</v>
      </c>
      <c r="D380" s="36">
        <v>27.2</v>
      </c>
      <c r="K380" s="14">
        <f t="shared" si="37"/>
        <v>1E-3</v>
      </c>
      <c r="L380" s="14"/>
      <c r="O380" s="14">
        <f t="shared" si="35"/>
        <v>4.0000000000000002E-4</v>
      </c>
      <c r="P380" s="14">
        <f t="shared" si="36"/>
        <v>7.8587786259546764E-4</v>
      </c>
      <c r="BF380">
        <v>15.2799999999999</v>
      </c>
      <c r="BG380" s="28">
        <f t="shared" si="38"/>
        <v>30.328695116277075</v>
      </c>
      <c r="BH380" t="e">
        <f t="shared" si="39"/>
        <v>#N/A</v>
      </c>
      <c r="BI380" t="e">
        <f t="shared" si="40"/>
        <v>#N/A</v>
      </c>
      <c r="BJ380">
        <v>10</v>
      </c>
    </row>
    <row r="381" spans="3:62" x14ac:dyDescent="0.3">
      <c r="C381">
        <v>14</v>
      </c>
      <c r="D381" s="36">
        <v>34.6</v>
      </c>
      <c r="K381" s="14">
        <f t="shared" si="37"/>
        <v>1E-3</v>
      </c>
      <c r="L381" s="14"/>
      <c r="O381" s="14">
        <f t="shared" si="35"/>
        <v>4.7156372549026095E-4</v>
      </c>
      <c r="P381" s="14">
        <f t="shared" si="36"/>
        <v>1E-4</v>
      </c>
      <c r="BF381">
        <v>15.2899999999999</v>
      </c>
      <c r="BG381" s="28">
        <f t="shared" si="38"/>
        <v>30.34895160605635</v>
      </c>
      <c r="BH381" t="e">
        <f t="shared" si="39"/>
        <v>#N/A</v>
      </c>
      <c r="BI381" t="e">
        <f t="shared" si="40"/>
        <v>#N/A</v>
      </c>
      <c r="BJ381">
        <v>10</v>
      </c>
    </row>
    <row r="382" spans="3:62" x14ac:dyDescent="0.3">
      <c r="C382">
        <v>15</v>
      </c>
      <c r="D382" s="36">
        <v>34.799999999999997</v>
      </c>
      <c r="K382" s="14">
        <f t="shared" si="37"/>
        <v>1E-3</v>
      </c>
      <c r="L382" s="14"/>
      <c r="O382" s="14">
        <f t="shared" si="35"/>
        <v>4.0000000000000002E-4</v>
      </c>
      <c r="P382" s="14">
        <f t="shared" si="36"/>
        <v>1E-4</v>
      </c>
      <c r="BF382">
        <v>15.299999999999899</v>
      </c>
      <c r="BG382" s="28">
        <f t="shared" si="38"/>
        <v>30.369208095835628</v>
      </c>
      <c r="BH382" t="e">
        <f t="shared" si="39"/>
        <v>#N/A</v>
      </c>
      <c r="BI382" t="e">
        <f t="shared" si="40"/>
        <v>#N/A</v>
      </c>
      <c r="BJ382">
        <v>10</v>
      </c>
    </row>
    <row r="383" spans="3:62" x14ac:dyDescent="0.3">
      <c r="C383">
        <v>14</v>
      </c>
      <c r="D383" s="36">
        <v>27.15</v>
      </c>
      <c r="K383" s="14">
        <f t="shared" si="37"/>
        <v>1E-3</v>
      </c>
      <c r="L383" s="14"/>
      <c r="O383" s="14">
        <f t="shared" si="35"/>
        <v>4.7156372549026095E-4</v>
      </c>
      <c r="P383" s="14">
        <f t="shared" si="36"/>
        <v>7.8587786259546764E-4</v>
      </c>
      <c r="BF383">
        <v>15.309999999999899</v>
      </c>
      <c r="BG383" s="28">
        <f t="shared" si="38"/>
        <v>30.389464585614906</v>
      </c>
      <c r="BH383" t="e">
        <f t="shared" si="39"/>
        <v>#N/A</v>
      </c>
      <c r="BI383" t="e">
        <f t="shared" si="40"/>
        <v>#N/A</v>
      </c>
      <c r="BJ383">
        <v>10</v>
      </c>
    </row>
    <row r="384" spans="3:62" x14ac:dyDescent="0.3">
      <c r="C384">
        <v>15</v>
      </c>
      <c r="D384" s="36">
        <v>38.29</v>
      </c>
      <c r="K384" s="14">
        <f t="shared" si="37"/>
        <v>1E-3</v>
      </c>
      <c r="L384" s="14"/>
      <c r="O384" s="14">
        <f t="shared" si="35"/>
        <v>4.0000000000000002E-4</v>
      </c>
      <c r="P384" s="14">
        <f t="shared" si="36"/>
        <v>1E-4</v>
      </c>
      <c r="BF384">
        <v>15.319999999999901</v>
      </c>
      <c r="BG384" s="28">
        <f t="shared" si="38"/>
        <v>30.409721075394184</v>
      </c>
      <c r="BH384" t="e">
        <f t="shared" si="39"/>
        <v>#N/A</v>
      </c>
      <c r="BI384" t="e">
        <f t="shared" si="40"/>
        <v>#N/A</v>
      </c>
      <c r="BJ384">
        <v>10</v>
      </c>
    </row>
    <row r="385" spans="3:62" x14ac:dyDescent="0.3">
      <c r="C385">
        <v>14</v>
      </c>
      <c r="D385" s="36">
        <v>23.57</v>
      </c>
      <c r="K385" s="14">
        <f t="shared" si="37"/>
        <v>1E-3</v>
      </c>
      <c r="L385" s="14"/>
      <c r="O385" s="14">
        <f t="shared" si="35"/>
        <v>4.7156372549026095E-4</v>
      </c>
      <c r="P385" s="14">
        <f t="shared" si="36"/>
        <v>1.5E-3</v>
      </c>
      <c r="BF385">
        <v>15.329999999999901</v>
      </c>
      <c r="BG385" s="28">
        <f t="shared" si="38"/>
        <v>30.429977565173463</v>
      </c>
      <c r="BH385" t="e">
        <f t="shared" si="39"/>
        <v>#N/A</v>
      </c>
      <c r="BI385" t="e">
        <f t="shared" si="40"/>
        <v>#N/A</v>
      </c>
      <c r="BJ385">
        <v>10</v>
      </c>
    </row>
    <row r="386" spans="3:62" x14ac:dyDescent="0.3">
      <c r="C386">
        <v>14</v>
      </c>
      <c r="D386" s="36">
        <v>25.02</v>
      </c>
      <c r="K386" s="14">
        <f t="shared" si="37"/>
        <v>1E-3</v>
      </c>
      <c r="L386" s="14"/>
      <c r="O386" s="14">
        <f t="shared" ref="O386:O449" si="41">IF(C386=12,$M$4,IF(C386=13,$M$5,IF(C386=14,$M$6,IF(C386=15,$M$7,$M$8))))</f>
        <v>4.7156372549026095E-4</v>
      </c>
      <c r="P386" s="14">
        <f t="shared" ref="P386:P449" si="42">IF(D386&lt;20,$M$14,IF(D386&lt;24,$M$15,IF(D386&lt;28,$M$16,IF(D386&lt;32,$M$17,$M$18))))</f>
        <v>7.8587786259546764E-4</v>
      </c>
      <c r="BF386">
        <v>15.3399999999999</v>
      </c>
      <c r="BG386" s="28">
        <f t="shared" si="38"/>
        <v>30.450234054952741</v>
      </c>
      <c r="BH386" t="e">
        <f t="shared" si="39"/>
        <v>#N/A</v>
      </c>
      <c r="BI386" t="e">
        <f t="shared" si="40"/>
        <v>#N/A</v>
      </c>
      <c r="BJ386">
        <v>10</v>
      </c>
    </row>
    <row r="387" spans="3:62" x14ac:dyDescent="0.3">
      <c r="C387">
        <v>13</v>
      </c>
      <c r="D387" s="36">
        <v>24.12</v>
      </c>
      <c r="K387" s="14">
        <f t="shared" ref="K387:K450" si="43">1/1000</f>
        <v>1E-3</v>
      </c>
      <c r="L387" s="14"/>
      <c r="O387" s="14">
        <f t="shared" si="41"/>
        <v>1E-3</v>
      </c>
      <c r="P387" s="14">
        <f t="shared" si="42"/>
        <v>7.8587786259546764E-4</v>
      </c>
      <c r="BF387">
        <v>15.3499999999999</v>
      </c>
      <c r="BG387" s="28">
        <f t="shared" ref="BG387:BG450" si="44">$I$8+$I$10*BF387</f>
        <v>30.470490544732016</v>
      </c>
      <c r="BH387" t="e">
        <f t="shared" ref="BH387:BH450" si="45">IF($AD$9=1,$W$3+$V$3*BF387,#N/A)</f>
        <v>#N/A</v>
      </c>
      <c r="BI387" t="e">
        <f t="shared" ref="BI387:BI450" si="46">IF($AD$12=1,$AA$3+$Z$3*BF387,#N/A)</f>
        <v>#N/A</v>
      </c>
      <c r="BJ387">
        <v>10</v>
      </c>
    </row>
    <row r="388" spans="3:62" x14ac:dyDescent="0.3">
      <c r="C388">
        <v>14</v>
      </c>
      <c r="D388" s="36">
        <v>29.47</v>
      </c>
      <c r="K388" s="14">
        <f t="shared" si="43"/>
        <v>1E-3</v>
      </c>
      <c r="L388" s="14"/>
      <c r="O388" s="14">
        <f t="shared" si="41"/>
        <v>4.7156372549026095E-4</v>
      </c>
      <c r="P388" s="14">
        <f t="shared" si="42"/>
        <v>4.0000000000000002E-4</v>
      </c>
      <c r="BF388">
        <v>15.3599999999999</v>
      </c>
      <c r="BG388" s="28">
        <f t="shared" si="44"/>
        <v>30.490747034511294</v>
      </c>
      <c r="BH388" t="e">
        <f t="shared" si="45"/>
        <v>#N/A</v>
      </c>
      <c r="BI388" t="e">
        <f t="shared" si="46"/>
        <v>#N/A</v>
      </c>
      <c r="BJ388">
        <v>10</v>
      </c>
    </row>
    <row r="389" spans="3:62" x14ac:dyDescent="0.3">
      <c r="C389">
        <v>13</v>
      </c>
      <c r="D389" s="36">
        <v>31.77</v>
      </c>
      <c r="K389" s="14">
        <f t="shared" si="43"/>
        <v>1E-3</v>
      </c>
      <c r="L389" s="14"/>
      <c r="O389" s="14">
        <f t="shared" si="41"/>
        <v>1E-3</v>
      </c>
      <c r="P389" s="14">
        <f t="shared" si="42"/>
        <v>4.0000000000000002E-4</v>
      </c>
      <c r="BF389">
        <v>15.3699999999999</v>
      </c>
      <c r="BG389" s="28">
        <f t="shared" si="44"/>
        <v>30.511003524290572</v>
      </c>
      <c r="BH389" t="e">
        <f t="shared" si="45"/>
        <v>#N/A</v>
      </c>
      <c r="BI389" t="e">
        <f t="shared" si="46"/>
        <v>#N/A</v>
      </c>
      <c r="BJ389">
        <v>10</v>
      </c>
    </row>
    <row r="390" spans="3:62" x14ac:dyDescent="0.3">
      <c r="C390">
        <v>13</v>
      </c>
      <c r="D390" s="36">
        <v>31.85</v>
      </c>
      <c r="K390" s="14">
        <f t="shared" si="43"/>
        <v>1E-3</v>
      </c>
      <c r="L390" s="14"/>
      <c r="O390" s="14">
        <f t="shared" si="41"/>
        <v>1E-3</v>
      </c>
      <c r="P390" s="14">
        <f t="shared" si="42"/>
        <v>4.0000000000000002E-4</v>
      </c>
      <c r="BF390">
        <v>15.3799999999999</v>
      </c>
      <c r="BG390" s="28">
        <f t="shared" si="44"/>
        <v>30.531260014069847</v>
      </c>
      <c r="BH390" t="e">
        <f t="shared" si="45"/>
        <v>#N/A</v>
      </c>
      <c r="BI390" t="e">
        <f t="shared" si="46"/>
        <v>#N/A</v>
      </c>
      <c r="BJ390">
        <v>10</v>
      </c>
    </row>
    <row r="391" spans="3:62" x14ac:dyDescent="0.3">
      <c r="C391">
        <v>16</v>
      </c>
      <c r="D391" s="36">
        <v>32.39</v>
      </c>
      <c r="K391" s="14">
        <f t="shared" si="43"/>
        <v>1E-3</v>
      </c>
      <c r="L391" s="14"/>
      <c r="O391" s="14">
        <f t="shared" si="41"/>
        <v>2.0000000000000001E-4</v>
      </c>
      <c r="P391" s="14">
        <f t="shared" si="42"/>
        <v>1E-4</v>
      </c>
      <c r="BF391">
        <v>15.389999999999899</v>
      </c>
      <c r="BG391" s="28">
        <f t="shared" si="44"/>
        <v>30.551516503849125</v>
      </c>
      <c r="BH391" t="e">
        <f t="shared" si="45"/>
        <v>#N/A</v>
      </c>
      <c r="BI391" t="e">
        <f t="shared" si="46"/>
        <v>#N/A</v>
      </c>
      <c r="BJ391">
        <v>10</v>
      </c>
    </row>
    <row r="392" spans="3:62" x14ac:dyDescent="0.3">
      <c r="C392">
        <v>13</v>
      </c>
      <c r="D392" s="36">
        <v>25.36</v>
      </c>
      <c r="K392" s="14">
        <f t="shared" si="43"/>
        <v>1E-3</v>
      </c>
      <c r="L392" s="14"/>
      <c r="O392" s="14">
        <f t="shared" si="41"/>
        <v>1E-3</v>
      </c>
      <c r="P392" s="14">
        <f t="shared" si="42"/>
        <v>7.8587786259546764E-4</v>
      </c>
      <c r="BF392">
        <v>15.399999999999901</v>
      </c>
      <c r="BG392" s="28">
        <f t="shared" si="44"/>
        <v>30.571772993628407</v>
      </c>
      <c r="BH392" t="e">
        <f t="shared" si="45"/>
        <v>#N/A</v>
      </c>
      <c r="BI392" t="e">
        <f t="shared" si="46"/>
        <v>#N/A</v>
      </c>
      <c r="BJ392">
        <v>10</v>
      </c>
    </row>
    <row r="393" spans="3:62" x14ac:dyDescent="0.3">
      <c r="C393">
        <v>16</v>
      </c>
      <c r="D393" s="36">
        <v>39.380000000000003</v>
      </c>
      <c r="K393" s="14">
        <f t="shared" si="43"/>
        <v>1E-3</v>
      </c>
      <c r="L393" s="14"/>
      <c r="O393" s="14">
        <f t="shared" si="41"/>
        <v>2.0000000000000001E-4</v>
      </c>
      <c r="P393" s="14">
        <f t="shared" si="42"/>
        <v>1E-4</v>
      </c>
      <c r="BF393">
        <v>15.409999999999901</v>
      </c>
      <c r="BG393" s="28">
        <f t="shared" si="44"/>
        <v>30.592029483407682</v>
      </c>
      <c r="BH393" t="e">
        <f t="shared" si="45"/>
        <v>#N/A</v>
      </c>
      <c r="BI393" t="e">
        <f t="shared" si="46"/>
        <v>#N/A</v>
      </c>
      <c r="BJ393">
        <v>10</v>
      </c>
    </row>
    <row r="394" spans="3:62" x14ac:dyDescent="0.3">
      <c r="C394">
        <v>14</v>
      </c>
      <c r="D394" s="36">
        <v>22.01</v>
      </c>
      <c r="K394" s="14">
        <f t="shared" si="43"/>
        <v>1E-3</v>
      </c>
      <c r="L394" s="14"/>
      <c r="O394" s="14">
        <f t="shared" si="41"/>
        <v>4.7156372549026095E-4</v>
      </c>
      <c r="P394" s="14">
        <f t="shared" si="42"/>
        <v>1.5E-3</v>
      </c>
      <c r="BF394">
        <v>15.4199999999999</v>
      </c>
      <c r="BG394" s="28">
        <f t="shared" si="44"/>
        <v>30.61228597318696</v>
      </c>
      <c r="BH394" t="e">
        <f t="shared" si="45"/>
        <v>#N/A</v>
      </c>
      <c r="BI394" t="e">
        <f t="shared" si="46"/>
        <v>#N/A</v>
      </c>
      <c r="BJ394">
        <v>10</v>
      </c>
    </row>
    <row r="395" spans="3:62" x14ac:dyDescent="0.3">
      <c r="C395">
        <v>14</v>
      </c>
      <c r="D395" s="36">
        <v>27.23</v>
      </c>
      <c r="K395" s="14">
        <f t="shared" si="43"/>
        <v>1E-3</v>
      </c>
      <c r="L395" s="14"/>
      <c r="O395" s="14">
        <f t="shared" si="41"/>
        <v>4.7156372549026095E-4</v>
      </c>
      <c r="P395" s="14">
        <f t="shared" si="42"/>
        <v>7.8587786259546764E-4</v>
      </c>
      <c r="BF395">
        <v>15.4299999999999</v>
      </c>
      <c r="BG395" s="28">
        <f t="shared" si="44"/>
        <v>30.632542462966239</v>
      </c>
      <c r="BH395" t="e">
        <f t="shared" si="45"/>
        <v>#N/A</v>
      </c>
      <c r="BI395" t="e">
        <f t="shared" si="46"/>
        <v>#N/A</v>
      </c>
      <c r="BJ395">
        <v>10</v>
      </c>
    </row>
    <row r="396" spans="3:62" x14ac:dyDescent="0.3">
      <c r="C396">
        <v>16</v>
      </c>
      <c r="D396" s="36">
        <v>29.13</v>
      </c>
      <c r="K396" s="14">
        <f t="shared" si="43"/>
        <v>1E-3</v>
      </c>
      <c r="L396" s="14"/>
      <c r="O396" s="14">
        <f t="shared" si="41"/>
        <v>2.0000000000000001E-4</v>
      </c>
      <c r="P396" s="14">
        <f t="shared" si="42"/>
        <v>4.0000000000000002E-4</v>
      </c>
      <c r="BF396">
        <v>15.4399999999999</v>
      </c>
      <c r="BG396" s="28">
        <f t="shared" si="44"/>
        <v>30.652798952745513</v>
      </c>
      <c r="BH396" t="e">
        <f t="shared" si="45"/>
        <v>#N/A</v>
      </c>
      <c r="BI396" t="e">
        <f t="shared" si="46"/>
        <v>#N/A</v>
      </c>
      <c r="BJ396">
        <v>10</v>
      </c>
    </row>
    <row r="397" spans="3:62" x14ac:dyDescent="0.3">
      <c r="C397">
        <v>12</v>
      </c>
      <c r="D397" s="36">
        <v>21.38</v>
      </c>
      <c r="K397" s="14">
        <f t="shared" si="43"/>
        <v>1E-3</v>
      </c>
      <c r="L397" s="14"/>
      <c r="O397" s="14">
        <f t="shared" si="41"/>
        <v>3.0000000000000001E-3</v>
      </c>
      <c r="P397" s="14">
        <f t="shared" si="42"/>
        <v>1.5E-3</v>
      </c>
      <c r="BF397">
        <v>15.4499999999999</v>
      </c>
      <c r="BG397" s="28">
        <f t="shared" si="44"/>
        <v>30.673055442524792</v>
      </c>
      <c r="BH397" t="e">
        <f t="shared" si="45"/>
        <v>#N/A</v>
      </c>
      <c r="BI397" t="e">
        <f t="shared" si="46"/>
        <v>#N/A</v>
      </c>
      <c r="BJ397">
        <v>10</v>
      </c>
    </row>
    <row r="398" spans="3:62" x14ac:dyDescent="0.3">
      <c r="C398">
        <v>12</v>
      </c>
      <c r="D398" s="36">
        <v>23.23</v>
      </c>
      <c r="K398" s="14">
        <f t="shared" si="43"/>
        <v>1E-3</v>
      </c>
      <c r="L398" s="14"/>
      <c r="O398" s="14">
        <f t="shared" si="41"/>
        <v>3.0000000000000001E-3</v>
      </c>
      <c r="P398" s="14">
        <f t="shared" si="42"/>
        <v>1.5E-3</v>
      </c>
      <c r="BF398">
        <v>15.4599999999999</v>
      </c>
      <c r="BG398" s="28">
        <f t="shared" si="44"/>
        <v>30.693311932304066</v>
      </c>
      <c r="BH398" t="e">
        <f t="shared" si="45"/>
        <v>#N/A</v>
      </c>
      <c r="BI398" t="e">
        <f t="shared" si="46"/>
        <v>#N/A</v>
      </c>
      <c r="BJ398">
        <v>10</v>
      </c>
    </row>
    <row r="399" spans="3:62" x14ac:dyDescent="0.3">
      <c r="C399">
        <v>14</v>
      </c>
      <c r="D399" s="36">
        <v>27.04</v>
      </c>
      <c r="K399" s="14">
        <f t="shared" si="43"/>
        <v>1E-3</v>
      </c>
      <c r="L399" s="14"/>
      <c r="O399" s="14">
        <f t="shared" si="41"/>
        <v>4.7156372549026095E-4</v>
      </c>
      <c r="P399" s="14">
        <f t="shared" si="42"/>
        <v>7.8587786259546764E-4</v>
      </c>
      <c r="BF399">
        <v>15.469999999999899</v>
      </c>
      <c r="BG399" s="28">
        <f t="shared" si="44"/>
        <v>30.713568422083345</v>
      </c>
      <c r="BH399" t="e">
        <f t="shared" si="45"/>
        <v>#N/A</v>
      </c>
      <c r="BI399" t="e">
        <f t="shared" si="46"/>
        <v>#N/A</v>
      </c>
      <c r="BJ399">
        <v>10</v>
      </c>
    </row>
    <row r="400" spans="3:62" x14ac:dyDescent="0.3">
      <c r="C400">
        <v>14</v>
      </c>
      <c r="D400" s="36">
        <v>30.5</v>
      </c>
      <c r="K400" s="14">
        <f t="shared" si="43"/>
        <v>1E-3</v>
      </c>
      <c r="L400" s="14"/>
      <c r="O400" s="14">
        <f t="shared" si="41"/>
        <v>4.7156372549026095E-4</v>
      </c>
      <c r="P400" s="14">
        <f t="shared" si="42"/>
        <v>4.0000000000000002E-4</v>
      </c>
      <c r="BF400">
        <v>15.479999999999899</v>
      </c>
      <c r="BG400" s="28">
        <f t="shared" si="44"/>
        <v>30.733824911862623</v>
      </c>
      <c r="BH400" t="e">
        <f t="shared" si="45"/>
        <v>#N/A</v>
      </c>
      <c r="BI400" t="e">
        <f t="shared" si="46"/>
        <v>#N/A</v>
      </c>
      <c r="BJ400">
        <v>10</v>
      </c>
    </row>
    <row r="401" spans="3:62" x14ac:dyDescent="0.3">
      <c r="C401">
        <v>14</v>
      </c>
      <c r="D401" s="36">
        <v>24.05</v>
      </c>
      <c r="K401" s="14">
        <f t="shared" si="43"/>
        <v>1E-3</v>
      </c>
      <c r="L401" s="14"/>
      <c r="O401" s="14">
        <f t="shared" si="41"/>
        <v>4.7156372549026095E-4</v>
      </c>
      <c r="P401" s="14">
        <f t="shared" si="42"/>
        <v>7.8587786259546764E-4</v>
      </c>
      <c r="BF401">
        <v>15.489999999999901</v>
      </c>
      <c r="BG401" s="28">
        <f t="shared" si="44"/>
        <v>30.754081401641901</v>
      </c>
      <c r="BH401" t="e">
        <f t="shared" si="45"/>
        <v>#N/A</v>
      </c>
      <c r="BI401" t="e">
        <f t="shared" si="46"/>
        <v>#N/A</v>
      </c>
      <c r="BJ401">
        <v>10</v>
      </c>
    </row>
    <row r="402" spans="3:62" x14ac:dyDescent="0.3">
      <c r="C402">
        <v>15</v>
      </c>
      <c r="D402" s="36">
        <v>22.28</v>
      </c>
      <c r="K402" s="14">
        <f t="shared" si="43"/>
        <v>1E-3</v>
      </c>
      <c r="L402" s="14"/>
      <c r="O402" s="14">
        <f t="shared" si="41"/>
        <v>4.0000000000000002E-4</v>
      </c>
      <c r="P402" s="14">
        <f t="shared" si="42"/>
        <v>1.5E-3</v>
      </c>
      <c r="BF402">
        <v>15.499999999999901</v>
      </c>
      <c r="BG402" s="28">
        <f t="shared" si="44"/>
        <v>30.77433789142118</v>
      </c>
      <c r="BH402" t="e">
        <f t="shared" si="45"/>
        <v>#N/A</v>
      </c>
      <c r="BI402" t="e">
        <f t="shared" si="46"/>
        <v>#N/A</v>
      </c>
      <c r="BJ402">
        <v>10</v>
      </c>
    </row>
    <row r="403" spans="3:62" x14ac:dyDescent="0.3">
      <c r="C403">
        <v>12</v>
      </c>
      <c r="D403" s="36">
        <v>27.27</v>
      </c>
      <c r="K403" s="14">
        <f t="shared" si="43"/>
        <v>1E-3</v>
      </c>
      <c r="L403" s="14"/>
      <c r="O403" s="14">
        <f t="shared" si="41"/>
        <v>3.0000000000000001E-3</v>
      </c>
      <c r="P403" s="14">
        <f t="shared" si="42"/>
        <v>7.8587786259546764E-4</v>
      </c>
      <c r="BF403">
        <v>15.5099999999999</v>
      </c>
      <c r="BG403" s="28">
        <f t="shared" si="44"/>
        <v>30.794594381200458</v>
      </c>
      <c r="BH403" t="e">
        <f t="shared" si="45"/>
        <v>#N/A</v>
      </c>
      <c r="BI403" t="e">
        <f t="shared" si="46"/>
        <v>#N/A</v>
      </c>
      <c r="BJ403">
        <v>10</v>
      </c>
    </row>
    <row r="404" spans="3:62" x14ac:dyDescent="0.3">
      <c r="C404">
        <v>13</v>
      </c>
      <c r="D404" s="36">
        <v>25.94</v>
      </c>
      <c r="K404" s="14">
        <f t="shared" si="43"/>
        <v>1E-3</v>
      </c>
      <c r="L404" s="14"/>
      <c r="O404" s="14">
        <f t="shared" si="41"/>
        <v>1E-3</v>
      </c>
      <c r="P404" s="14">
        <f t="shared" si="42"/>
        <v>7.8587786259546764E-4</v>
      </c>
      <c r="BF404">
        <v>15.5199999999999</v>
      </c>
      <c r="BG404" s="28">
        <f t="shared" si="44"/>
        <v>30.814850870979733</v>
      </c>
      <c r="BH404" t="e">
        <f t="shared" si="45"/>
        <v>#N/A</v>
      </c>
      <c r="BI404" t="e">
        <f t="shared" si="46"/>
        <v>#N/A</v>
      </c>
      <c r="BJ404">
        <v>10</v>
      </c>
    </row>
    <row r="405" spans="3:62" x14ac:dyDescent="0.3">
      <c r="C405">
        <v>16</v>
      </c>
      <c r="D405" s="36">
        <v>30.51</v>
      </c>
      <c r="K405" s="14">
        <f t="shared" si="43"/>
        <v>1E-3</v>
      </c>
      <c r="L405" s="14"/>
      <c r="O405" s="14">
        <f t="shared" si="41"/>
        <v>2.0000000000000001E-4</v>
      </c>
      <c r="P405" s="14">
        <f t="shared" si="42"/>
        <v>4.0000000000000002E-4</v>
      </c>
      <c r="BF405">
        <v>15.5299999999999</v>
      </c>
      <c r="BG405" s="28">
        <f t="shared" si="44"/>
        <v>30.835107360759011</v>
      </c>
      <c r="BH405" t="e">
        <f t="shared" si="45"/>
        <v>#N/A</v>
      </c>
      <c r="BI405" t="e">
        <f t="shared" si="46"/>
        <v>#N/A</v>
      </c>
      <c r="BJ405">
        <v>10</v>
      </c>
    </row>
    <row r="406" spans="3:62" x14ac:dyDescent="0.3">
      <c r="C406">
        <v>13</v>
      </c>
      <c r="D406" s="36">
        <v>29.52</v>
      </c>
      <c r="K406" s="14">
        <f t="shared" si="43"/>
        <v>1E-3</v>
      </c>
      <c r="L406" s="14"/>
      <c r="O406" s="14">
        <f t="shared" si="41"/>
        <v>1E-3</v>
      </c>
      <c r="P406" s="14">
        <f t="shared" si="42"/>
        <v>4.0000000000000002E-4</v>
      </c>
      <c r="BF406">
        <v>15.5399999999999</v>
      </c>
      <c r="BG406" s="28">
        <f t="shared" si="44"/>
        <v>30.855363850538289</v>
      </c>
      <c r="BH406" t="e">
        <f t="shared" si="45"/>
        <v>#N/A</v>
      </c>
      <c r="BI406" t="e">
        <f t="shared" si="46"/>
        <v>#N/A</v>
      </c>
      <c r="BJ406">
        <v>10</v>
      </c>
    </row>
    <row r="407" spans="3:62" x14ac:dyDescent="0.3">
      <c r="C407">
        <v>16</v>
      </c>
      <c r="D407" s="36">
        <v>31.92</v>
      </c>
      <c r="K407" s="14">
        <f t="shared" si="43"/>
        <v>1E-3</v>
      </c>
      <c r="L407" s="14"/>
      <c r="O407" s="14">
        <f t="shared" si="41"/>
        <v>2.0000000000000001E-4</v>
      </c>
      <c r="P407" s="14">
        <f t="shared" si="42"/>
        <v>4.0000000000000002E-4</v>
      </c>
      <c r="BF407">
        <v>15.549999999999899</v>
      </c>
      <c r="BG407" s="28">
        <f t="shared" si="44"/>
        <v>30.875620340317564</v>
      </c>
      <c r="BH407" t="e">
        <f t="shared" si="45"/>
        <v>#N/A</v>
      </c>
      <c r="BI407" t="e">
        <f t="shared" si="46"/>
        <v>#N/A</v>
      </c>
      <c r="BJ407">
        <v>10</v>
      </c>
    </row>
    <row r="408" spans="3:62" x14ac:dyDescent="0.3">
      <c r="C408">
        <v>12</v>
      </c>
      <c r="D408" s="36">
        <v>27.67</v>
      </c>
      <c r="K408" s="14">
        <f t="shared" si="43"/>
        <v>1E-3</v>
      </c>
      <c r="L408" s="14"/>
      <c r="O408" s="14">
        <f t="shared" si="41"/>
        <v>3.0000000000000001E-3</v>
      </c>
      <c r="P408" s="14">
        <f t="shared" si="42"/>
        <v>7.8587786259546764E-4</v>
      </c>
      <c r="BF408">
        <v>15.559999999999899</v>
      </c>
      <c r="BG408" s="28">
        <f t="shared" si="44"/>
        <v>30.895876830096842</v>
      </c>
      <c r="BH408" t="e">
        <f t="shared" si="45"/>
        <v>#N/A</v>
      </c>
      <c r="BI408" t="e">
        <f t="shared" si="46"/>
        <v>#N/A</v>
      </c>
      <c r="BJ408">
        <v>10</v>
      </c>
    </row>
    <row r="409" spans="3:62" x14ac:dyDescent="0.3">
      <c r="C409">
        <v>13</v>
      </c>
      <c r="D409" s="36">
        <v>26.94</v>
      </c>
      <c r="K409" s="14">
        <f t="shared" si="43"/>
        <v>1E-3</v>
      </c>
      <c r="L409" s="14"/>
      <c r="O409" s="14">
        <f t="shared" si="41"/>
        <v>1E-3</v>
      </c>
      <c r="P409" s="14">
        <f t="shared" si="42"/>
        <v>7.8587786259546764E-4</v>
      </c>
      <c r="BF409">
        <v>15.569999999999901</v>
      </c>
      <c r="BG409" s="28">
        <f t="shared" si="44"/>
        <v>30.916133319876124</v>
      </c>
      <c r="BH409" t="e">
        <f t="shared" si="45"/>
        <v>#N/A</v>
      </c>
      <c r="BI409" t="e">
        <f t="shared" si="46"/>
        <v>#N/A</v>
      </c>
      <c r="BJ409">
        <v>10</v>
      </c>
    </row>
    <row r="410" spans="3:62" x14ac:dyDescent="0.3">
      <c r="C410">
        <v>15</v>
      </c>
      <c r="D410" s="36">
        <v>34.58</v>
      </c>
      <c r="K410" s="14">
        <f t="shared" si="43"/>
        <v>1E-3</v>
      </c>
      <c r="L410" s="14"/>
      <c r="O410" s="14">
        <f t="shared" si="41"/>
        <v>4.0000000000000002E-4</v>
      </c>
      <c r="P410" s="14">
        <f t="shared" si="42"/>
        <v>1E-4</v>
      </c>
      <c r="BF410">
        <v>15.579999999999901</v>
      </c>
      <c r="BG410" s="28">
        <f t="shared" si="44"/>
        <v>30.936389809655399</v>
      </c>
      <c r="BH410" t="e">
        <f t="shared" si="45"/>
        <v>#N/A</v>
      </c>
      <c r="BI410" t="e">
        <f t="shared" si="46"/>
        <v>#N/A</v>
      </c>
      <c r="BJ410">
        <v>10</v>
      </c>
    </row>
    <row r="411" spans="3:62" x14ac:dyDescent="0.3">
      <c r="C411">
        <v>16</v>
      </c>
      <c r="D411" s="36">
        <v>25.1</v>
      </c>
      <c r="K411" s="14">
        <f t="shared" si="43"/>
        <v>1E-3</v>
      </c>
      <c r="L411" s="14"/>
      <c r="O411" s="14">
        <f t="shared" si="41"/>
        <v>2.0000000000000001E-4</v>
      </c>
      <c r="P411" s="14">
        <f t="shared" si="42"/>
        <v>7.8587786259546764E-4</v>
      </c>
      <c r="BF411">
        <v>15.5899999999999</v>
      </c>
      <c r="BG411" s="28">
        <f t="shared" si="44"/>
        <v>30.956646299434677</v>
      </c>
      <c r="BH411" t="e">
        <f t="shared" si="45"/>
        <v>#N/A</v>
      </c>
      <c r="BI411" t="e">
        <f t="shared" si="46"/>
        <v>#N/A</v>
      </c>
      <c r="BJ411">
        <v>10</v>
      </c>
    </row>
    <row r="412" spans="3:62" x14ac:dyDescent="0.3">
      <c r="C412">
        <v>16</v>
      </c>
      <c r="D412" s="36">
        <v>25.98</v>
      </c>
      <c r="K412" s="14">
        <f t="shared" si="43"/>
        <v>1E-3</v>
      </c>
      <c r="L412" s="14"/>
      <c r="O412" s="14">
        <f t="shared" si="41"/>
        <v>2.0000000000000001E-4</v>
      </c>
      <c r="P412" s="14">
        <f t="shared" si="42"/>
        <v>7.8587786259546764E-4</v>
      </c>
      <c r="BF412">
        <v>15.5999999999999</v>
      </c>
      <c r="BG412" s="28">
        <f t="shared" si="44"/>
        <v>30.976902789213955</v>
      </c>
      <c r="BH412" t="e">
        <f t="shared" si="45"/>
        <v>#N/A</v>
      </c>
      <c r="BI412" t="e">
        <f t="shared" si="46"/>
        <v>#N/A</v>
      </c>
      <c r="BJ412">
        <v>10</v>
      </c>
    </row>
    <row r="413" spans="3:62" x14ac:dyDescent="0.3">
      <c r="C413">
        <v>14</v>
      </c>
      <c r="D413" s="36">
        <v>27.78</v>
      </c>
      <c r="K413" s="14">
        <f t="shared" si="43"/>
        <v>1E-3</v>
      </c>
      <c r="L413" s="14"/>
      <c r="O413" s="14">
        <f t="shared" si="41"/>
        <v>4.7156372549026095E-4</v>
      </c>
      <c r="P413" s="14">
        <f t="shared" si="42"/>
        <v>7.8587786259546764E-4</v>
      </c>
      <c r="BF413">
        <v>15.6099999999999</v>
      </c>
      <c r="BG413" s="28">
        <f t="shared" si="44"/>
        <v>30.99715927899323</v>
      </c>
      <c r="BH413" t="e">
        <f t="shared" si="45"/>
        <v>#N/A</v>
      </c>
      <c r="BI413" t="e">
        <f t="shared" si="46"/>
        <v>#N/A</v>
      </c>
      <c r="BJ413">
        <v>10</v>
      </c>
    </row>
    <row r="414" spans="3:62" x14ac:dyDescent="0.3">
      <c r="C414">
        <v>15</v>
      </c>
      <c r="D414" s="36">
        <v>34.93</v>
      </c>
      <c r="K414" s="14">
        <f t="shared" si="43"/>
        <v>1E-3</v>
      </c>
      <c r="L414" s="14"/>
      <c r="O414" s="14">
        <f t="shared" si="41"/>
        <v>4.0000000000000002E-4</v>
      </c>
      <c r="P414" s="14">
        <f t="shared" si="42"/>
        <v>1E-4</v>
      </c>
      <c r="BF414">
        <v>15.6199999999999</v>
      </c>
      <c r="BG414" s="28">
        <f t="shared" si="44"/>
        <v>31.017415768772508</v>
      </c>
      <c r="BH414" t="e">
        <f t="shared" si="45"/>
        <v>#N/A</v>
      </c>
      <c r="BI414" t="e">
        <f t="shared" si="46"/>
        <v>#N/A</v>
      </c>
      <c r="BJ414">
        <v>10</v>
      </c>
    </row>
    <row r="415" spans="3:62" x14ac:dyDescent="0.3">
      <c r="C415">
        <v>12</v>
      </c>
      <c r="D415" s="36">
        <v>20.37</v>
      </c>
      <c r="K415" s="14">
        <f t="shared" si="43"/>
        <v>1E-3</v>
      </c>
      <c r="L415" s="14"/>
      <c r="O415" s="14">
        <f t="shared" si="41"/>
        <v>3.0000000000000001E-3</v>
      </c>
      <c r="P415" s="14">
        <f t="shared" si="42"/>
        <v>1.5E-3</v>
      </c>
      <c r="BF415">
        <v>15.6299999999999</v>
      </c>
      <c r="BG415" s="28">
        <f t="shared" si="44"/>
        <v>31.037672258551787</v>
      </c>
      <c r="BH415" t="e">
        <f t="shared" si="45"/>
        <v>#N/A</v>
      </c>
      <c r="BI415" t="e">
        <f t="shared" si="46"/>
        <v>#N/A</v>
      </c>
      <c r="BJ415">
        <v>10</v>
      </c>
    </row>
    <row r="416" spans="3:62" x14ac:dyDescent="0.3">
      <c r="C416">
        <v>16</v>
      </c>
      <c r="D416" s="36">
        <v>31.9</v>
      </c>
      <c r="K416" s="14">
        <f t="shared" si="43"/>
        <v>1E-3</v>
      </c>
      <c r="L416" s="14"/>
      <c r="O416" s="14">
        <f t="shared" si="41"/>
        <v>2.0000000000000001E-4</v>
      </c>
      <c r="P416" s="14">
        <f t="shared" si="42"/>
        <v>4.0000000000000002E-4</v>
      </c>
      <c r="BF416">
        <v>15.639999999999899</v>
      </c>
      <c r="BG416" s="28">
        <f t="shared" si="44"/>
        <v>31.057928748331062</v>
      </c>
      <c r="BH416" t="e">
        <f t="shared" si="45"/>
        <v>#N/A</v>
      </c>
      <c r="BI416" t="e">
        <f t="shared" si="46"/>
        <v>#N/A</v>
      </c>
      <c r="BJ416">
        <v>10</v>
      </c>
    </row>
    <row r="417" spans="3:62" x14ac:dyDescent="0.3">
      <c r="C417">
        <v>12</v>
      </c>
      <c r="D417" s="36">
        <v>27.02</v>
      </c>
      <c r="K417" s="14">
        <f t="shared" si="43"/>
        <v>1E-3</v>
      </c>
      <c r="L417" s="14"/>
      <c r="O417" s="14">
        <f t="shared" si="41"/>
        <v>3.0000000000000001E-3</v>
      </c>
      <c r="P417" s="14">
        <f t="shared" si="42"/>
        <v>7.8587786259546764E-4</v>
      </c>
      <c r="BF417">
        <v>15.649999999999901</v>
      </c>
      <c r="BG417" s="28">
        <f t="shared" si="44"/>
        <v>31.078185238110343</v>
      </c>
      <c r="BH417" t="e">
        <f t="shared" si="45"/>
        <v>#N/A</v>
      </c>
      <c r="BI417" t="e">
        <f t="shared" si="46"/>
        <v>#N/A</v>
      </c>
      <c r="BJ417">
        <v>10</v>
      </c>
    </row>
    <row r="418" spans="3:62" x14ac:dyDescent="0.3">
      <c r="C418">
        <v>14</v>
      </c>
      <c r="D418" s="36">
        <v>19.690000000000001</v>
      </c>
      <c r="K418" s="14">
        <f t="shared" si="43"/>
        <v>1E-3</v>
      </c>
      <c r="L418" s="14"/>
      <c r="O418" s="14">
        <f t="shared" si="41"/>
        <v>4.7156372549026095E-4</v>
      </c>
      <c r="P418" s="14">
        <f t="shared" si="42"/>
        <v>5.0000000000000001E-3</v>
      </c>
      <c r="BF418">
        <v>15.659999999999901</v>
      </c>
      <c r="BG418" s="28">
        <f t="shared" si="44"/>
        <v>31.098441727889622</v>
      </c>
      <c r="BH418" t="e">
        <f t="shared" si="45"/>
        <v>#N/A</v>
      </c>
      <c r="BI418" t="e">
        <f t="shared" si="46"/>
        <v>#N/A</v>
      </c>
      <c r="BJ418">
        <v>10</v>
      </c>
    </row>
    <row r="419" spans="3:62" x14ac:dyDescent="0.3">
      <c r="C419">
        <v>13</v>
      </c>
      <c r="D419" s="36">
        <v>15.76</v>
      </c>
      <c r="K419" s="14">
        <f t="shared" si="43"/>
        <v>1E-3</v>
      </c>
      <c r="L419" s="14"/>
      <c r="O419" s="14">
        <f t="shared" si="41"/>
        <v>1E-3</v>
      </c>
      <c r="P419" s="14">
        <f t="shared" si="42"/>
        <v>5.0000000000000001E-3</v>
      </c>
      <c r="BF419">
        <v>15.6699999999999</v>
      </c>
      <c r="BG419" s="28">
        <f t="shared" si="44"/>
        <v>31.118698217668896</v>
      </c>
      <c r="BH419" t="e">
        <f t="shared" si="45"/>
        <v>#N/A</v>
      </c>
      <c r="BI419" t="e">
        <f t="shared" si="46"/>
        <v>#N/A</v>
      </c>
      <c r="BJ419">
        <v>10</v>
      </c>
    </row>
    <row r="420" spans="3:62" x14ac:dyDescent="0.3">
      <c r="C420">
        <v>12</v>
      </c>
      <c r="D420" s="36">
        <v>26.74</v>
      </c>
      <c r="K420" s="14">
        <f t="shared" si="43"/>
        <v>1E-3</v>
      </c>
      <c r="L420" s="14"/>
      <c r="O420" s="14">
        <f t="shared" si="41"/>
        <v>3.0000000000000001E-3</v>
      </c>
      <c r="P420" s="14">
        <f t="shared" si="42"/>
        <v>7.8587786259546764E-4</v>
      </c>
      <c r="BF420">
        <v>15.6799999999999</v>
      </c>
      <c r="BG420" s="28">
        <f t="shared" si="44"/>
        <v>31.138954707448175</v>
      </c>
      <c r="BH420" t="e">
        <f t="shared" si="45"/>
        <v>#N/A</v>
      </c>
      <c r="BI420" t="e">
        <f t="shared" si="46"/>
        <v>#N/A</v>
      </c>
      <c r="BJ420">
        <v>10</v>
      </c>
    </row>
    <row r="421" spans="3:62" x14ac:dyDescent="0.3">
      <c r="C421">
        <v>13</v>
      </c>
      <c r="D421" s="36">
        <v>24.1</v>
      </c>
      <c r="K421" s="14">
        <f t="shared" si="43"/>
        <v>1E-3</v>
      </c>
      <c r="L421" s="14"/>
      <c r="O421" s="14">
        <f t="shared" si="41"/>
        <v>1E-3</v>
      </c>
      <c r="P421" s="14">
        <f t="shared" si="42"/>
        <v>7.8587786259546764E-4</v>
      </c>
      <c r="BF421">
        <v>15.6899999999999</v>
      </c>
      <c r="BG421" s="28">
        <f t="shared" si="44"/>
        <v>31.159211197227453</v>
      </c>
      <c r="BH421" t="e">
        <f t="shared" si="45"/>
        <v>#N/A</v>
      </c>
      <c r="BI421" t="e">
        <f t="shared" si="46"/>
        <v>#N/A</v>
      </c>
      <c r="BJ421">
        <v>10</v>
      </c>
    </row>
    <row r="422" spans="3:62" x14ac:dyDescent="0.3">
      <c r="C422">
        <v>16</v>
      </c>
      <c r="D422" s="36">
        <v>32.93</v>
      </c>
      <c r="K422" s="14">
        <f t="shared" si="43"/>
        <v>1E-3</v>
      </c>
      <c r="L422" s="14"/>
      <c r="O422" s="14">
        <f t="shared" si="41"/>
        <v>2.0000000000000001E-4</v>
      </c>
      <c r="P422" s="14">
        <f t="shared" si="42"/>
        <v>1E-4</v>
      </c>
      <c r="BF422">
        <v>15.6999999999999</v>
      </c>
      <c r="BG422" s="28">
        <f t="shared" si="44"/>
        <v>31.179467687006728</v>
      </c>
      <c r="BH422" t="e">
        <f t="shared" si="45"/>
        <v>#N/A</v>
      </c>
      <c r="BI422" t="e">
        <f t="shared" si="46"/>
        <v>#N/A</v>
      </c>
      <c r="BJ422">
        <v>10</v>
      </c>
    </row>
    <row r="423" spans="3:62" x14ac:dyDescent="0.3">
      <c r="C423">
        <v>13</v>
      </c>
      <c r="D423" s="36">
        <v>32.020000000000003</v>
      </c>
      <c r="K423" s="14">
        <f t="shared" si="43"/>
        <v>1E-3</v>
      </c>
      <c r="L423" s="14"/>
      <c r="O423" s="14">
        <f t="shared" si="41"/>
        <v>1E-3</v>
      </c>
      <c r="P423" s="14">
        <f t="shared" si="42"/>
        <v>1E-4</v>
      </c>
      <c r="BF423">
        <v>15.7099999999999</v>
      </c>
      <c r="BG423" s="28">
        <f t="shared" si="44"/>
        <v>31.199724176786006</v>
      </c>
      <c r="BH423" t="e">
        <f t="shared" si="45"/>
        <v>#N/A</v>
      </c>
      <c r="BI423" t="e">
        <f t="shared" si="46"/>
        <v>#N/A</v>
      </c>
      <c r="BJ423">
        <v>10</v>
      </c>
    </row>
    <row r="424" spans="3:62" x14ac:dyDescent="0.3">
      <c r="C424">
        <v>14</v>
      </c>
      <c r="D424" s="36">
        <v>30.39</v>
      </c>
      <c r="K424" s="14">
        <f t="shared" si="43"/>
        <v>1E-3</v>
      </c>
      <c r="L424" s="14"/>
      <c r="O424" s="14">
        <f t="shared" si="41"/>
        <v>4.7156372549026095E-4</v>
      </c>
      <c r="P424" s="14">
        <f t="shared" si="42"/>
        <v>4.0000000000000002E-4</v>
      </c>
      <c r="BF424">
        <v>15.719999999999899</v>
      </c>
      <c r="BG424" s="28">
        <f t="shared" si="44"/>
        <v>31.219980666565284</v>
      </c>
      <c r="BH424" t="e">
        <f t="shared" si="45"/>
        <v>#N/A</v>
      </c>
      <c r="BI424" t="e">
        <f t="shared" si="46"/>
        <v>#N/A</v>
      </c>
      <c r="BJ424">
        <v>10</v>
      </c>
    </row>
    <row r="425" spans="3:62" x14ac:dyDescent="0.3">
      <c r="C425">
        <v>16</v>
      </c>
      <c r="D425" s="36">
        <v>32.630000000000003</v>
      </c>
      <c r="K425" s="14">
        <f t="shared" si="43"/>
        <v>1E-3</v>
      </c>
      <c r="L425" s="14"/>
      <c r="O425" s="14">
        <f t="shared" si="41"/>
        <v>2.0000000000000001E-4</v>
      </c>
      <c r="P425" s="14">
        <f t="shared" si="42"/>
        <v>1E-4</v>
      </c>
      <c r="BF425">
        <v>15.729999999999899</v>
      </c>
      <c r="BG425" s="28">
        <f t="shared" si="44"/>
        <v>31.240237156344559</v>
      </c>
      <c r="BH425" t="e">
        <f t="shared" si="45"/>
        <v>#N/A</v>
      </c>
      <c r="BI425" t="e">
        <f t="shared" si="46"/>
        <v>#N/A</v>
      </c>
      <c r="BJ425">
        <v>10</v>
      </c>
    </row>
    <row r="426" spans="3:62" x14ac:dyDescent="0.3">
      <c r="C426">
        <v>12</v>
      </c>
      <c r="D426" s="36">
        <v>25.97</v>
      </c>
      <c r="K426" s="14">
        <f t="shared" si="43"/>
        <v>1E-3</v>
      </c>
      <c r="L426" s="14"/>
      <c r="O426" s="14">
        <f t="shared" si="41"/>
        <v>3.0000000000000001E-3</v>
      </c>
      <c r="P426" s="14">
        <f t="shared" si="42"/>
        <v>7.8587786259546764E-4</v>
      </c>
      <c r="BF426">
        <v>15.739999999999901</v>
      </c>
      <c r="BG426" s="28">
        <f t="shared" si="44"/>
        <v>31.260493646123841</v>
      </c>
      <c r="BH426" t="e">
        <f t="shared" si="45"/>
        <v>#N/A</v>
      </c>
      <c r="BI426" t="e">
        <f t="shared" si="46"/>
        <v>#N/A</v>
      </c>
      <c r="BJ426">
        <v>10</v>
      </c>
    </row>
    <row r="427" spans="3:62" x14ac:dyDescent="0.3">
      <c r="C427">
        <v>12</v>
      </c>
      <c r="D427" s="36">
        <v>17.48</v>
      </c>
      <c r="K427" s="14">
        <f t="shared" si="43"/>
        <v>1E-3</v>
      </c>
      <c r="L427" s="14"/>
      <c r="O427" s="14">
        <f t="shared" si="41"/>
        <v>3.0000000000000001E-3</v>
      </c>
      <c r="P427" s="14">
        <f t="shared" si="42"/>
        <v>5.0000000000000001E-3</v>
      </c>
      <c r="BF427">
        <v>15.749999999999901</v>
      </c>
      <c r="BG427" s="28">
        <f t="shared" si="44"/>
        <v>31.280750135903119</v>
      </c>
      <c r="BH427" t="e">
        <f t="shared" si="45"/>
        <v>#N/A</v>
      </c>
      <c r="BI427" t="e">
        <f t="shared" si="46"/>
        <v>#N/A</v>
      </c>
      <c r="BJ427">
        <v>10</v>
      </c>
    </row>
    <row r="428" spans="3:62" x14ac:dyDescent="0.3">
      <c r="C428">
        <v>14</v>
      </c>
      <c r="D428" s="36">
        <v>32.21</v>
      </c>
      <c r="K428" s="14">
        <f t="shared" si="43"/>
        <v>1E-3</v>
      </c>
      <c r="L428" s="14"/>
      <c r="O428" s="14">
        <f t="shared" si="41"/>
        <v>4.7156372549026095E-4</v>
      </c>
      <c r="P428" s="14">
        <f t="shared" si="42"/>
        <v>1E-4</v>
      </c>
      <c r="BF428">
        <v>15.7599999999999</v>
      </c>
      <c r="BG428" s="28">
        <f t="shared" si="44"/>
        <v>31.301006625682394</v>
      </c>
      <c r="BH428" t="e">
        <f t="shared" si="45"/>
        <v>#N/A</v>
      </c>
      <c r="BI428" t="e">
        <f t="shared" si="46"/>
        <v>#N/A</v>
      </c>
      <c r="BJ428">
        <v>10</v>
      </c>
    </row>
    <row r="429" spans="3:62" x14ac:dyDescent="0.3">
      <c r="C429">
        <v>14</v>
      </c>
      <c r="D429" s="36">
        <v>30.35</v>
      </c>
      <c r="K429" s="14">
        <f t="shared" si="43"/>
        <v>1E-3</v>
      </c>
      <c r="L429" s="14"/>
      <c r="O429" s="14">
        <f t="shared" si="41"/>
        <v>4.7156372549026095E-4</v>
      </c>
      <c r="P429" s="14">
        <f t="shared" si="42"/>
        <v>4.0000000000000002E-4</v>
      </c>
      <c r="BF429">
        <v>15.7699999999999</v>
      </c>
      <c r="BG429" s="28">
        <f t="shared" si="44"/>
        <v>31.321263115461672</v>
      </c>
      <c r="BH429" t="e">
        <f t="shared" si="45"/>
        <v>#N/A</v>
      </c>
      <c r="BI429" t="e">
        <f t="shared" si="46"/>
        <v>#N/A</v>
      </c>
      <c r="BJ429">
        <v>10</v>
      </c>
    </row>
    <row r="430" spans="3:62" x14ac:dyDescent="0.3">
      <c r="C430">
        <v>14</v>
      </c>
      <c r="D430" s="36">
        <v>23.22</v>
      </c>
      <c r="K430" s="14">
        <f t="shared" si="43"/>
        <v>1E-3</v>
      </c>
      <c r="L430" s="14"/>
      <c r="O430" s="14">
        <f t="shared" si="41"/>
        <v>4.7156372549026095E-4</v>
      </c>
      <c r="P430" s="14">
        <f t="shared" si="42"/>
        <v>1.5E-3</v>
      </c>
      <c r="BF430">
        <v>15.7799999999999</v>
      </c>
      <c r="BG430" s="28">
        <f t="shared" si="44"/>
        <v>31.341519605240951</v>
      </c>
      <c r="BH430" t="e">
        <f t="shared" si="45"/>
        <v>#N/A</v>
      </c>
      <c r="BI430" t="e">
        <f t="shared" si="46"/>
        <v>#N/A</v>
      </c>
      <c r="BJ430">
        <v>10</v>
      </c>
    </row>
    <row r="431" spans="3:62" x14ac:dyDescent="0.3">
      <c r="C431">
        <v>16</v>
      </c>
      <c r="D431" s="36">
        <v>34.020000000000003</v>
      </c>
      <c r="K431" s="14">
        <f t="shared" si="43"/>
        <v>1E-3</v>
      </c>
      <c r="L431" s="14"/>
      <c r="O431" s="14">
        <f t="shared" si="41"/>
        <v>2.0000000000000001E-4</v>
      </c>
      <c r="P431" s="14">
        <f t="shared" si="42"/>
        <v>1E-4</v>
      </c>
      <c r="BF431">
        <v>15.7899999999999</v>
      </c>
      <c r="BG431" s="28">
        <f t="shared" si="44"/>
        <v>31.361776095020225</v>
      </c>
      <c r="BH431" t="e">
        <f t="shared" si="45"/>
        <v>#N/A</v>
      </c>
      <c r="BI431" t="e">
        <f t="shared" si="46"/>
        <v>#N/A</v>
      </c>
      <c r="BJ431">
        <v>10</v>
      </c>
    </row>
    <row r="432" spans="3:62" x14ac:dyDescent="0.3">
      <c r="C432">
        <v>13</v>
      </c>
      <c r="D432" s="36">
        <v>21.54</v>
      </c>
      <c r="K432" s="14">
        <f t="shared" si="43"/>
        <v>1E-3</v>
      </c>
      <c r="L432" s="14"/>
      <c r="O432" s="14">
        <f t="shared" si="41"/>
        <v>1E-3</v>
      </c>
      <c r="P432" s="14">
        <f t="shared" si="42"/>
        <v>1.5E-3</v>
      </c>
      <c r="BF432">
        <v>15.799999999999899</v>
      </c>
      <c r="BG432" s="28">
        <f t="shared" si="44"/>
        <v>31.382032584799507</v>
      </c>
      <c r="BH432" t="e">
        <f t="shared" si="45"/>
        <v>#N/A</v>
      </c>
      <c r="BI432" t="e">
        <f t="shared" si="46"/>
        <v>#N/A</v>
      </c>
      <c r="BJ432">
        <v>10</v>
      </c>
    </row>
    <row r="433" spans="3:62" x14ac:dyDescent="0.3">
      <c r="C433">
        <v>14</v>
      </c>
      <c r="D433" s="36">
        <v>34.25</v>
      </c>
      <c r="K433" s="14">
        <f t="shared" si="43"/>
        <v>1E-3</v>
      </c>
      <c r="L433" s="14"/>
      <c r="O433" s="14">
        <f t="shared" si="41"/>
        <v>4.7156372549026095E-4</v>
      </c>
      <c r="P433" s="14">
        <f t="shared" si="42"/>
        <v>1E-4</v>
      </c>
      <c r="BF433">
        <v>15.809999999999899</v>
      </c>
      <c r="BG433" s="28">
        <f t="shared" si="44"/>
        <v>31.402289074578778</v>
      </c>
      <c r="BH433" t="e">
        <f t="shared" si="45"/>
        <v>#N/A</v>
      </c>
      <c r="BI433" t="e">
        <f t="shared" si="46"/>
        <v>#N/A</v>
      </c>
      <c r="BJ433">
        <v>10</v>
      </c>
    </row>
    <row r="434" spans="3:62" x14ac:dyDescent="0.3">
      <c r="C434">
        <v>13</v>
      </c>
      <c r="D434" s="36">
        <v>33.89</v>
      </c>
      <c r="K434" s="14">
        <f t="shared" si="43"/>
        <v>1E-3</v>
      </c>
      <c r="L434" s="14"/>
      <c r="O434" s="14">
        <f t="shared" si="41"/>
        <v>1E-3</v>
      </c>
      <c r="P434" s="14">
        <f t="shared" si="42"/>
        <v>1E-4</v>
      </c>
      <c r="BF434">
        <v>15.819999999999901</v>
      </c>
      <c r="BG434" s="28">
        <f t="shared" si="44"/>
        <v>31.422545564358064</v>
      </c>
      <c r="BH434" t="e">
        <f t="shared" si="45"/>
        <v>#N/A</v>
      </c>
      <c r="BI434" t="e">
        <f t="shared" si="46"/>
        <v>#N/A</v>
      </c>
      <c r="BJ434">
        <v>10</v>
      </c>
    </row>
    <row r="435" spans="3:62" x14ac:dyDescent="0.3">
      <c r="C435">
        <v>14</v>
      </c>
      <c r="D435" s="36">
        <v>25.42</v>
      </c>
      <c r="K435" s="14">
        <f t="shared" si="43"/>
        <v>1E-3</v>
      </c>
      <c r="L435" s="14"/>
      <c r="O435" s="14">
        <f t="shared" si="41"/>
        <v>4.7156372549026095E-4</v>
      </c>
      <c r="P435" s="14">
        <f t="shared" si="42"/>
        <v>7.8587786259546764E-4</v>
      </c>
      <c r="BF435">
        <v>15.829999999999901</v>
      </c>
      <c r="BG435" s="28">
        <f t="shared" si="44"/>
        <v>31.442802054137342</v>
      </c>
      <c r="BH435" t="e">
        <f t="shared" si="45"/>
        <v>#N/A</v>
      </c>
      <c r="BI435" t="e">
        <f t="shared" si="46"/>
        <v>#N/A</v>
      </c>
      <c r="BJ435">
        <v>10</v>
      </c>
    </row>
    <row r="436" spans="3:62" x14ac:dyDescent="0.3">
      <c r="C436">
        <v>12</v>
      </c>
      <c r="D436" s="36">
        <v>22.63</v>
      </c>
      <c r="K436" s="14">
        <f t="shared" si="43"/>
        <v>1E-3</v>
      </c>
      <c r="L436" s="14"/>
      <c r="O436" s="14">
        <f t="shared" si="41"/>
        <v>3.0000000000000001E-3</v>
      </c>
      <c r="P436" s="14">
        <f t="shared" si="42"/>
        <v>1.5E-3</v>
      </c>
      <c r="BF436">
        <v>15.8399999999999</v>
      </c>
      <c r="BG436" s="28">
        <f t="shared" si="44"/>
        <v>31.463058543916613</v>
      </c>
      <c r="BH436" t="e">
        <f t="shared" si="45"/>
        <v>#N/A</v>
      </c>
      <c r="BI436" t="e">
        <f t="shared" si="46"/>
        <v>#N/A</v>
      </c>
      <c r="BJ436">
        <v>10</v>
      </c>
    </row>
    <row r="437" spans="3:62" x14ac:dyDescent="0.3">
      <c r="C437">
        <v>16</v>
      </c>
      <c r="D437" s="36">
        <v>31.11</v>
      </c>
      <c r="K437" s="14">
        <f t="shared" si="43"/>
        <v>1E-3</v>
      </c>
      <c r="L437" s="14"/>
      <c r="O437" s="14">
        <f t="shared" si="41"/>
        <v>2.0000000000000001E-4</v>
      </c>
      <c r="P437" s="14">
        <f t="shared" si="42"/>
        <v>4.0000000000000002E-4</v>
      </c>
      <c r="BF437">
        <v>15.8499999999999</v>
      </c>
      <c r="BG437" s="28">
        <f t="shared" si="44"/>
        <v>31.483315033695892</v>
      </c>
      <c r="BH437" t="e">
        <f t="shared" si="45"/>
        <v>#N/A</v>
      </c>
      <c r="BI437" t="e">
        <f t="shared" si="46"/>
        <v>#N/A</v>
      </c>
      <c r="BJ437">
        <v>10</v>
      </c>
    </row>
    <row r="438" spans="3:62" x14ac:dyDescent="0.3">
      <c r="C438">
        <v>12</v>
      </c>
      <c r="D438" s="36">
        <v>31.46</v>
      </c>
      <c r="K438" s="14">
        <f t="shared" si="43"/>
        <v>1E-3</v>
      </c>
      <c r="L438" s="14"/>
      <c r="O438" s="14">
        <f t="shared" si="41"/>
        <v>3.0000000000000001E-3</v>
      </c>
      <c r="P438" s="14">
        <f t="shared" si="42"/>
        <v>4.0000000000000002E-4</v>
      </c>
      <c r="BF438">
        <v>15.8599999999999</v>
      </c>
      <c r="BG438" s="28">
        <f t="shared" si="44"/>
        <v>31.50357152347517</v>
      </c>
      <c r="BH438" t="e">
        <f t="shared" si="45"/>
        <v>#N/A</v>
      </c>
      <c r="BI438" t="e">
        <f t="shared" si="46"/>
        <v>#N/A</v>
      </c>
      <c r="BJ438">
        <v>10</v>
      </c>
    </row>
    <row r="439" spans="3:62" x14ac:dyDescent="0.3">
      <c r="C439">
        <v>12</v>
      </c>
      <c r="D439" s="36">
        <v>29.23</v>
      </c>
      <c r="K439" s="14">
        <f t="shared" si="43"/>
        <v>1E-3</v>
      </c>
      <c r="L439" s="14"/>
      <c r="O439" s="14">
        <f t="shared" si="41"/>
        <v>3.0000000000000001E-3</v>
      </c>
      <c r="P439" s="14">
        <f t="shared" si="42"/>
        <v>4.0000000000000002E-4</v>
      </c>
      <c r="BF439">
        <v>15.8699999999999</v>
      </c>
      <c r="BG439" s="28">
        <f t="shared" si="44"/>
        <v>31.523828013254448</v>
      </c>
      <c r="BH439" t="e">
        <f t="shared" si="45"/>
        <v>#N/A</v>
      </c>
      <c r="BI439" t="e">
        <f t="shared" si="46"/>
        <v>#N/A</v>
      </c>
      <c r="BJ439">
        <v>10</v>
      </c>
    </row>
    <row r="440" spans="3:62" x14ac:dyDescent="0.3">
      <c r="C440">
        <v>14</v>
      </c>
      <c r="D440" s="36">
        <v>25.12</v>
      </c>
      <c r="K440" s="14">
        <f t="shared" si="43"/>
        <v>1E-3</v>
      </c>
      <c r="L440" s="14"/>
      <c r="O440" s="14">
        <f t="shared" si="41"/>
        <v>4.7156372549026095E-4</v>
      </c>
      <c r="P440" s="14">
        <f t="shared" si="42"/>
        <v>7.8587786259546764E-4</v>
      </c>
      <c r="BF440">
        <v>15.8799999999999</v>
      </c>
      <c r="BG440" s="28">
        <f t="shared" si="44"/>
        <v>31.544084503033726</v>
      </c>
      <c r="BH440" t="e">
        <f t="shared" si="45"/>
        <v>#N/A</v>
      </c>
      <c r="BI440" t="e">
        <f t="shared" si="46"/>
        <v>#N/A</v>
      </c>
      <c r="BJ440">
        <v>10</v>
      </c>
    </row>
    <row r="441" spans="3:62" x14ac:dyDescent="0.3">
      <c r="C441">
        <v>14</v>
      </c>
      <c r="D441" s="36">
        <v>30.46</v>
      </c>
      <c r="K441" s="14">
        <f t="shared" si="43"/>
        <v>1E-3</v>
      </c>
      <c r="L441" s="14"/>
      <c r="O441" s="14">
        <f t="shared" si="41"/>
        <v>4.7156372549026095E-4</v>
      </c>
      <c r="P441" s="14">
        <f t="shared" si="42"/>
        <v>4.0000000000000002E-4</v>
      </c>
      <c r="BF441">
        <v>15.889999999999899</v>
      </c>
      <c r="BG441" s="28">
        <f t="shared" si="44"/>
        <v>31.564340992812998</v>
      </c>
      <c r="BH441" t="e">
        <f t="shared" si="45"/>
        <v>#N/A</v>
      </c>
      <c r="BI441" t="e">
        <f t="shared" si="46"/>
        <v>#N/A</v>
      </c>
      <c r="BJ441">
        <v>10</v>
      </c>
    </row>
    <row r="442" spans="3:62" x14ac:dyDescent="0.3">
      <c r="C442">
        <v>15</v>
      </c>
      <c r="D442" s="36">
        <v>29.63</v>
      </c>
      <c r="K442" s="14">
        <f t="shared" si="43"/>
        <v>1E-3</v>
      </c>
      <c r="L442" s="14"/>
      <c r="O442" s="14">
        <f t="shared" si="41"/>
        <v>4.0000000000000002E-4</v>
      </c>
      <c r="P442" s="14">
        <f t="shared" si="42"/>
        <v>4.0000000000000002E-4</v>
      </c>
      <c r="BF442">
        <v>15.899999999999901</v>
      </c>
      <c r="BG442" s="28">
        <f t="shared" si="44"/>
        <v>31.584597482592283</v>
      </c>
      <c r="BH442" t="e">
        <f t="shared" si="45"/>
        <v>#N/A</v>
      </c>
      <c r="BI442" t="e">
        <f t="shared" si="46"/>
        <v>#N/A</v>
      </c>
      <c r="BJ442">
        <v>10</v>
      </c>
    </row>
    <row r="443" spans="3:62" x14ac:dyDescent="0.3">
      <c r="C443">
        <v>12</v>
      </c>
      <c r="D443" s="36">
        <v>24.37</v>
      </c>
      <c r="K443" s="14">
        <f t="shared" si="43"/>
        <v>1E-3</v>
      </c>
      <c r="L443" s="14"/>
      <c r="O443" s="14">
        <f t="shared" si="41"/>
        <v>3.0000000000000001E-3</v>
      </c>
      <c r="P443" s="14">
        <f t="shared" si="42"/>
        <v>7.8587786259546764E-4</v>
      </c>
      <c r="BF443">
        <v>15.909999999999901</v>
      </c>
      <c r="BG443" s="28">
        <f t="shared" si="44"/>
        <v>31.604853972371561</v>
      </c>
      <c r="BH443" t="e">
        <f t="shared" si="45"/>
        <v>#N/A</v>
      </c>
      <c r="BI443" t="e">
        <f t="shared" si="46"/>
        <v>#N/A</v>
      </c>
      <c r="BJ443">
        <v>10</v>
      </c>
    </row>
    <row r="444" spans="3:62" x14ac:dyDescent="0.3">
      <c r="C444">
        <v>14</v>
      </c>
      <c r="D444" s="36">
        <v>30.53</v>
      </c>
      <c r="K444" s="14">
        <f t="shared" si="43"/>
        <v>1E-3</v>
      </c>
      <c r="L444" s="14"/>
      <c r="O444" s="14">
        <f t="shared" si="41"/>
        <v>4.7156372549026095E-4</v>
      </c>
      <c r="P444" s="14">
        <f t="shared" si="42"/>
        <v>4.0000000000000002E-4</v>
      </c>
      <c r="BF444">
        <v>15.9199999999999</v>
      </c>
      <c r="BG444" s="28">
        <f t="shared" si="44"/>
        <v>31.625110462150833</v>
      </c>
      <c r="BH444" t="e">
        <f t="shared" si="45"/>
        <v>#N/A</v>
      </c>
      <c r="BI444" t="e">
        <f t="shared" si="46"/>
        <v>#N/A</v>
      </c>
      <c r="BJ444">
        <v>10</v>
      </c>
    </row>
    <row r="445" spans="3:62" x14ac:dyDescent="0.3">
      <c r="C445">
        <v>13</v>
      </c>
      <c r="D445" s="36">
        <v>24.13</v>
      </c>
      <c r="K445" s="14">
        <f t="shared" si="43"/>
        <v>1E-3</v>
      </c>
      <c r="L445" s="14"/>
      <c r="O445" s="14">
        <f t="shared" si="41"/>
        <v>1E-3</v>
      </c>
      <c r="P445" s="14">
        <f t="shared" si="42"/>
        <v>7.8587786259546764E-4</v>
      </c>
      <c r="BF445">
        <v>15.9299999999999</v>
      </c>
      <c r="BG445" s="28">
        <f t="shared" si="44"/>
        <v>31.645366951930111</v>
      </c>
      <c r="BH445" t="e">
        <f t="shared" si="45"/>
        <v>#N/A</v>
      </c>
      <c r="BI445" t="e">
        <f t="shared" si="46"/>
        <v>#N/A</v>
      </c>
      <c r="BJ445">
        <v>10</v>
      </c>
    </row>
    <row r="446" spans="3:62" x14ac:dyDescent="0.3">
      <c r="C446">
        <v>15</v>
      </c>
      <c r="D446" s="36">
        <v>36.340000000000003</v>
      </c>
      <c r="K446" s="14">
        <f t="shared" si="43"/>
        <v>1E-3</v>
      </c>
      <c r="L446" s="14"/>
      <c r="O446" s="14">
        <f t="shared" si="41"/>
        <v>4.0000000000000002E-4</v>
      </c>
      <c r="P446" s="14">
        <f t="shared" si="42"/>
        <v>1E-4</v>
      </c>
      <c r="BF446">
        <v>15.9399999999999</v>
      </c>
      <c r="BG446" s="28">
        <f t="shared" si="44"/>
        <v>31.665623441709389</v>
      </c>
      <c r="BH446" t="e">
        <f t="shared" si="45"/>
        <v>#N/A</v>
      </c>
      <c r="BI446" t="e">
        <f t="shared" si="46"/>
        <v>#N/A</v>
      </c>
      <c r="BJ446">
        <v>10</v>
      </c>
    </row>
    <row r="447" spans="3:62" x14ac:dyDescent="0.3">
      <c r="C447">
        <v>12</v>
      </c>
      <c r="D447" s="36">
        <v>29.51</v>
      </c>
      <c r="K447" s="14">
        <f t="shared" si="43"/>
        <v>1E-3</v>
      </c>
      <c r="L447" s="14"/>
      <c r="O447" s="14">
        <f t="shared" si="41"/>
        <v>3.0000000000000001E-3</v>
      </c>
      <c r="P447" s="14">
        <f t="shared" si="42"/>
        <v>4.0000000000000002E-4</v>
      </c>
      <c r="BF447">
        <v>15.9499999999999</v>
      </c>
      <c r="BG447" s="28">
        <f t="shared" si="44"/>
        <v>31.685879931488667</v>
      </c>
      <c r="BH447" t="e">
        <f t="shared" si="45"/>
        <v>#N/A</v>
      </c>
      <c r="BI447" t="e">
        <f t="shared" si="46"/>
        <v>#N/A</v>
      </c>
      <c r="BJ447">
        <v>10</v>
      </c>
    </row>
    <row r="448" spans="3:62" x14ac:dyDescent="0.3">
      <c r="C448">
        <v>16</v>
      </c>
      <c r="D448" s="36">
        <v>36.58</v>
      </c>
      <c r="K448" s="14">
        <f t="shared" si="43"/>
        <v>1E-3</v>
      </c>
      <c r="L448" s="14"/>
      <c r="O448" s="14">
        <f t="shared" si="41"/>
        <v>2.0000000000000001E-4</v>
      </c>
      <c r="P448" s="14">
        <f t="shared" si="42"/>
        <v>1E-4</v>
      </c>
      <c r="BF448">
        <v>15.9599999999999</v>
      </c>
      <c r="BG448" s="28">
        <f t="shared" si="44"/>
        <v>31.706136421267946</v>
      </c>
      <c r="BH448" t="e">
        <f t="shared" si="45"/>
        <v>#N/A</v>
      </c>
      <c r="BI448" t="e">
        <f t="shared" si="46"/>
        <v>#N/A</v>
      </c>
      <c r="BJ448">
        <v>10</v>
      </c>
    </row>
    <row r="449" spans="3:62" x14ac:dyDescent="0.3">
      <c r="C449">
        <v>15</v>
      </c>
      <c r="D449" s="36">
        <v>28.32</v>
      </c>
      <c r="K449" s="14">
        <f t="shared" si="43"/>
        <v>1E-3</v>
      </c>
      <c r="L449" s="14"/>
      <c r="O449" s="14">
        <f t="shared" si="41"/>
        <v>4.0000000000000002E-4</v>
      </c>
      <c r="P449" s="14">
        <f t="shared" si="42"/>
        <v>4.0000000000000002E-4</v>
      </c>
      <c r="BF449">
        <v>15.969999999999899</v>
      </c>
      <c r="BG449" s="28">
        <f t="shared" si="44"/>
        <v>31.726392911047224</v>
      </c>
      <c r="BH449" t="e">
        <f t="shared" si="45"/>
        <v>#N/A</v>
      </c>
      <c r="BI449" t="e">
        <f t="shared" si="46"/>
        <v>#N/A</v>
      </c>
      <c r="BJ449">
        <v>10</v>
      </c>
    </row>
    <row r="450" spans="3:62" x14ac:dyDescent="0.3">
      <c r="C450">
        <v>14</v>
      </c>
      <c r="D450" s="36">
        <v>30.86</v>
      </c>
      <c r="K450" s="14">
        <f t="shared" si="43"/>
        <v>1E-3</v>
      </c>
      <c r="L450" s="14"/>
      <c r="O450" s="14">
        <f t="shared" ref="O450:O513" si="47">IF(C450=12,$M$4,IF(C450=13,$M$5,IF(C450=14,$M$6,IF(C450=15,$M$7,$M$8))))</f>
        <v>4.7156372549026095E-4</v>
      </c>
      <c r="P450" s="14">
        <f t="shared" ref="P450:P513" si="48">IF(D450&lt;20,$M$14,IF(D450&lt;24,$M$15,IF(D450&lt;28,$M$16,IF(D450&lt;32,$M$17,$M$18))))</f>
        <v>4.0000000000000002E-4</v>
      </c>
      <c r="BF450">
        <v>15.979999999999899</v>
      </c>
      <c r="BG450" s="28">
        <f t="shared" si="44"/>
        <v>31.746649400826495</v>
      </c>
      <c r="BH450" t="e">
        <f t="shared" si="45"/>
        <v>#N/A</v>
      </c>
      <c r="BI450" t="e">
        <f t="shared" si="46"/>
        <v>#N/A</v>
      </c>
      <c r="BJ450">
        <v>10</v>
      </c>
    </row>
    <row r="451" spans="3:62" x14ac:dyDescent="0.3">
      <c r="C451">
        <v>16</v>
      </c>
      <c r="D451" s="36">
        <v>31.18</v>
      </c>
      <c r="K451" s="14">
        <f t="shared" ref="K451:K514" si="49">1/1000</f>
        <v>1E-3</v>
      </c>
      <c r="L451" s="14"/>
      <c r="O451" s="14">
        <f t="shared" si="47"/>
        <v>2.0000000000000001E-4</v>
      </c>
      <c r="P451" s="14">
        <f t="shared" si="48"/>
        <v>4.0000000000000002E-4</v>
      </c>
      <c r="BF451">
        <v>15.989999999999901</v>
      </c>
      <c r="BG451" s="28">
        <f t="shared" ref="BG451:BG502" si="50">$I$8+$I$10*BF451</f>
        <v>31.766905890605781</v>
      </c>
      <c r="BH451" t="e">
        <f t="shared" ref="BH451:BH502" si="51">IF($AD$9=1,$W$3+$V$3*BF451,#N/A)</f>
        <v>#N/A</v>
      </c>
      <c r="BI451" t="e">
        <f t="shared" ref="BI451:BI502" si="52">IF($AD$12=1,$AA$3+$Z$3*BF451,#N/A)</f>
        <v>#N/A</v>
      </c>
      <c r="BJ451">
        <v>10</v>
      </c>
    </row>
    <row r="452" spans="3:62" x14ac:dyDescent="0.3">
      <c r="C452">
        <v>16</v>
      </c>
      <c r="D452" s="36">
        <v>31.3</v>
      </c>
      <c r="K452" s="14">
        <f t="shared" si="49"/>
        <v>1E-3</v>
      </c>
      <c r="L452" s="14"/>
      <c r="O452" s="14">
        <f t="shared" si="47"/>
        <v>2.0000000000000001E-4</v>
      </c>
      <c r="P452" s="14">
        <f t="shared" si="48"/>
        <v>4.0000000000000002E-4</v>
      </c>
      <c r="BF452">
        <v>15.999999999999901</v>
      </c>
      <c r="BG452" s="28">
        <f t="shared" si="50"/>
        <v>31.787162380385059</v>
      </c>
      <c r="BH452" t="e">
        <f t="shared" si="51"/>
        <v>#N/A</v>
      </c>
      <c r="BI452" t="e">
        <f t="shared" si="52"/>
        <v>#N/A</v>
      </c>
      <c r="BJ452">
        <v>10</v>
      </c>
    </row>
    <row r="453" spans="3:62" x14ac:dyDescent="0.3">
      <c r="C453">
        <v>13</v>
      </c>
      <c r="D453" s="36">
        <v>18.79</v>
      </c>
      <c r="K453" s="14">
        <f t="shared" si="49"/>
        <v>1E-3</v>
      </c>
      <c r="L453" s="14"/>
      <c r="O453" s="14">
        <f t="shared" si="47"/>
        <v>1E-3</v>
      </c>
      <c r="P453" s="14">
        <f t="shared" si="48"/>
        <v>5.0000000000000001E-3</v>
      </c>
      <c r="BF453">
        <v>16.009999999999899</v>
      </c>
      <c r="BG453" s="28">
        <f t="shared" si="50"/>
        <v>31.80741887016433</v>
      </c>
      <c r="BH453" t="e">
        <f t="shared" si="51"/>
        <v>#N/A</v>
      </c>
      <c r="BI453" t="e">
        <f t="shared" si="52"/>
        <v>#N/A</v>
      </c>
      <c r="BJ453">
        <v>10</v>
      </c>
    </row>
    <row r="454" spans="3:62" x14ac:dyDescent="0.3">
      <c r="C454">
        <v>12</v>
      </c>
      <c r="D454" s="36">
        <v>24.7</v>
      </c>
      <c r="K454" s="14">
        <f t="shared" si="49"/>
        <v>1E-3</v>
      </c>
      <c r="L454" s="14"/>
      <c r="O454" s="14">
        <f t="shared" si="47"/>
        <v>3.0000000000000001E-3</v>
      </c>
      <c r="P454" s="14">
        <f t="shared" si="48"/>
        <v>7.8587786259546764E-4</v>
      </c>
      <c r="BF454">
        <v>16.0199999999999</v>
      </c>
      <c r="BG454" s="28">
        <f t="shared" si="50"/>
        <v>31.827675359943608</v>
      </c>
      <c r="BH454" t="e">
        <f t="shared" si="51"/>
        <v>#N/A</v>
      </c>
      <c r="BI454" t="e">
        <f t="shared" si="52"/>
        <v>#N/A</v>
      </c>
      <c r="BJ454">
        <v>10</v>
      </c>
    </row>
    <row r="455" spans="3:62" x14ac:dyDescent="0.3">
      <c r="C455">
        <v>12</v>
      </c>
      <c r="D455" s="36">
        <v>28.78</v>
      </c>
      <c r="K455" s="14">
        <f t="shared" si="49"/>
        <v>1E-3</v>
      </c>
      <c r="L455" s="14"/>
      <c r="O455" s="14">
        <f t="shared" si="47"/>
        <v>3.0000000000000001E-3</v>
      </c>
      <c r="P455" s="14">
        <f t="shared" si="48"/>
        <v>4.0000000000000002E-4</v>
      </c>
      <c r="BF455">
        <v>16.029999999999902</v>
      </c>
      <c r="BG455" s="28">
        <f t="shared" si="50"/>
        <v>31.847931849722894</v>
      </c>
      <c r="BH455" t="e">
        <f t="shared" si="51"/>
        <v>#N/A</v>
      </c>
      <c r="BI455" t="e">
        <f t="shared" si="52"/>
        <v>#N/A</v>
      </c>
      <c r="BJ455">
        <v>10</v>
      </c>
    </row>
    <row r="456" spans="3:62" x14ac:dyDescent="0.3">
      <c r="C456">
        <v>13</v>
      </c>
      <c r="D456" s="36">
        <v>30.34</v>
      </c>
      <c r="K456" s="14">
        <f t="shared" si="49"/>
        <v>1E-3</v>
      </c>
      <c r="L456" s="14"/>
      <c r="O456" s="14">
        <f t="shared" si="47"/>
        <v>1E-3</v>
      </c>
      <c r="P456" s="14">
        <f t="shared" si="48"/>
        <v>4.0000000000000002E-4</v>
      </c>
      <c r="BF456">
        <v>16.0399999999999</v>
      </c>
      <c r="BG456" s="28">
        <f t="shared" si="50"/>
        <v>31.868188339502165</v>
      </c>
      <c r="BH456" t="e">
        <f t="shared" si="51"/>
        <v>#N/A</v>
      </c>
      <c r="BI456" t="e">
        <f t="shared" si="52"/>
        <v>#N/A</v>
      </c>
      <c r="BJ456">
        <v>10</v>
      </c>
    </row>
    <row r="457" spans="3:62" x14ac:dyDescent="0.3">
      <c r="C457">
        <v>12</v>
      </c>
      <c r="D457" s="36">
        <v>22.78</v>
      </c>
      <c r="K457" s="14">
        <f t="shared" si="49"/>
        <v>1E-3</v>
      </c>
      <c r="L457" s="14"/>
      <c r="O457" s="14">
        <f t="shared" si="47"/>
        <v>3.0000000000000001E-3</v>
      </c>
      <c r="P457" s="14">
        <f t="shared" si="48"/>
        <v>1.5E-3</v>
      </c>
      <c r="BF457">
        <v>16.049999999999901</v>
      </c>
      <c r="BG457" s="28">
        <f t="shared" si="50"/>
        <v>31.888444829281443</v>
      </c>
      <c r="BH457" t="e">
        <f t="shared" si="51"/>
        <v>#N/A</v>
      </c>
      <c r="BI457" t="e">
        <f t="shared" si="52"/>
        <v>#N/A</v>
      </c>
      <c r="BJ457">
        <v>10</v>
      </c>
    </row>
    <row r="458" spans="3:62" x14ac:dyDescent="0.3">
      <c r="C458">
        <v>13</v>
      </c>
      <c r="D458" s="36">
        <v>29.17</v>
      </c>
      <c r="K458" s="14">
        <f t="shared" si="49"/>
        <v>1E-3</v>
      </c>
      <c r="L458" s="14"/>
      <c r="O458" s="14">
        <f t="shared" si="47"/>
        <v>1E-3</v>
      </c>
      <c r="P458" s="14">
        <f t="shared" si="48"/>
        <v>4.0000000000000002E-4</v>
      </c>
      <c r="BF458">
        <v>16.059999999999899</v>
      </c>
      <c r="BG458" s="28">
        <f t="shared" si="50"/>
        <v>31.908701319060722</v>
      </c>
      <c r="BH458" t="e">
        <f t="shared" si="51"/>
        <v>#N/A</v>
      </c>
      <c r="BI458" t="e">
        <f t="shared" si="52"/>
        <v>#N/A</v>
      </c>
      <c r="BJ458">
        <v>10</v>
      </c>
    </row>
    <row r="459" spans="3:62" x14ac:dyDescent="0.3">
      <c r="C459">
        <v>15</v>
      </c>
      <c r="D459" s="36">
        <v>33.03</v>
      </c>
      <c r="K459" s="14">
        <f t="shared" si="49"/>
        <v>1E-3</v>
      </c>
      <c r="L459" s="14"/>
      <c r="O459" s="14">
        <f t="shared" si="47"/>
        <v>4.0000000000000002E-4</v>
      </c>
      <c r="P459" s="14">
        <f t="shared" si="48"/>
        <v>1E-4</v>
      </c>
      <c r="BF459">
        <v>16.069999999999901</v>
      </c>
      <c r="BG459" s="28">
        <f t="shared" si="50"/>
        <v>31.92895780884</v>
      </c>
      <c r="BH459" t="e">
        <f t="shared" si="51"/>
        <v>#N/A</v>
      </c>
      <c r="BI459" t="e">
        <f t="shared" si="52"/>
        <v>#N/A</v>
      </c>
      <c r="BJ459">
        <v>10</v>
      </c>
    </row>
    <row r="460" spans="3:62" x14ac:dyDescent="0.3">
      <c r="C460">
        <v>16</v>
      </c>
      <c r="D460" s="36">
        <v>41.15</v>
      </c>
      <c r="K460" s="14">
        <f t="shared" si="49"/>
        <v>1E-3</v>
      </c>
      <c r="L460" s="14"/>
      <c r="O460" s="14">
        <f t="shared" si="47"/>
        <v>2.0000000000000001E-4</v>
      </c>
      <c r="P460" s="14">
        <f t="shared" si="48"/>
        <v>1E-4</v>
      </c>
      <c r="BF460">
        <v>16.079999999999899</v>
      </c>
      <c r="BG460" s="28">
        <f t="shared" si="50"/>
        <v>31.949214298619271</v>
      </c>
      <c r="BH460" t="e">
        <f t="shared" si="51"/>
        <v>#N/A</v>
      </c>
      <c r="BI460" t="e">
        <f t="shared" si="52"/>
        <v>#N/A</v>
      </c>
      <c r="BJ460">
        <v>10</v>
      </c>
    </row>
    <row r="461" spans="3:62" x14ac:dyDescent="0.3">
      <c r="C461">
        <v>13</v>
      </c>
      <c r="D461" s="36">
        <v>32.5</v>
      </c>
      <c r="K461" s="14">
        <f t="shared" si="49"/>
        <v>1E-3</v>
      </c>
      <c r="L461" s="14"/>
      <c r="O461" s="14">
        <f t="shared" si="47"/>
        <v>1E-3</v>
      </c>
      <c r="P461" s="14">
        <f t="shared" si="48"/>
        <v>1E-4</v>
      </c>
      <c r="BF461">
        <v>16.0899999999999</v>
      </c>
      <c r="BG461" s="28">
        <f t="shared" si="50"/>
        <v>31.969470788398556</v>
      </c>
      <c r="BH461" t="e">
        <f t="shared" si="51"/>
        <v>#N/A</v>
      </c>
      <c r="BI461" t="e">
        <f t="shared" si="52"/>
        <v>#N/A</v>
      </c>
      <c r="BJ461">
        <v>10</v>
      </c>
    </row>
    <row r="462" spans="3:62" x14ac:dyDescent="0.3">
      <c r="C462">
        <v>15</v>
      </c>
      <c r="D462" s="36">
        <v>28.48</v>
      </c>
      <c r="K462" s="14">
        <f t="shared" si="49"/>
        <v>1E-3</v>
      </c>
      <c r="L462" s="14"/>
      <c r="O462" s="14">
        <f t="shared" si="47"/>
        <v>4.0000000000000002E-4</v>
      </c>
      <c r="P462" s="14">
        <f t="shared" si="48"/>
        <v>4.0000000000000002E-4</v>
      </c>
      <c r="BF462">
        <v>16.099999999999898</v>
      </c>
      <c r="BG462" s="28">
        <f t="shared" si="50"/>
        <v>31.989727278177828</v>
      </c>
      <c r="BH462" t="e">
        <f t="shared" si="51"/>
        <v>#N/A</v>
      </c>
      <c r="BI462" t="e">
        <f t="shared" si="52"/>
        <v>#N/A</v>
      </c>
      <c r="BJ462">
        <v>10</v>
      </c>
    </row>
    <row r="463" spans="3:62" x14ac:dyDescent="0.3">
      <c r="C463">
        <v>16</v>
      </c>
      <c r="D463" s="36">
        <v>30.63</v>
      </c>
      <c r="K463" s="14">
        <f t="shared" si="49"/>
        <v>1E-3</v>
      </c>
      <c r="L463" s="14"/>
      <c r="O463" s="14">
        <f t="shared" si="47"/>
        <v>2.0000000000000001E-4</v>
      </c>
      <c r="P463" s="14">
        <f t="shared" si="48"/>
        <v>4.0000000000000002E-4</v>
      </c>
      <c r="BF463">
        <v>16.1099999999999</v>
      </c>
      <c r="BG463" s="28">
        <f t="shared" si="50"/>
        <v>32.00998376795711</v>
      </c>
      <c r="BH463" t="e">
        <f t="shared" si="51"/>
        <v>#N/A</v>
      </c>
      <c r="BI463" t="e">
        <f t="shared" si="52"/>
        <v>#N/A</v>
      </c>
      <c r="BJ463">
        <v>10</v>
      </c>
    </row>
    <row r="464" spans="3:62" x14ac:dyDescent="0.3">
      <c r="C464">
        <v>12</v>
      </c>
      <c r="D464" s="36">
        <v>23.97</v>
      </c>
      <c r="K464" s="14">
        <f t="shared" si="49"/>
        <v>1E-3</v>
      </c>
      <c r="L464" s="14"/>
      <c r="O464" s="14">
        <f t="shared" si="47"/>
        <v>3.0000000000000001E-3</v>
      </c>
      <c r="P464" s="14">
        <f t="shared" si="48"/>
        <v>1.5E-3</v>
      </c>
      <c r="BF464">
        <v>16.119999999999902</v>
      </c>
      <c r="BG464" s="28">
        <f t="shared" si="50"/>
        <v>32.030240257736395</v>
      </c>
      <c r="BH464" t="e">
        <f t="shared" si="51"/>
        <v>#N/A</v>
      </c>
      <c r="BI464" t="e">
        <f t="shared" si="52"/>
        <v>#N/A</v>
      </c>
      <c r="BJ464">
        <v>10</v>
      </c>
    </row>
    <row r="465" spans="3:62" x14ac:dyDescent="0.3">
      <c r="C465">
        <v>12</v>
      </c>
      <c r="D465" s="36">
        <v>21.82</v>
      </c>
      <c r="K465" s="14">
        <f t="shared" si="49"/>
        <v>1E-3</v>
      </c>
      <c r="L465" s="14"/>
      <c r="O465" s="14">
        <f t="shared" si="47"/>
        <v>3.0000000000000001E-3</v>
      </c>
      <c r="P465" s="14">
        <f t="shared" si="48"/>
        <v>1.5E-3</v>
      </c>
      <c r="BF465">
        <v>16.1299999999999</v>
      </c>
      <c r="BG465" s="28">
        <f t="shared" si="50"/>
        <v>32.050496747515666</v>
      </c>
      <c r="BH465" t="e">
        <f t="shared" si="51"/>
        <v>#N/A</v>
      </c>
      <c r="BI465" t="e">
        <f t="shared" si="52"/>
        <v>#N/A</v>
      </c>
      <c r="BJ465">
        <v>10</v>
      </c>
    </row>
    <row r="466" spans="3:62" x14ac:dyDescent="0.3">
      <c r="C466">
        <v>16</v>
      </c>
      <c r="D466" s="36">
        <v>35.200000000000003</v>
      </c>
      <c r="K466" s="14">
        <f t="shared" si="49"/>
        <v>1E-3</v>
      </c>
      <c r="L466" s="14"/>
      <c r="O466" s="14">
        <f t="shared" si="47"/>
        <v>2.0000000000000001E-4</v>
      </c>
      <c r="P466" s="14">
        <f t="shared" si="48"/>
        <v>1E-4</v>
      </c>
      <c r="BF466">
        <v>16.139999999999901</v>
      </c>
      <c r="BG466" s="28">
        <f t="shared" si="50"/>
        <v>32.070753237294937</v>
      </c>
      <c r="BH466" t="e">
        <f t="shared" si="51"/>
        <v>#N/A</v>
      </c>
      <c r="BI466" t="e">
        <f t="shared" si="52"/>
        <v>#N/A</v>
      </c>
      <c r="BJ466">
        <v>10</v>
      </c>
    </row>
    <row r="467" spans="3:62" x14ac:dyDescent="0.3">
      <c r="C467">
        <v>13</v>
      </c>
      <c r="D467" s="36">
        <v>27.64</v>
      </c>
      <c r="K467" s="14">
        <f t="shared" si="49"/>
        <v>1E-3</v>
      </c>
      <c r="L467" s="14"/>
      <c r="O467" s="14">
        <f t="shared" si="47"/>
        <v>1E-3</v>
      </c>
      <c r="P467" s="14">
        <f t="shared" si="48"/>
        <v>7.8587786259546764E-4</v>
      </c>
      <c r="BF467">
        <v>16.149999999999899</v>
      </c>
      <c r="BG467" s="28">
        <f t="shared" si="50"/>
        <v>32.091009727074223</v>
      </c>
      <c r="BH467" t="e">
        <f t="shared" si="51"/>
        <v>#N/A</v>
      </c>
      <c r="BI467" t="e">
        <f t="shared" si="52"/>
        <v>#N/A</v>
      </c>
      <c r="BJ467">
        <v>10</v>
      </c>
    </row>
    <row r="468" spans="3:62" x14ac:dyDescent="0.3">
      <c r="C468">
        <v>13</v>
      </c>
      <c r="D468" s="36">
        <v>24.41</v>
      </c>
      <c r="K468" s="14">
        <f t="shared" si="49"/>
        <v>1E-3</v>
      </c>
      <c r="L468" s="14"/>
      <c r="O468" s="14">
        <f t="shared" si="47"/>
        <v>1E-3</v>
      </c>
      <c r="P468" s="14">
        <f t="shared" si="48"/>
        <v>7.8587786259546764E-4</v>
      </c>
      <c r="BF468">
        <v>16.159999999999901</v>
      </c>
      <c r="BG468" s="28">
        <f t="shared" si="50"/>
        <v>32.111266216853494</v>
      </c>
      <c r="BH468" t="e">
        <f t="shared" si="51"/>
        <v>#N/A</v>
      </c>
      <c r="BI468" t="e">
        <f t="shared" si="52"/>
        <v>#N/A</v>
      </c>
      <c r="BJ468">
        <v>10</v>
      </c>
    </row>
    <row r="469" spans="3:62" x14ac:dyDescent="0.3">
      <c r="C469">
        <v>13</v>
      </c>
      <c r="D469" s="36">
        <v>22.28</v>
      </c>
      <c r="K469" s="14">
        <f t="shared" si="49"/>
        <v>1E-3</v>
      </c>
      <c r="L469" s="14"/>
      <c r="O469" s="14">
        <f t="shared" si="47"/>
        <v>1E-3</v>
      </c>
      <c r="P469" s="14">
        <f t="shared" si="48"/>
        <v>1.5E-3</v>
      </c>
      <c r="BF469">
        <v>16.169999999999899</v>
      </c>
      <c r="BG469" s="28">
        <f t="shared" si="50"/>
        <v>32.131522706632765</v>
      </c>
      <c r="BH469" t="e">
        <f t="shared" si="51"/>
        <v>#N/A</v>
      </c>
      <c r="BI469" t="e">
        <f t="shared" si="52"/>
        <v>#N/A</v>
      </c>
      <c r="BJ469">
        <v>10</v>
      </c>
    </row>
    <row r="470" spans="3:62" x14ac:dyDescent="0.3">
      <c r="C470">
        <v>14</v>
      </c>
      <c r="D470" s="36">
        <v>30.12</v>
      </c>
      <c r="K470" s="14">
        <f t="shared" si="49"/>
        <v>1E-3</v>
      </c>
      <c r="L470" s="14"/>
      <c r="O470" s="14">
        <f t="shared" si="47"/>
        <v>4.7156372549026095E-4</v>
      </c>
      <c r="P470" s="14">
        <f t="shared" si="48"/>
        <v>4.0000000000000002E-4</v>
      </c>
      <c r="BF470">
        <v>16.1799999999999</v>
      </c>
      <c r="BG470" s="28">
        <f t="shared" si="50"/>
        <v>32.151779196412051</v>
      </c>
      <c r="BH470" t="e">
        <f t="shared" si="51"/>
        <v>#N/A</v>
      </c>
      <c r="BI470" t="e">
        <f t="shared" si="52"/>
        <v>#N/A</v>
      </c>
      <c r="BJ470">
        <v>10</v>
      </c>
    </row>
    <row r="471" spans="3:62" x14ac:dyDescent="0.3">
      <c r="C471">
        <v>12</v>
      </c>
      <c r="D471" s="36">
        <v>16.86</v>
      </c>
      <c r="K471" s="14">
        <f t="shared" si="49"/>
        <v>1E-3</v>
      </c>
      <c r="L471" s="14"/>
      <c r="O471" s="14">
        <f t="shared" si="47"/>
        <v>3.0000000000000001E-3</v>
      </c>
      <c r="P471" s="14">
        <f t="shared" si="48"/>
        <v>5.0000000000000001E-3</v>
      </c>
      <c r="BF471">
        <v>16.189999999999898</v>
      </c>
      <c r="BG471" s="28">
        <f t="shared" si="50"/>
        <v>32.172035686191322</v>
      </c>
      <c r="BH471" t="e">
        <f t="shared" si="51"/>
        <v>#N/A</v>
      </c>
      <c r="BI471" t="e">
        <f t="shared" si="52"/>
        <v>#N/A</v>
      </c>
      <c r="BJ471">
        <v>10</v>
      </c>
    </row>
    <row r="472" spans="3:62" x14ac:dyDescent="0.3">
      <c r="C472">
        <v>12</v>
      </c>
      <c r="D472" s="36">
        <v>22.15</v>
      </c>
      <c r="K472" s="14">
        <f t="shared" si="49"/>
        <v>1E-3</v>
      </c>
      <c r="L472" s="14"/>
      <c r="O472" s="14">
        <f t="shared" si="47"/>
        <v>3.0000000000000001E-3</v>
      </c>
      <c r="P472" s="14">
        <f t="shared" si="48"/>
        <v>1.5E-3</v>
      </c>
      <c r="BF472">
        <v>16.1999999999999</v>
      </c>
      <c r="BG472" s="28">
        <f t="shared" si="50"/>
        <v>32.192292175970607</v>
      </c>
      <c r="BH472" t="e">
        <f t="shared" si="51"/>
        <v>#N/A</v>
      </c>
      <c r="BI472" t="e">
        <f t="shared" si="52"/>
        <v>#N/A</v>
      </c>
      <c r="BJ472">
        <v>10</v>
      </c>
    </row>
    <row r="473" spans="3:62" x14ac:dyDescent="0.3">
      <c r="C473">
        <v>12</v>
      </c>
      <c r="D473" s="36">
        <v>29.42</v>
      </c>
      <c r="K473" s="14">
        <f t="shared" si="49"/>
        <v>1E-3</v>
      </c>
      <c r="L473" s="14"/>
      <c r="O473" s="14">
        <f t="shared" si="47"/>
        <v>3.0000000000000001E-3</v>
      </c>
      <c r="P473" s="14">
        <f t="shared" si="48"/>
        <v>4.0000000000000002E-4</v>
      </c>
      <c r="BF473">
        <v>16.209999999999901</v>
      </c>
      <c r="BG473" s="28">
        <f t="shared" si="50"/>
        <v>32.212548665749893</v>
      </c>
      <c r="BH473" t="e">
        <f t="shared" si="51"/>
        <v>#N/A</v>
      </c>
      <c r="BI473" t="e">
        <f t="shared" si="52"/>
        <v>#N/A</v>
      </c>
      <c r="BJ473">
        <v>10</v>
      </c>
    </row>
    <row r="474" spans="3:62" x14ac:dyDescent="0.3">
      <c r="C474">
        <v>16</v>
      </c>
      <c r="D474" s="36">
        <v>41.5</v>
      </c>
      <c r="K474" s="14">
        <f t="shared" si="49"/>
        <v>1E-3</v>
      </c>
      <c r="L474" s="14"/>
      <c r="O474" s="14">
        <f t="shared" si="47"/>
        <v>2.0000000000000001E-4</v>
      </c>
      <c r="P474" s="14">
        <f t="shared" si="48"/>
        <v>1E-4</v>
      </c>
      <c r="BF474">
        <v>16.219999999999899</v>
      </c>
      <c r="BG474" s="28">
        <f t="shared" si="50"/>
        <v>32.232805155529164</v>
      </c>
      <c r="BH474" t="e">
        <f t="shared" si="51"/>
        <v>#N/A</v>
      </c>
      <c r="BI474" t="e">
        <f t="shared" si="52"/>
        <v>#N/A</v>
      </c>
      <c r="BJ474">
        <v>10</v>
      </c>
    </row>
    <row r="475" spans="3:62" x14ac:dyDescent="0.3">
      <c r="C475">
        <v>15</v>
      </c>
      <c r="D475" s="36">
        <v>37.020000000000003</v>
      </c>
      <c r="K475" s="14">
        <f t="shared" si="49"/>
        <v>1E-3</v>
      </c>
      <c r="L475" s="14"/>
      <c r="O475" s="14">
        <f t="shared" si="47"/>
        <v>4.0000000000000002E-4</v>
      </c>
      <c r="P475" s="14">
        <f t="shared" si="48"/>
        <v>1E-4</v>
      </c>
      <c r="BF475">
        <v>16.229999999999901</v>
      </c>
      <c r="BG475" s="28">
        <f t="shared" si="50"/>
        <v>32.253061645308435</v>
      </c>
      <c r="BH475" t="e">
        <f t="shared" si="51"/>
        <v>#N/A</v>
      </c>
      <c r="BI475" t="e">
        <f t="shared" si="52"/>
        <v>#N/A</v>
      </c>
      <c r="BJ475">
        <v>10</v>
      </c>
    </row>
    <row r="476" spans="3:62" x14ac:dyDescent="0.3">
      <c r="C476">
        <v>14</v>
      </c>
      <c r="D476" s="36">
        <v>24.55</v>
      </c>
      <c r="K476" s="14">
        <f t="shared" si="49"/>
        <v>1E-3</v>
      </c>
      <c r="L476" s="14"/>
      <c r="O476" s="14">
        <f t="shared" si="47"/>
        <v>4.7156372549026095E-4</v>
      </c>
      <c r="P476" s="14">
        <f t="shared" si="48"/>
        <v>7.8587786259546764E-4</v>
      </c>
      <c r="BF476">
        <v>16.239999999999899</v>
      </c>
      <c r="BG476" s="28">
        <f t="shared" si="50"/>
        <v>32.27331813508772</v>
      </c>
      <c r="BH476" t="e">
        <f t="shared" si="51"/>
        <v>#N/A</v>
      </c>
      <c r="BI476" t="e">
        <f t="shared" si="52"/>
        <v>#N/A</v>
      </c>
      <c r="BJ476">
        <v>10</v>
      </c>
    </row>
    <row r="477" spans="3:62" x14ac:dyDescent="0.3">
      <c r="C477">
        <v>12</v>
      </c>
      <c r="D477" s="36">
        <v>21.44</v>
      </c>
      <c r="K477" s="14">
        <f t="shared" si="49"/>
        <v>1E-3</v>
      </c>
      <c r="L477" s="14"/>
      <c r="O477" s="14">
        <f t="shared" si="47"/>
        <v>3.0000000000000001E-3</v>
      </c>
      <c r="P477" s="14">
        <f t="shared" si="48"/>
        <v>1.5E-3</v>
      </c>
      <c r="BF477">
        <v>16.249999999999901</v>
      </c>
      <c r="BG477" s="28">
        <f t="shared" si="50"/>
        <v>32.293574624866991</v>
      </c>
      <c r="BH477" t="e">
        <f t="shared" si="51"/>
        <v>#N/A</v>
      </c>
      <c r="BI477" t="e">
        <f t="shared" si="52"/>
        <v>#N/A</v>
      </c>
      <c r="BJ477">
        <v>10</v>
      </c>
    </row>
    <row r="478" spans="3:62" x14ac:dyDescent="0.3">
      <c r="C478">
        <v>14</v>
      </c>
      <c r="D478" s="36">
        <v>25.08</v>
      </c>
      <c r="K478" s="14">
        <f t="shared" si="49"/>
        <v>1E-3</v>
      </c>
      <c r="L478" s="14"/>
      <c r="O478" s="14">
        <f t="shared" si="47"/>
        <v>4.7156372549026095E-4</v>
      </c>
      <c r="P478" s="14">
        <f t="shared" si="48"/>
        <v>7.8587786259546764E-4</v>
      </c>
      <c r="BF478">
        <v>16.259999999999899</v>
      </c>
      <c r="BG478" s="28">
        <f t="shared" si="50"/>
        <v>32.313831114646263</v>
      </c>
      <c r="BH478" t="e">
        <f t="shared" si="51"/>
        <v>#N/A</v>
      </c>
      <c r="BI478" t="e">
        <f t="shared" si="52"/>
        <v>#N/A</v>
      </c>
      <c r="BJ478">
        <v>10</v>
      </c>
    </row>
    <row r="479" spans="3:62" x14ac:dyDescent="0.3">
      <c r="C479">
        <v>16</v>
      </c>
      <c r="D479" s="36">
        <v>31.77</v>
      </c>
      <c r="K479" s="14">
        <f t="shared" si="49"/>
        <v>1E-3</v>
      </c>
      <c r="L479" s="14"/>
      <c r="O479" s="14">
        <f t="shared" si="47"/>
        <v>2.0000000000000001E-4</v>
      </c>
      <c r="P479" s="14">
        <f t="shared" si="48"/>
        <v>4.0000000000000002E-4</v>
      </c>
      <c r="BF479">
        <v>16.2699999999999</v>
      </c>
      <c r="BG479" s="28">
        <f t="shared" si="50"/>
        <v>32.334087604425548</v>
      </c>
      <c r="BH479" t="e">
        <f t="shared" si="51"/>
        <v>#N/A</v>
      </c>
      <c r="BI479" t="e">
        <f t="shared" si="52"/>
        <v>#N/A</v>
      </c>
      <c r="BJ479">
        <v>10</v>
      </c>
    </row>
    <row r="480" spans="3:62" x14ac:dyDescent="0.3">
      <c r="C480">
        <v>16</v>
      </c>
      <c r="D480" s="36">
        <v>31.59</v>
      </c>
      <c r="K480" s="14">
        <f t="shared" si="49"/>
        <v>1E-3</v>
      </c>
      <c r="L480" s="14"/>
      <c r="O480" s="14">
        <f t="shared" si="47"/>
        <v>2.0000000000000001E-4</v>
      </c>
      <c r="P480" s="14">
        <f t="shared" si="48"/>
        <v>4.0000000000000002E-4</v>
      </c>
      <c r="BF480">
        <v>16.279999999999902</v>
      </c>
      <c r="BG480" s="28">
        <f t="shared" si="50"/>
        <v>32.354344094204833</v>
      </c>
      <c r="BH480" t="e">
        <f t="shared" si="51"/>
        <v>#N/A</v>
      </c>
      <c r="BI480" t="e">
        <f t="shared" si="52"/>
        <v>#N/A</v>
      </c>
      <c r="BJ480">
        <v>10</v>
      </c>
    </row>
    <row r="481" spans="3:62" x14ac:dyDescent="0.3">
      <c r="C481">
        <v>15</v>
      </c>
      <c r="D481" s="36">
        <v>23.68</v>
      </c>
      <c r="K481" s="14">
        <f t="shared" si="49"/>
        <v>1E-3</v>
      </c>
      <c r="L481" s="14"/>
      <c r="O481" s="14">
        <f t="shared" si="47"/>
        <v>4.0000000000000002E-4</v>
      </c>
      <c r="P481" s="14">
        <f t="shared" si="48"/>
        <v>1.5E-3</v>
      </c>
      <c r="BF481">
        <v>16.2899999999999</v>
      </c>
      <c r="BG481" s="28">
        <f t="shared" si="50"/>
        <v>32.374600583984105</v>
      </c>
      <c r="BH481" t="e">
        <f t="shared" si="51"/>
        <v>#N/A</v>
      </c>
      <c r="BI481" t="e">
        <f t="shared" si="52"/>
        <v>#N/A</v>
      </c>
      <c r="BJ481">
        <v>10</v>
      </c>
    </row>
    <row r="482" spans="3:62" x14ac:dyDescent="0.3">
      <c r="C482">
        <v>14</v>
      </c>
      <c r="D482" s="36">
        <v>23.02</v>
      </c>
      <c r="K482" s="14">
        <f t="shared" si="49"/>
        <v>1E-3</v>
      </c>
      <c r="L482" s="14"/>
      <c r="O482" s="14">
        <f t="shared" si="47"/>
        <v>4.7156372549026095E-4</v>
      </c>
      <c r="P482" s="14">
        <f t="shared" si="48"/>
        <v>1.5E-3</v>
      </c>
      <c r="BF482">
        <v>16.299999999999901</v>
      </c>
      <c r="BG482" s="28">
        <f t="shared" si="50"/>
        <v>32.39485707376339</v>
      </c>
      <c r="BH482" t="e">
        <f t="shared" si="51"/>
        <v>#N/A</v>
      </c>
      <c r="BI482" t="e">
        <f t="shared" si="52"/>
        <v>#N/A</v>
      </c>
      <c r="BJ482">
        <v>10</v>
      </c>
    </row>
    <row r="483" spans="3:62" x14ac:dyDescent="0.3">
      <c r="C483">
        <v>15</v>
      </c>
      <c r="D483" s="36">
        <v>38.08</v>
      </c>
      <c r="K483" s="14">
        <f t="shared" si="49"/>
        <v>1E-3</v>
      </c>
      <c r="L483" s="14"/>
      <c r="O483" s="14">
        <f t="shared" si="47"/>
        <v>4.0000000000000002E-4</v>
      </c>
      <c r="P483" s="14">
        <f t="shared" si="48"/>
        <v>1E-4</v>
      </c>
      <c r="BF483">
        <v>16.309999999999899</v>
      </c>
      <c r="BG483" s="28">
        <f t="shared" si="50"/>
        <v>32.415113563542661</v>
      </c>
      <c r="BH483" t="e">
        <f t="shared" si="51"/>
        <v>#N/A</v>
      </c>
      <c r="BI483" t="e">
        <f t="shared" si="52"/>
        <v>#N/A</v>
      </c>
      <c r="BJ483">
        <v>10</v>
      </c>
    </row>
    <row r="484" spans="3:62" x14ac:dyDescent="0.3">
      <c r="C484">
        <v>16</v>
      </c>
      <c r="D484" s="36">
        <v>27.29</v>
      </c>
      <c r="K484" s="14">
        <f t="shared" si="49"/>
        <v>1E-3</v>
      </c>
      <c r="L484" s="14"/>
      <c r="O484" s="14">
        <f t="shared" si="47"/>
        <v>2.0000000000000001E-4</v>
      </c>
      <c r="P484" s="14">
        <f t="shared" si="48"/>
        <v>7.8587786259546764E-4</v>
      </c>
      <c r="BF484">
        <v>16.319999999999901</v>
      </c>
      <c r="BG484" s="28">
        <f t="shared" si="50"/>
        <v>32.435370053321932</v>
      </c>
      <c r="BH484" t="e">
        <f t="shared" si="51"/>
        <v>#N/A</v>
      </c>
      <c r="BI484" t="e">
        <f t="shared" si="52"/>
        <v>#N/A</v>
      </c>
      <c r="BJ484">
        <v>10</v>
      </c>
    </row>
    <row r="485" spans="3:62" x14ac:dyDescent="0.3">
      <c r="C485">
        <v>16</v>
      </c>
      <c r="D485" s="36">
        <v>31.22</v>
      </c>
      <c r="K485" s="14">
        <f t="shared" si="49"/>
        <v>1E-3</v>
      </c>
      <c r="L485" s="14"/>
      <c r="O485" s="14">
        <f t="shared" si="47"/>
        <v>2.0000000000000001E-4</v>
      </c>
      <c r="P485" s="14">
        <f t="shared" si="48"/>
        <v>4.0000000000000002E-4</v>
      </c>
      <c r="BF485">
        <v>16.329999999999899</v>
      </c>
      <c r="BG485" s="28">
        <f t="shared" si="50"/>
        <v>32.455626543101218</v>
      </c>
      <c r="BH485" t="e">
        <f t="shared" si="51"/>
        <v>#N/A</v>
      </c>
      <c r="BI485" t="e">
        <f t="shared" si="52"/>
        <v>#N/A</v>
      </c>
      <c r="BJ485">
        <v>10</v>
      </c>
    </row>
    <row r="486" spans="3:62" x14ac:dyDescent="0.3">
      <c r="C486">
        <v>12</v>
      </c>
      <c r="D486" s="36">
        <v>22.52</v>
      </c>
      <c r="K486" s="14">
        <f t="shared" si="49"/>
        <v>1E-3</v>
      </c>
      <c r="L486" s="14"/>
      <c r="O486" s="14">
        <f t="shared" si="47"/>
        <v>3.0000000000000001E-3</v>
      </c>
      <c r="P486" s="14">
        <f t="shared" si="48"/>
        <v>1.5E-3</v>
      </c>
      <c r="BF486">
        <v>16.3399999999999</v>
      </c>
      <c r="BG486" s="28">
        <f t="shared" si="50"/>
        <v>32.475883032880489</v>
      </c>
      <c r="BH486" t="e">
        <f t="shared" si="51"/>
        <v>#N/A</v>
      </c>
      <c r="BI486" t="e">
        <f t="shared" si="52"/>
        <v>#N/A</v>
      </c>
      <c r="BJ486">
        <v>10</v>
      </c>
    </row>
    <row r="487" spans="3:62" x14ac:dyDescent="0.3">
      <c r="C487">
        <v>13</v>
      </c>
      <c r="D487" s="36">
        <v>22.52</v>
      </c>
      <c r="K487" s="14">
        <f t="shared" si="49"/>
        <v>1E-3</v>
      </c>
      <c r="L487" s="14"/>
      <c r="O487" s="14">
        <f t="shared" si="47"/>
        <v>1E-3</v>
      </c>
      <c r="P487" s="14">
        <f t="shared" si="48"/>
        <v>1.5E-3</v>
      </c>
      <c r="BF487">
        <v>16.349999999999898</v>
      </c>
      <c r="BG487" s="28">
        <f t="shared" si="50"/>
        <v>32.49613952265976</v>
      </c>
      <c r="BH487" t="e">
        <f t="shared" si="51"/>
        <v>#N/A</v>
      </c>
      <c r="BI487" t="e">
        <f t="shared" si="52"/>
        <v>#N/A</v>
      </c>
      <c r="BJ487">
        <v>10</v>
      </c>
    </row>
    <row r="488" spans="3:62" x14ac:dyDescent="0.3">
      <c r="C488">
        <v>12</v>
      </c>
      <c r="D488" s="36">
        <v>20.45</v>
      </c>
      <c r="K488" s="14">
        <f t="shared" si="49"/>
        <v>1E-3</v>
      </c>
      <c r="L488" s="14"/>
      <c r="O488" s="14">
        <f t="shared" si="47"/>
        <v>3.0000000000000001E-3</v>
      </c>
      <c r="P488" s="14">
        <f t="shared" si="48"/>
        <v>1.5E-3</v>
      </c>
      <c r="BF488">
        <v>16.3599999999999</v>
      </c>
      <c r="BG488" s="28">
        <f t="shared" si="50"/>
        <v>32.516396012439046</v>
      </c>
      <c r="BH488" t="e">
        <f t="shared" si="51"/>
        <v>#N/A</v>
      </c>
      <c r="BI488" t="e">
        <f t="shared" si="52"/>
        <v>#N/A</v>
      </c>
      <c r="BJ488">
        <v>10</v>
      </c>
    </row>
    <row r="489" spans="3:62" x14ac:dyDescent="0.3">
      <c r="C489">
        <v>13</v>
      </c>
      <c r="D489" s="36">
        <v>15.13</v>
      </c>
      <c r="K489" s="14">
        <f t="shared" si="49"/>
        <v>1E-3</v>
      </c>
      <c r="L489" s="14"/>
      <c r="O489" s="14">
        <f t="shared" si="47"/>
        <v>1E-3</v>
      </c>
      <c r="P489" s="14">
        <f t="shared" si="48"/>
        <v>5.0000000000000001E-3</v>
      </c>
      <c r="BF489">
        <v>16.369999999999902</v>
      </c>
      <c r="BG489" s="28">
        <f t="shared" si="50"/>
        <v>32.536652502218331</v>
      </c>
      <c r="BH489" t="e">
        <f t="shared" si="51"/>
        <v>#N/A</v>
      </c>
      <c r="BI489" t="e">
        <f t="shared" si="52"/>
        <v>#N/A</v>
      </c>
      <c r="BJ489">
        <v>10</v>
      </c>
    </row>
    <row r="490" spans="3:62" x14ac:dyDescent="0.3">
      <c r="C490">
        <v>15</v>
      </c>
      <c r="D490" s="36">
        <v>18.559999999999999</v>
      </c>
      <c r="K490" s="14">
        <f t="shared" si="49"/>
        <v>1E-3</v>
      </c>
      <c r="L490" s="14"/>
      <c r="O490" s="14">
        <f t="shared" si="47"/>
        <v>4.0000000000000002E-4</v>
      </c>
      <c r="P490" s="14">
        <f t="shared" si="48"/>
        <v>5.0000000000000001E-3</v>
      </c>
      <c r="BF490">
        <v>16.3799999999999</v>
      </c>
      <c r="BG490" s="28">
        <f t="shared" si="50"/>
        <v>32.556908991997602</v>
      </c>
      <c r="BH490" t="e">
        <f t="shared" si="51"/>
        <v>#N/A</v>
      </c>
      <c r="BI490" t="e">
        <f t="shared" si="52"/>
        <v>#N/A</v>
      </c>
      <c r="BJ490">
        <v>10</v>
      </c>
    </row>
    <row r="491" spans="3:62" x14ac:dyDescent="0.3">
      <c r="C491">
        <v>16</v>
      </c>
      <c r="D491" s="36">
        <v>30.25</v>
      </c>
      <c r="K491" s="14">
        <f t="shared" si="49"/>
        <v>1E-3</v>
      </c>
      <c r="L491" s="14"/>
      <c r="O491" s="14">
        <f t="shared" si="47"/>
        <v>2.0000000000000001E-4</v>
      </c>
      <c r="P491" s="14">
        <f t="shared" si="48"/>
        <v>4.0000000000000002E-4</v>
      </c>
      <c r="BF491">
        <v>16.389999999999901</v>
      </c>
      <c r="BG491" s="28">
        <f t="shared" si="50"/>
        <v>32.577165481776888</v>
      </c>
      <c r="BH491" t="e">
        <f t="shared" si="51"/>
        <v>#N/A</v>
      </c>
      <c r="BI491" t="e">
        <f t="shared" si="52"/>
        <v>#N/A</v>
      </c>
      <c r="BJ491">
        <v>10</v>
      </c>
    </row>
    <row r="492" spans="3:62" x14ac:dyDescent="0.3">
      <c r="C492">
        <v>16</v>
      </c>
      <c r="D492" s="36">
        <v>31.15</v>
      </c>
      <c r="K492" s="14">
        <f t="shared" si="49"/>
        <v>1E-3</v>
      </c>
      <c r="L492" s="14"/>
      <c r="O492" s="14">
        <f t="shared" si="47"/>
        <v>2.0000000000000001E-4</v>
      </c>
      <c r="P492" s="14">
        <f t="shared" si="48"/>
        <v>4.0000000000000002E-4</v>
      </c>
      <c r="BF492">
        <v>16.399999999999899</v>
      </c>
      <c r="BG492" s="28">
        <f t="shared" si="50"/>
        <v>32.597421971556159</v>
      </c>
      <c r="BH492" t="e">
        <f t="shared" si="51"/>
        <v>#N/A</v>
      </c>
      <c r="BI492" t="e">
        <f t="shared" si="52"/>
        <v>#N/A</v>
      </c>
      <c r="BJ492">
        <v>10</v>
      </c>
    </row>
    <row r="493" spans="3:62" x14ac:dyDescent="0.3">
      <c r="C493">
        <v>14</v>
      </c>
      <c r="D493" s="36">
        <v>27.63</v>
      </c>
      <c r="K493" s="14">
        <f t="shared" si="49"/>
        <v>1E-3</v>
      </c>
      <c r="L493" s="14"/>
      <c r="O493" s="14">
        <f t="shared" si="47"/>
        <v>4.7156372549026095E-4</v>
      </c>
      <c r="P493" s="14">
        <f t="shared" si="48"/>
        <v>7.8587786259546764E-4</v>
      </c>
      <c r="BF493">
        <v>16.409999999999901</v>
      </c>
      <c r="BG493" s="28">
        <f t="shared" si="50"/>
        <v>32.61767846133543</v>
      </c>
      <c r="BH493" t="e">
        <f t="shared" si="51"/>
        <v>#N/A</v>
      </c>
      <c r="BI493" t="e">
        <f t="shared" si="52"/>
        <v>#N/A</v>
      </c>
      <c r="BJ493">
        <v>10</v>
      </c>
    </row>
    <row r="494" spans="3:62" x14ac:dyDescent="0.3">
      <c r="C494">
        <v>15</v>
      </c>
      <c r="D494" s="36">
        <v>32.28</v>
      </c>
      <c r="K494" s="14">
        <f t="shared" si="49"/>
        <v>1E-3</v>
      </c>
      <c r="L494" s="14"/>
      <c r="O494" s="14">
        <f t="shared" si="47"/>
        <v>4.0000000000000002E-4</v>
      </c>
      <c r="P494" s="14">
        <f t="shared" si="48"/>
        <v>1E-4</v>
      </c>
      <c r="BF494">
        <v>16.419999999999899</v>
      </c>
      <c r="BG494" s="28">
        <f t="shared" si="50"/>
        <v>32.637934951114715</v>
      </c>
      <c r="BH494" t="e">
        <f t="shared" si="51"/>
        <v>#N/A</v>
      </c>
      <c r="BI494" t="e">
        <f t="shared" si="52"/>
        <v>#N/A</v>
      </c>
      <c r="BJ494">
        <v>10</v>
      </c>
    </row>
    <row r="495" spans="3:62" x14ac:dyDescent="0.3">
      <c r="C495">
        <v>12</v>
      </c>
      <c r="D495" s="36">
        <v>26.57</v>
      </c>
      <c r="K495" s="14">
        <f t="shared" si="49"/>
        <v>1E-3</v>
      </c>
      <c r="L495" s="14"/>
      <c r="O495" s="14">
        <f t="shared" si="47"/>
        <v>3.0000000000000001E-3</v>
      </c>
      <c r="P495" s="14">
        <f t="shared" si="48"/>
        <v>7.8587786259546764E-4</v>
      </c>
      <c r="BF495">
        <v>16.4299999999999</v>
      </c>
      <c r="BG495" s="28">
        <f t="shared" si="50"/>
        <v>32.658191440893987</v>
      </c>
      <c r="BH495" t="e">
        <f t="shared" si="51"/>
        <v>#N/A</v>
      </c>
      <c r="BI495" t="e">
        <f t="shared" si="52"/>
        <v>#N/A</v>
      </c>
      <c r="BJ495">
        <v>10</v>
      </c>
    </row>
    <row r="496" spans="3:62" x14ac:dyDescent="0.3">
      <c r="C496">
        <v>12</v>
      </c>
      <c r="D496" s="36">
        <v>14.67</v>
      </c>
      <c r="K496" s="14">
        <f t="shared" si="49"/>
        <v>1E-3</v>
      </c>
      <c r="L496" s="14"/>
      <c r="O496" s="14">
        <f t="shared" si="47"/>
        <v>3.0000000000000001E-3</v>
      </c>
      <c r="P496" s="14">
        <f t="shared" si="48"/>
        <v>5.0000000000000001E-3</v>
      </c>
      <c r="BF496">
        <v>16.439999999999898</v>
      </c>
      <c r="BG496" s="28">
        <f t="shared" si="50"/>
        <v>32.678447930673258</v>
      </c>
      <c r="BH496" t="e">
        <f t="shared" si="51"/>
        <v>#N/A</v>
      </c>
      <c r="BI496" t="e">
        <f t="shared" si="52"/>
        <v>#N/A</v>
      </c>
      <c r="BJ496">
        <v>10</v>
      </c>
    </row>
    <row r="497" spans="3:62" x14ac:dyDescent="0.3">
      <c r="C497">
        <v>12</v>
      </c>
      <c r="D497" s="36">
        <v>15.96</v>
      </c>
      <c r="K497" s="14">
        <f t="shared" si="49"/>
        <v>1E-3</v>
      </c>
      <c r="L497" s="14"/>
      <c r="O497" s="14">
        <f t="shared" si="47"/>
        <v>3.0000000000000001E-3</v>
      </c>
      <c r="P497" s="14">
        <f t="shared" si="48"/>
        <v>5.0000000000000001E-3</v>
      </c>
      <c r="BF497">
        <v>16.4499999999999</v>
      </c>
      <c r="BG497" s="28">
        <f t="shared" si="50"/>
        <v>32.698704420452543</v>
      </c>
      <c r="BH497" t="e">
        <f t="shared" si="51"/>
        <v>#N/A</v>
      </c>
      <c r="BI497" t="e">
        <f t="shared" si="52"/>
        <v>#N/A</v>
      </c>
      <c r="BJ497">
        <v>10</v>
      </c>
    </row>
    <row r="498" spans="3:62" x14ac:dyDescent="0.3">
      <c r="C498">
        <v>12</v>
      </c>
      <c r="D498" s="36">
        <v>13.81</v>
      </c>
      <c r="K498" s="14">
        <f t="shared" si="49"/>
        <v>1E-3</v>
      </c>
      <c r="L498" s="14"/>
      <c r="O498" s="14">
        <f t="shared" si="47"/>
        <v>3.0000000000000001E-3</v>
      </c>
      <c r="P498" s="14">
        <f t="shared" si="48"/>
        <v>5.0000000000000001E-3</v>
      </c>
      <c r="BF498">
        <v>16.459999999999901</v>
      </c>
      <c r="BG498" s="28">
        <f t="shared" si="50"/>
        <v>32.718960910231829</v>
      </c>
      <c r="BH498" t="e">
        <f t="shared" si="51"/>
        <v>#N/A</v>
      </c>
      <c r="BI498" t="e">
        <f t="shared" si="52"/>
        <v>#N/A</v>
      </c>
      <c r="BJ498">
        <v>10</v>
      </c>
    </row>
    <row r="499" spans="3:62" x14ac:dyDescent="0.3">
      <c r="C499">
        <v>15</v>
      </c>
      <c r="D499" s="36">
        <v>26.94</v>
      </c>
      <c r="K499" s="14">
        <f t="shared" si="49"/>
        <v>1E-3</v>
      </c>
      <c r="L499" s="14"/>
      <c r="O499" s="14">
        <f t="shared" si="47"/>
        <v>4.0000000000000002E-4</v>
      </c>
      <c r="P499" s="14">
        <f t="shared" si="48"/>
        <v>7.8587786259546764E-4</v>
      </c>
      <c r="BF499">
        <v>16.469999999999899</v>
      </c>
      <c r="BG499" s="28">
        <f t="shared" si="50"/>
        <v>32.7392174000111</v>
      </c>
      <c r="BH499" t="e">
        <f t="shared" si="51"/>
        <v>#N/A</v>
      </c>
      <c r="BI499" t="e">
        <f t="shared" si="52"/>
        <v>#N/A</v>
      </c>
      <c r="BJ499">
        <v>10</v>
      </c>
    </row>
    <row r="500" spans="3:62" x14ac:dyDescent="0.3">
      <c r="C500">
        <v>15</v>
      </c>
      <c r="D500" s="36">
        <v>23.19</v>
      </c>
      <c r="K500" s="14">
        <f t="shared" si="49"/>
        <v>1E-3</v>
      </c>
      <c r="L500" s="14"/>
      <c r="O500" s="14">
        <f t="shared" si="47"/>
        <v>4.0000000000000002E-4</v>
      </c>
      <c r="P500" s="14">
        <f t="shared" si="48"/>
        <v>1.5E-3</v>
      </c>
      <c r="BF500">
        <v>16.479999999999901</v>
      </c>
      <c r="BG500" s="28">
        <f t="shared" si="50"/>
        <v>32.759473889790385</v>
      </c>
      <c r="BH500" t="e">
        <f t="shared" si="51"/>
        <v>#N/A</v>
      </c>
      <c r="BI500" t="e">
        <f t="shared" si="52"/>
        <v>#N/A</v>
      </c>
      <c r="BJ500">
        <v>10</v>
      </c>
    </row>
    <row r="501" spans="3:62" x14ac:dyDescent="0.3">
      <c r="C501">
        <v>15</v>
      </c>
      <c r="D501" s="36">
        <v>28.97</v>
      </c>
      <c r="K501" s="14">
        <f t="shared" si="49"/>
        <v>1E-3</v>
      </c>
      <c r="L501" s="14"/>
      <c r="O501" s="14">
        <f t="shared" si="47"/>
        <v>4.0000000000000002E-4</v>
      </c>
      <c r="P501" s="14">
        <f t="shared" si="48"/>
        <v>4.0000000000000002E-4</v>
      </c>
      <c r="BF501">
        <v>16.489999999999899</v>
      </c>
      <c r="BG501" s="28">
        <f t="shared" si="50"/>
        <v>32.779730379569656</v>
      </c>
      <c r="BH501" t="e">
        <f t="shared" si="51"/>
        <v>#N/A</v>
      </c>
      <c r="BI501" t="e">
        <f t="shared" si="52"/>
        <v>#N/A</v>
      </c>
      <c r="BJ501">
        <v>10</v>
      </c>
    </row>
    <row r="502" spans="3:62" x14ac:dyDescent="0.3">
      <c r="C502">
        <v>12</v>
      </c>
      <c r="D502" s="36">
        <v>19.53</v>
      </c>
      <c r="K502" s="14">
        <f t="shared" si="49"/>
        <v>1E-3</v>
      </c>
      <c r="L502" s="14"/>
      <c r="O502" s="14">
        <f t="shared" si="47"/>
        <v>3.0000000000000001E-3</v>
      </c>
      <c r="P502" s="14">
        <f t="shared" si="48"/>
        <v>5.0000000000000001E-3</v>
      </c>
      <c r="BF502">
        <v>16.499999999999901</v>
      </c>
      <c r="BG502" s="28">
        <f t="shared" si="50"/>
        <v>32.799986869348928</v>
      </c>
      <c r="BH502" t="e">
        <f t="shared" si="51"/>
        <v>#N/A</v>
      </c>
      <c r="BI502" t="e">
        <f t="shared" si="52"/>
        <v>#N/A</v>
      </c>
      <c r="BJ502">
        <v>10</v>
      </c>
    </row>
    <row r="503" spans="3:62" x14ac:dyDescent="0.3">
      <c r="C503">
        <v>13</v>
      </c>
      <c r="D503" s="36">
        <v>25.99</v>
      </c>
      <c r="K503" s="14">
        <f t="shared" si="49"/>
        <v>1E-3</v>
      </c>
      <c r="L503" s="14"/>
      <c r="O503" s="14">
        <f t="shared" si="47"/>
        <v>1E-3</v>
      </c>
      <c r="P503" s="14">
        <f t="shared" si="48"/>
        <v>7.8587786259546764E-4</v>
      </c>
      <c r="BG503" s="28"/>
    </row>
    <row r="504" spans="3:62" x14ac:dyDescent="0.3">
      <c r="C504">
        <v>14</v>
      </c>
      <c r="D504" s="36">
        <v>27.89</v>
      </c>
      <c r="K504" s="14">
        <f t="shared" si="49"/>
        <v>1E-3</v>
      </c>
      <c r="L504" s="14"/>
      <c r="O504" s="14">
        <f t="shared" si="47"/>
        <v>4.7156372549026095E-4</v>
      </c>
      <c r="P504" s="14">
        <f t="shared" si="48"/>
        <v>7.8587786259546764E-4</v>
      </c>
      <c r="BG504" s="28"/>
    </row>
    <row r="505" spans="3:62" x14ac:dyDescent="0.3">
      <c r="C505">
        <v>16</v>
      </c>
      <c r="D505" s="36">
        <v>35.9</v>
      </c>
      <c r="K505" s="14">
        <f t="shared" si="49"/>
        <v>1E-3</v>
      </c>
      <c r="L505" s="14"/>
      <c r="O505" s="14">
        <f t="shared" si="47"/>
        <v>2.0000000000000001E-4</v>
      </c>
      <c r="P505" s="14">
        <f t="shared" si="48"/>
        <v>1E-4</v>
      </c>
      <c r="BG505" s="28"/>
    </row>
    <row r="506" spans="3:62" x14ac:dyDescent="0.3">
      <c r="C506">
        <v>14</v>
      </c>
      <c r="D506" s="36">
        <v>27.01</v>
      </c>
      <c r="K506" s="14">
        <f t="shared" si="49"/>
        <v>1E-3</v>
      </c>
      <c r="L506" s="14"/>
      <c r="O506" s="14">
        <f t="shared" si="47"/>
        <v>4.7156372549026095E-4</v>
      </c>
      <c r="P506" s="14">
        <f t="shared" si="48"/>
        <v>7.8587786259546764E-4</v>
      </c>
      <c r="BG506" s="28"/>
    </row>
    <row r="507" spans="3:62" x14ac:dyDescent="0.3">
      <c r="C507">
        <v>12</v>
      </c>
      <c r="D507" s="36">
        <v>29.92</v>
      </c>
      <c r="K507" s="14">
        <f t="shared" si="49"/>
        <v>1E-3</v>
      </c>
      <c r="L507" s="14"/>
      <c r="O507" s="14">
        <f t="shared" si="47"/>
        <v>3.0000000000000001E-3</v>
      </c>
      <c r="P507" s="14">
        <f t="shared" si="48"/>
        <v>4.0000000000000002E-4</v>
      </c>
      <c r="BG507" s="28"/>
    </row>
    <row r="508" spans="3:62" x14ac:dyDescent="0.3">
      <c r="C508">
        <v>13</v>
      </c>
      <c r="D508" s="36">
        <v>22.34</v>
      </c>
      <c r="K508" s="14">
        <f t="shared" si="49"/>
        <v>1E-3</v>
      </c>
      <c r="L508" s="14"/>
      <c r="O508" s="14">
        <f t="shared" si="47"/>
        <v>1E-3</v>
      </c>
      <c r="P508" s="14">
        <f t="shared" si="48"/>
        <v>1.5E-3</v>
      </c>
      <c r="BG508" s="28"/>
    </row>
    <row r="509" spans="3:62" x14ac:dyDescent="0.3">
      <c r="C509">
        <v>16</v>
      </c>
      <c r="D509" s="36">
        <v>36.840000000000003</v>
      </c>
      <c r="K509" s="14">
        <f t="shared" si="49"/>
        <v>1E-3</v>
      </c>
      <c r="L509" s="14"/>
      <c r="O509" s="14">
        <f t="shared" si="47"/>
        <v>2.0000000000000001E-4</v>
      </c>
      <c r="P509" s="14">
        <f t="shared" si="48"/>
        <v>1E-4</v>
      </c>
      <c r="BG509" s="28"/>
    </row>
    <row r="510" spans="3:62" x14ac:dyDescent="0.3">
      <c r="C510">
        <v>13</v>
      </c>
      <c r="D510" s="36">
        <v>25.02</v>
      </c>
      <c r="K510" s="14">
        <f t="shared" si="49"/>
        <v>1E-3</v>
      </c>
      <c r="L510" s="14"/>
      <c r="O510" s="14">
        <f t="shared" si="47"/>
        <v>1E-3</v>
      </c>
      <c r="P510" s="14">
        <f t="shared" si="48"/>
        <v>7.8587786259546764E-4</v>
      </c>
      <c r="BG510" s="28"/>
    </row>
    <row r="511" spans="3:62" x14ac:dyDescent="0.3">
      <c r="C511">
        <v>14</v>
      </c>
      <c r="D511" s="36">
        <v>28.82</v>
      </c>
      <c r="K511" s="14">
        <f t="shared" si="49"/>
        <v>1E-3</v>
      </c>
      <c r="L511" s="14"/>
      <c r="O511" s="14">
        <f t="shared" si="47"/>
        <v>4.7156372549026095E-4</v>
      </c>
      <c r="P511" s="14">
        <f t="shared" si="48"/>
        <v>4.0000000000000002E-4</v>
      </c>
      <c r="BG511" s="28"/>
    </row>
    <row r="512" spans="3:62" x14ac:dyDescent="0.3">
      <c r="C512">
        <v>15</v>
      </c>
      <c r="D512" s="36">
        <v>35.450000000000003</v>
      </c>
      <c r="K512" s="14">
        <f t="shared" si="49"/>
        <v>1E-3</v>
      </c>
      <c r="L512" s="14"/>
      <c r="O512" s="14">
        <f t="shared" si="47"/>
        <v>4.0000000000000002E-4</v>
      </c>
      <c r="P512" s="14">
        <f t="shared" si="48"/>
        <v>1E-4</v>
      </c>
      <c r="BG512" s="28"/>
    </row>
    <row r="513" spans="3:59" x14ac:dyDescent="0.3">
      <c r="C513">
        <v>15</v>
      </c>
      <c r="D513" s="36">
        <v>33.03</v>
      </c>
      <c r="K513" s="14">
        <f t="shared" si="49"/>
        <v>1E-3</v>
      </c>
      <c r="L513" s="14"/>
      <c r="O513" s="14">
        <f t="shared" si="47"/>
        <v>4.0000000000000002E-4</v>
      </c>
      <c r="P513" s="14">
        <f t="shared" si="48"/>
        <v>1E-4</v>
      </c>
      <c r="BG513" s="28"/>
    </row>
    <row r="514" spans="3:59" x14ac:dyDescent="0.3">
      <c r="C514">
        <v>16</v>
      </c>
      <c r="D514" s="36">
        <v>36.44</v>
      </c>
      <c r="K514" s="14">
        <f t="shared" si="49"/>
        <v>1E-3</v>
      </c>
      <c r="L514" s="14"/>
      <c r="O514" s="14">
        <f t="shared" ref="O514:O577" si="53">IF(C514=12,$M$4,IF(C514=13,$M$5,IF(C514=14,$M$6,IF(C514=15,$M$7,$M$8))))</f>
        <v>2.0000000000000001E-4</v>
      </c>
      <c r="P514" s="14">
        <f t="shared" ref="P514:P577" si="54">IF(D514&lt;20,$M$14,IF(D514&lt;24,$M$15,IF(D514&lt;28,$M$16,IF(D514&lt;32,$M$17,$M$18))))</f>
        <v>1E-4</v>
      </c>
      <c r="BG514" s="28"/>
    </row>
    <row r="515" spans="3:59" x14ac:dyDescent="0.3">
      <c r="C515">
        <v>13</v>
      </c>
      <c r="D515" s="36">
        <v>22.88</v>
      </c>
      <c r="K515" s="14">
        <f t="shared" ref="K515:K578" si="55">1/1000</f>
        <v>1E-3</v>
      </c>
      <c r="L515" s="14"/>
      <c r="O515" s="14">
        <f t="shared" si="53"/>
        <v>1E-3</v>
      </c>
      <c r="P515" s="14">
        <f t="shared" si="54"/>
        <v>1.5E-3</v>
      </c>
      <c r="BG515" s="28"/>
    </row>
    <row r="516" spans="3:59" x14ac:dyDescent="0.3">
      <c r="C516">
        <v>15</v>
      </c>
      <c r="D516" s="36">
        <v>34.26</v>
      </c>
      <c r="K516" s="14">
        <f t="shared" si="55"/>
        <v>1E-3</v>
      </c>
      <c r="L516" s="14"/>
      <c r="O516" s="14">
        <f t="shared" si="53"/>
        <v>4.0000000000000002E-4</v>
      </c>
      <c r="P516" s="14">
        <f t="shared" si="54"/>
        <v>1E-4</v>
      </c>
      <c r="BG516" s="28"/>
    </row>
    <row r="517" spans="3:59" x14ac:dyDescent="0.3">
      <c r="C517">
        <v>12</v>
      </c>
      <c r="D517" s="36">
        <v>20.04</v>
      </c>
      <c r="K517" s="14">
        <f t="shared" si="55"/>
        <v>1E-3</v>
      </c>
      <c r="L517" s="14"/>
      <c r="O517" s="14">
        <f t="shared" si="53"/>
        <v>3.0000000000000001E-3</v>
      </c>
      <c r="P517" s="14">
        <f t="shared" si="54"/>
        <v>1.5E-3</v>
      </c>
      <c r="BG517" s="28"/>
    </row>
    <row r="518" spans="3:59" x14ac:dyDescent="0.3">
      <c r="C518">
        <v>16</v>
      </c>
      <c r="D518" s="36">
        <v>30.26</v>
      </c>
      <c r="K518" s="14">
        <f t="shared" si="55"/>
        <v>1E-3</v>
      </c>
      <c r="L518" s="14"/>
      <c r="O518" s="14">
        <f t="shared" si="53"/>
        <v>2.0000000000000001E-4</v>
      </c>
      <c r="P518" s="14">
        <f t="shared" si="54"/>
        <v>4.0000000000000002E-4</v>
      </c>
      <c r="BG518" s="28"/>
    </row>
    <row r="519" spans="3:59" x14ac:dyDescent="0.3">
      <c r="C519">
        <v>13</v>
      </c>
      <c r="D519" s="36">
        <v>27.34</v>
      </c>
      <c r="K519" s="14">
        <f t="shared" si="55"/>
        <v>1E-3</v>
      </c>
      <c r="L519" s="14"/>
      <c r="O519" s="14">
        <f t="shared" si="53"/>
        <v>1E-3</v>
      </c>
      <c r="P519" s="14">
        <f t="shared" si="54"/>
        <v>7.8587786259546764E-4</v>
      </c>
      <c r="BG519" s="28"/>
    </row>
    <row r="520" spans="3:59" x14ac:dyDescent="0.3">
      <c r="C520">
        <v>13</v>
      </c>
      <c r="D520" s="36">
        <v>19.809999999999999</v>
      </c>
      <c r="K520" s="14">
        <f t="shared" si="55"/>
        <v>1E-3</v>
      </c>
      <c r="L520" s="14"/>
      <c r="O520" s="14">
        <f t="shared" si="53"/>
        <v>1E-3</v>
      </c>
      <c r="P520" s="14">
        <f t="shared" si="54"/>
        <v>5.0000000000000001E-3</v>
      </c>
      <c r="BG520" s="28"/>
    </row>
    <row r="521" spans="3:59" x14ac:dyDescent="0.3">
      <c r="C521">
        <v>13</v>
      </c>
      <c r="D521" s="36">
        <v>33.409999999999997</v>
      </c>
      <c r="K521" s="14">
        <f t="shared" si="55"/>
        <v>1E-3</v>
      </c>
      <c r="L521" s="14"/>
      <c r="O521" s="14">
        <f t="shared" si="53"/>
        <v>1E-3</v>
      </c>
      <c r="P521" s="14">
        <f t="shared" si="54"/>
        <v>1E-4</v>
      </c>
      <c r="BG521" s="28"/>
    </row>
    <row r="522" spans="3:59" x14ac:dyDescent="0.3">
      <c r="C522">
        <v>15</v>
      </c>
      <c r="D522" s="36">
        <v>36.82</v>
      </c>
      <c r="K522" s="14">
        <f t="shared" si="55"/>
        <v>1E-3</v>
      </c>
      <c r="L522" s="14"/>
      <c r="O522" s="14">
        <f t="shared" si="53"/>
        <v>4.0000000000000002E-4</v>
      </c>
      <c r="P522" s="14">
        <f t="shared" si="54"/>
        <v>1E-4</v>
      </c>
      <c r="BG522" s="28"/>
    </row>
    <row r="523" spans="3:59" x14ac:dyDescent="0.3">
      <c r="C523">
        <v>15</v>
      </c>
      <c r="D523" s="36">
        <v>43.36</v>
      </c>
      <c r="E523" t="s">
        <v>96</v>
      </c>
      <c r="K523" s="14">
        <f t="shared" si="55"/>
        <v>1E-3</v>
      </c>
      <c r="L523" s="14"/>
      <c r="O523" s="14">
        <f t="shared" si="53"/>
        <v>4.0000000000000002E-4</v>
      </c>
      <c r="P523" s="14">
        <f t="shared" si="54"/>
        <v>1E-4</v>
      </c>
      <c r="BG523" s="28"/>
    </row>
    <row r="524" spans="3:59" x14ac:dyDescent="0.3">
      <c r="C524">
        <v>16</v>
      </c>
      <c r="D524" s="36">
        <v>29.5</v>
      </c>
      <c r="K524" s="14">
        <f t="shared" si="55"/>
        <v>1E-3</v>
      </c>
      <c r="L524" s="14"/>
      <c r="O524" s="14">
        <f t="shared" si="53"/>
        <v>2.0000000000000001E-4</v>
      </c>
      <c r="P524" s="14">
        <f t="shared" si="54"/>
        <v>4.0000000000000002E-4</v>
      </c>
      <c r="BG524" s="28"/>
    </row>
    <row r="525" spans="3:59" x14ac:dyDescent="0.3">
      <c r="C525">
        <v>12</v>
      </c>
      <c r="D525" s="36">
        <v>26.6</v>
      </c>
      <c r="K525" s="14">
        <f t="shared" si="55"/>
        <v>1E-3</v>
      </c>
      <c r="L525" s="14"/>
      <c r="O525" s="14">
        <f t="shared" si="53"/>
        <v>3.0000000000000001E-3</v>
      </c>
      <c r="P525" s="14">
        <f t="shared" si="54"/>
        <v>7.8587786259546764E-4</v>
      </c>
      <c r="BG525" s="28"/>
    </row>
    <row r="526" spans="3:59" x14ac:dyDescent="0.3">
      <c r="C526">
        <v>12</v>
      </c>
      <c r="D526" s="36">
        <v>24.28</v>
      </c>
      <c r="K526" s="14">
        <f t="shared" si="55"/>
        <v>1E-3</v>
      </c>
      <c r="L526" s="14"/>
      <c r="O526" s="14">
        <f t="shared" si="53"/>
        <v>3.0000000000000001E-3</v>
      </c>
      <c r="P526" s="14">
        <f t="shared" si="54"/>
        <v>7.8587786259546764E-4</v>
      </c>
      <c r="BG526" s="28"/>
    </row>
    <row r="527" spans="3:59" x14ac:dyDescent="0.3">
      <c r="C527">
        <v>16</v>
      </c>
      <c r="D527" s="36">
        <v>31.5</v>
      </c>
      <c r="K527" s="14">
        <f t="shared" si="55"/>
        <v>1E-3</v>
      </c>
      <c r="L527" s="14"/>
      <c r="O527" s="14">
        <f t="shared" si="53"/>
        <v>2.0000000000000001E-4</v>
      </c>
      <c r="P527" s="14">
        <f t="shared" si="54"/>
        <v>4.0000000000000002E-4</v>
      </c>
      <c r="BG527" s="28"/>
    </row>
    <row r="528" spans="3:59" x14ac:dyDescent="0.3">
      <c r="C528">
        <v>16</v>
      </c>
      <c r="D528" s="36">
        <v>31.99</v>
      </c>
      <c r="K528" s="14">
        <f t="shared" si="55"/>
        <v>1E-3</v>
      </c>
      <c r="L528" s="14"/>
      <c r="O528" s="14">
        <f t="shared" si="53"/>
        <v>2.0000000000000001E-4</v>
      </c>
      <c r="P528" s="14">
        <f t="shared" si="54"/>
        <v>4.0000000000000002E-4</v>
      </c>
      <c r="BG528" s="28"/>
    </row>
    <row r="529" spans="3:59" x14ac:dyDescent="0.3">
      <c r="C529">
        <v>13</v>
      </c>
      <c r="D529" s="36">
        <v>21.73</v>
      </c>
      <c r="K529" s="14">
        <f t="shared" si="55"/>
        <v>1E-3</v>
      </c>
      <c r="L529" s="14"/>
      <c r="O529" s="14">
        <f t="shared" si="53"/>
        <v>1E-3</v>
      </c>
      <c r="P529" s="14">
        <f t="shared" si="54"/>
        <v>1.5E-3</v>
      </c>
      <c r="BG529" s="28"/>
    </row>
    <row r="530" spans="3:59" x14ac:dyDescent="0.3">
      <c r="C530">
        <v>14</v>
      </c>
      <c r="D530" s="36">
        <v>33.840000000000003</v>
      </c>
      <c r="K530" s="14">
        <f t="shared" si="55"/>
        <v>1E-3</v>
      </c>
      <c r="L530" s="14"/>
      <c r="O530" s="14">
        <f t="shared" si="53"/>
        <v>4.7156372549026095E-4</v>
      </c>
      <c r="P530" s="14">
        <f t="shared" si="54"/>
        <v>1E-4</v>
      </c>
      <c r="BG530" s="28"/>
    </row>
    <row r="531" spans="3:59" x14ac:dyDescent="0.3">
      <c r="C531">
        <v>15</v>
      </c>
      <c r="D531" s="36">
        <v>28.91</v>
      </c>
      <c r="K531" s="14">
        <f t="shared" si="55"/>
        <v>1E-3</v>
      </c>
      <c r="L531" s="14"/>
      <c r="O531" s="14">
        <f t="shared" si="53"/>
        <v>4.0000000000000002E-4</v>
      </c>
      <c r="P531" s="14">
        <f t="shared" si="54"/>
        <v>4.0000000000000002E-4</v>
      </c>
      <c r="BG531" s="28"/>
    </row>
    <row r="532" spans="3:59" x14ac:dyDescent="0.3">
      <c r="C532">
        <v>13</v>
      </c>
      <c r="D532" s="36">
        <v>28.13</v>
      </c>
      <c r="K532" s="14">
        <f t="shared" si="55"/>
        <v>1E-3</v>
      </c>
      <c r="L532" s="14"/>
      <c r="O532" s="14">
        <f t="shared" si="53"/>
        <v>1E-3</v>
      </c>
      <c r="P532" s="14">
        <f t="shared" si="54"/>
        <v>4.0000000000000002E-4</v>
      </c>
      <c r="BG532" s="28"/>
    </row>
    <row r="533" spans="3:59" x14ac:dyDescent="0.3">
      <c r="C533">
        <v>16</v>
      </c>
      <c r="D533" s="36">
        <v>33.47</v>
      </c>
      <c r="K533" s="14">
        <f t="shared" si="55"/>
        <v>1E-3</v>
      </c>
      <c r="L533" s="14"/>
      <c r="O533" s="14">
        <f t="shared" si="53"/>
        <v>2.0000000000000001E-4</v>
      </c>
      <c r="P533" s="14">
        <f t="shared" si="54"/>
        <v>1E-4</v>
      </c>
      <c r="BG533" s="28"/>
    </row>
    <row r="534" spans="3:59" x14ac:dyDescent="0.3">
      <c r="C534">
        <v>15</v>
      </c>
      <c r="D534" s="36">
        <v>26.16</v>
      </c>
      <c r="K534" s="14">
        <f t="shared" si="55"/>
        <v>1E-3</v>
      </c>
      <c r="L534" s="14"/>
      <c r="O534" s="14">
        <f t="shared" si="53"/>
        <v>4.0000000000000002E-4</v>
      </c>
      <c r="P534" s="14">
        <f t="shared" si="54"/>
        <v>7.8587786259546764E-4</v>
      </c>
      <c r="BG534" s="28"/>
    </row>
    <row r="535" spans="3:59" x14ac:dyDescent="0.3">
      <c r="C535">
        <v>16</v>
      </c>
      <c r="D535" s="36">
        <v>26.67</v>
      </c>
      <c r="K535" s="14">
        <f t="shared" si="55"/>
        <v>1E-3</v>
      </c>
      <c r="L535" s="14"/>
      <c r="O535" s="14">
        <f t="shared" si="53"/>
        <v>2.0000000000000001E-4</v>
      </c>
      <c r="P535" s="14">
        <f t="shared" si="54"/>
        <v>7.8587786259546764E-4</v>
      </c>
      <c r="BG535" s="28"/>
    </row>
    <row r="536" spans="3:59" x14ac:dyDescent="0.3">
      <c r="C536">
        <v>12</v>
      </c>
      <c r="D536" s="36">
        <v>31.31</v>
      </c>
      <c r="K536" s="14">
        <f t="shared" si="55"/>
        <v>1E-3</v>
      </c>
      <c r="L536" s="14"/>
      <c r="O536" s="14">
        <f t="shared" si="53"/>
        <v>3.0000000000000001E-3</v>
      </c>
      <c r="P536" s="14">
        <f t="shared" si="54"/>
        <v>4.0000000000000002E-4</v>
      </c>
      <c r="BG536" s="28"/>
    </row>
    <row r="537" spans="3:59" x14ac:dyDescent="0.3">
      <c r="C537">
        <v>15</v>
      </c>
      <c r="D537" s="36">
        <v>34.9</v>
      </c>
      <c r="K537" s="14">
        <f t="shared" si="55"/>
        <v>1E-3</v>
      </c>
      <c r="L537" s="14"/>
      <c r="O537" s="14">
        <f t="shared" si="53"/>
        <v>4.0000000000000002E-4</v>
      </c>
      <c r="P537" s="14">
        <f t="shared" si="54"/>
        <v>1E-4</v>
      </c>
      <c r="BG537" s="28"/>
    </row>
    <row r="538" spans="3:59" x14ac:dyDescent="0.3">
      <c r="C538">
        <v>14</v>
      </c>
      <c r="D538" s="36">
        <v>23.22</v>
      </c>
      <c r="K538" s="14">
        <f t="shared" si="55"/>
        <v>1E-3</v>
      </c>
      <c r="L538" s="14"/>
      <c r="O538" s="14">
        <f t="shared" si="53"/>
        <v>4.7156372549026095E-4</v>
      </c>
      <c r="P538" s="14">
        <f t="shared" si="54"/>
        <v>1.5E-3</v>
      </c>
      <c r="BG538" s="28"/>
    </row>
    <row r="539" spans="3:59" x14ac:dyDescent="0.3">
      <c r="C539">
        <v>13</v>
      </c>
      <c r="D539" s="36">
        <v>19.940000000000001</v>
      </c>
      <c r="K539" s="14">
        <f t="shared" si="55"/>
        <v>1E-3</v>
      </c>
      <c r="L539" s="14"/>
      <c r="O539" s="14">
        <f t="shared" si="53"/>
        <v>1E-3</v>
      </c>
      <c r="P539" s="14">
        <f t="shared" si="54"/>
        <v>5.0000000000000001E-3</v>
      </c>
      <c r="BG539" s="28"/>
    </row>
    <row r="540" spans="3:59" x14ac:dyDescent="0.3">
      <c r="C540">
        <v>16</v>
      </c>
      <c r="D540" s="36">
        <v>34.06</v>
      </c>
      <c r="K540" s="14">
        <f t="shared" si="55"/>
        <v>1E-3</v>
      </c>
      <c r="L540" s="14"/>
      <c r="O540" s="14">
        <f t="shared" si="53"/>
        <v>2.0000000000000001E-4</v>
      </c>
      <c r="P540" s="14">
        <f t="shared" si="54"/>
        <v>1E-4</v>
      </c>
      <c r="BG540" s="28"/>
    </row>
    <row r="541" spans="3:59" x14ac:dyDescent="0.3">
      <c r="C541">
        <v>12</v>
      </c>
      <c r="D541" s="36">
        <v>19.12</v>
      </c>
      <c r="K541" s="14">
        <f t="shared" si="55"/>
        <v>1E-3</v>
      </c>
      <c r="L541" s="14"/>
      <c r="O541" s="14">
        <f t="shared" si="53"/>
        <v>3.0000000000000001E-3</v>
      </c>
      <c r="P541" s="14">
        <f t="shared" si="54"/>
        <v>5.0000000000000001E-3</v>
      </c>
      <c r="BG541" s="28"/>
    </row>
    <row r="542" spans="3:59" x14ac:dyDescent="0.3">
      <c r="C542">
        <v>16</v>
      </c>
      <c r="D542" s="36">
        <v>31.14</v>
      </c>
      <c r="K542" s="14">
        <f t="shared" si="55"/>
        <v>1E-3</v>
      </c>
      <c r="L542" s="14"/>
      <c r="O542" s="14">
        <f t="shared" si="53"/>
        <v>2.0000000000000001E-4</v>
      </c>
      <c r="P542" s="14">
        <f t="shared" si="54"/>
        <v>4.0000000000000002E-4</v>
      </c>
      <c r="BG542" s="28"/>
    </row>
    <row r="543" spans="3:59" x14ac:dyDescent="0.3">
      <c r="C543">
        <v>16</v>
      </c>
      <c r="D543" s="36">
        <v>20.260000000000002</v>
      </c>
      <c r="K543" s="14">
        <f t="shared" si="55"/>
        <v>1E-3</v>
      </c>
      <c r="L543" s="14"/>
      <c r="O543" s="14">
        <f t="shared" si="53"/>
        <v>2.0000000000000001E-4</v>
      </c>
      <c r="P543" s="14">
        <f t="shared" si="54"/>
        <v>1.5E-3</v>
      </c>
      <c r="BG543" s="28"/>
    </row>
    <row r="544" spans="3:59" x14ac:dyDescent="0.3">
      <c r="C544">
        <v>13</v>
      </c>
      <c r="D544" s="36">
        <v>22.48</v>
      </c>
      <c r="K544" s="14">
        <f t="shared" si="55"/>
        <v>1E-3</v>
      </c>
      <c r="L544" s="14"/>
      <c r="O544" s="14">
        <f t="shared" si="53"/>
        <v>1E-3</v>
      </c>
      <c r="P544" s="14">
        <f t="shared" si="54"/>
        <v>1.5E-3</v>
      </c>
      <c r="BG544" s="28"/>
    </row>
    <row r="545" spans="3:59" x14ac:dyDescent="0.3">
      <c r="C545">
        <v>14</v>
      </c>
      <c r="D545" s="36">
        <v>34.14</v>
      </c>
      <c r="K545" s="14">
        <f t="shared" si="55"/>
        <v>1E-3</v>
      </c>
      <c r="L545" s="14"/>
      <c r="O545" s="14">
        <f t="shared" si="53"/>
        <v>4.7156372549026095E-4</v>
      </c>
      <c r="P545" s="14">
        <f t="shared" si="54"/>
        <v>1E-4</v>
      </c>
      <c r="BG545" s="28"/>
    </row>
    <row r="546" spans="3:59" x14ac:dyDescent="0.3">
      <c r="C546">
        <v>15</v>
      </c>
      <c r="D546" s="36">
        <v>30.76</v>
      </c>
      <c r="K546" s="14">
        <f t="shared" si="55"/>
        <v>1E-3</v>
      </c>
      <c r="L546" s="14"/>
      <c r="O546" s="14">
        <f t="shared" si="53"/>
        <v>4.0000000000000002E-4</v>
      </c>
      <c r="P546" s="14">
        <f t="shared" si="54"/>
        <v>4.0000000000000002E-4</v>
      </c>
      <c r="BG546" s="28"/>
    </row>
    <row r="547" spans="3:59" x14ac:dyDescent="0.3">
      <c r="C547">
        <v>15</v>
      </c>
      <c r="D547" s="36">
        <v>24.1</v>
      </c>
      <c r="K547" s="14">
        <f t="shared" si="55"/>
        <v>1E-3</v>
      </c>
      <c r="L547" s="14"/>
      <c r="O547" s="14">
        <f t="shared" si="53"/>
        <v>4.0000000000000002E-4</v>
      </c>
      <c r="P547" s="14">
        <f t="shared" si="54"/>
        <v>7.8587786259546764E-4</v>
      </c>
      <c r="BG547" s="28"/>
    </row>
    <row r="548" spans="3:59" x14ac:dyDescent="0.3">
      <c r="C548">
        <v>15</v>
      </c>
      <c r="D548" s="36">
        <v>30.06</v>
      </c>
      <c r="K548" s="14">
        <f t="shared" si="55"/>
        <v>1E-3</v>
      </c>
      <c r="L548" s="14"/>
      <c r="O548" s="14">
        <f t="shared" si="53"/>
        <v>4.0000000000000002E-4</v>
      </c>
      <c r="P548" s="14">
        <f t="shared" si="54"/>
        <v>4.0000000000000002E-4</v>
      </c>
      <c r="BG548" s="28"/>
    </row>
    <row r="549" spans="3:59" x14ac:dyDescent="0.3">
      <c r="C549">
        <v>16</v>
      </c>
      <c r="D549" s="36">
        <v>34.590000000000003</v>
      </c>
      <c r="K549" s="14">
        <f t="shared" si="55"/>
        <v>1E-3</v>
      </c>
      <c r="L549" s="14"/>
      <c r="O549" s="14">
        <f t="shared" si="53"/>
        <v>2.0000000000000001E-4</v>
      </c>
      <c r="P549" s="14">
        <f t="shared" si="54"/>
        <v>1E-4</v>
      </c>
      <c r="BG549" s="28"/>
    </row>
    <row r="550" spans="3:59" x14ac:dyDescent="0.3">
      <c r="C550">
        <v>16</v>
      </c>
      <c r="D550" s="36">
        <v>29.17</v>
      </c>
      <c r="K550" s="14">
        <f t="shared" si="55"/>
        <v>1E-3</v>
      </c>
      <c r="L550" s="14"/>
      <c r="O550" s="14">
        <f t="shared" si="53"/>
        <v>2.0000000000000001E-4</v>
      </c>
      <c r="P550" s="14">
        <f t="shared" si="54"/>
        <v>4.0000000000000002E-4</v>
      </c>
      <c r="BG550" s="28"/>
    </row>
    <row r="551" spans="3:59" x14ac:dyDescent="0.3">
      <c r="C551">
        <v>16</v>
      </c>
      <c r="D551" s="36">
        <v>42.81</v>
      </c>
      <c r="K551" s="14">
        <f t="shared" si="55"/>
        <v>1E-3</v>
      </c>
      <c r="L551" s="14"/>
      <c r="O551" s="14">
        <f t="shared" si="53"/>
        <v>2.0000000000000001E-4</v>
      </c>
      <c r="P551" s="14">
        <f t="shared" si="54"/>
        <v>1E-4</v>
      </c>
      <c r="BG551" s="28"/>
    </row>
    <row r="552" spans="3:59" x14ac:dyDescent="0.3">
      <c r="C552">
        <v>12</v>
      </c>
      <c r="D552" s="36">
        <v>26.2</v>
      </c>
      <c r="K552" s="14">
        <f t="shared" si="55"/>
        <v>1E-3</v>
      </c>
      <c r="L552" s="14"/>
      <c r="O552" s="14">
        <f t="shared" si="53"/>
        <v>3.0000000000000001E-3</v>
      </c>
      <c r="P552" s="14">
        <f t="shared" si="54"/>
        <v>7.8587786259546764E-4</v>
      </c>
      <c r="BG552" s="28"/>
    </row>
    <row r="553" spans="3:59" x14ac:dyDescent="0.3">
      <c r="C553">
        <v>12</v>
      </c>
      <c r="D553" s="36">
        <v>26.48</v>
      </c>
      <c r="K553" s="14">
        <f t="shared" si="55"/>
        <v>1E-3</v>
      </c>
      <c r="L553" s="14"/>
      <c r="O553" s="14">
        <f t="shared" si="53"/>
        <v>3.0000000000000001E-3</v>
      </c>
      <c r="P553" s="14">
        <f t="shared" si="54"/>
        <v>7.8587786259546764E-4</v>
      </c>
      <c r="BG553" s="28"/>
    </row>
    <row r="554" spans="3:59" x14ac:dyDescent="0.3">
      <c r="C554">
        <v>13</v>
      </c>
      <c r="D554" s="36">
        <v>25.81</v>
      </c>
      <c r="K554" s="14">
        <f t="shared" si="55"/>
        <v>1E-3</v>
      </c>
      <c r="L554" s="14"/>
      <c r="O554" s="14">
        <f t="shared" si="53"/>
        <v>1E-3</v>
      </c>
      <c r="P554" s="14">
        <f t="shared" si="54"/>
        <v>7.8587786259546764E-4</v>
      </c>
      <c r="BG554" s="28"/>
    </row>
    <row r="555" spans="3:59" x14ac:dyDescent="0.3">
      <c r="C555">
        <v>15</v>
      </c>
      <c r="D555" s="36">
        <v>26.75</v>
      </c>
      <c r="K555" s="14">
        <f t="shared" si="55"/>
        <v>1E-3</v>
      </c>
      <c r="L555" s="14"/>
      <c r="O555" s="14">
        <f t="shared" si="53"/>
        <v>4.0000000000000002E-4</v>
      </c>
      <c r="P555" s="14">
        <f t="shared" si="54"/>
        <v>7.8587786259546764E-4</v>
      </c>
      <c r="BG555" s="28"/>
    </row>
    <row r="556" spans="3:59" x14ac:dyDescent="0.3">
      <c r="C556">
        <v>14</v>
      </c>
      <c r="D556" s="36">
        <v>37.92</v>
      </c>
      <c r="K556" s="14">
        <f t="shared" si="55"/>
        <v>1E-3</v>
      </c>
      <c r="L556" s="14"/>
      <c r="O556" s="14">
        <f t="shared" si="53"/>
        <v>4.7156372549026095E-4</v>
      </c>
      <c r="P556" s="14">
        <f t="shared" si="54"/>
        <v>1E-4</v>
      </c>
      <c r="BG556" s="28"/>
    </row>
    <row r="557" spans="3:59" x14ac:dyDescent="0.3">
      <c r="C557">
        <v>14</v>
      </c>
      <c r="D557" s="36">
        <v>22.43</v>
      </c>
      <c r="K557" s="14">
        <f t="shared" si="55"/>
        <v>1E-3</v>
      </c>
      <c r="L557" s="14"/>
      <c r="O557" s="14">
        <f t="shared" si="53"/>
        <v>4.7156372549026095E-4</v>
      </c>
      <c r="P557" s="14">
        <f t="shared" si="54"/>
        <v>1.5E-3</v>
      </c>
      <c r="BG557" s="28"/>
    </row>
    <row r="558" spans="3:59" x14ac:dyDescent="0.3">
      <c r="C558">
        <v>12</v>
      </c>
      <c r="D558" s="36">
        <v>20.11</v>
      </c>
      <c r="K558" s="14">
        <f t="shared" si="55"/>
        <v>1E-3</v>
      </c>
      <c r="L558" s="14"/>
      <c r="O558" s="14">
        <f t="shared" si="53"/>
        <v>3.0000000000000001E-3</v>
      </c>
      <c r="P558" s="14">
        <f t="shared" si="54"/>
        <v>1.5E-3</v>
      </c>
      <c r="BG558" s="28"/>
    </row>
    <row r="559" spans="3:59" x14ac:dyDescent="0.3">
      <c r="C559">
        <v>16</v>
      </c>
      <c r="D559" s="36">
        <v>40.130000000000003</v>
      </c>
      <c r="K559" s="14">
        <f t="shared" si="55"/>
        <v>1E-3</v>
      </c>
      <c r="L559" s="14"/>
      <c r="O559" s="14">
        <f t="shared" si="53"/>
        <v>2.0000000000000001E-4</v>
      </c>
      <c r="P559" s="14">
        <f t="shared" si="54"/>
        <v>1E-4</v>
      </c>
      <c r="BG559" s="28"/>
    </row>
    <row r="560" spans="3:59" x14ac:dyDescent="0.3">
      <c r="C560">
        <v>16</v>
      </c>
      <c r="D560" s="36">
        <v>25.73</v>
      </c>
      <c r="K560" s="14">
        <f t="shared" si="55"/>
        <v>1E-3</v>
      </c>
      <c r="L560" s="14"/>
      <c r="O560" s="14">
        <f t="shared" si="53"/>
        <v>2.0000000000000001E-4</v>
      </c>
      <c r="P560" s="14">
        <f t="shared" si="54"/>
        <v>7.8587786259546764E-4</v>
      </c>
      <c r="BG560" s="28"/>
    </row>
    <row r="561" spans="3:59" x14ac:dyDescent="0.3">
      <c r="C561">
        <v>12</v>
      </c>
      <c r="D561" s="36">
        <v>22.95</v>
      </c>
      <c r="K561" s="14">
        <f t="shared" si="55"/>
        <v>1E-3</v>
      </c>
      <c r="L561" s="14"/>
      <c r="O561" s="14">
        <f t="shared" si="53"/>
        <v>3.0000000000000001E-3</v>
      </c>
      <c r="P561" s="14">
        <f t="shared" si="54"/>
        <v>1.5E-3</v>
      </c>
      <c r="BG561" s="28"/>
    </row>
    <row r="562" spans="3:59" x14ac:dyDescent="0.3">
      <c r="C562">
        <v>14</v>
      </c>
      <c r="D562" s="36">
        <v>33.25</v>
      </c>
      <c r="K562" s="14">
        <f t="shared" si="55"/>
        <v>1E-3</v>
      </c>
      <c r="L562" s="14"/>
      <c r="O562" s="14">
        <f t="shared" si="53"/>
        <v>4.7156372549026095E-4</v>
      </c>
      <c r="P562" s="14">
        <f t="shared" si="54"/>
        <v>1E-4</v>
      </c>
      <c r="BG562" s="28"/>
    </row>
    <row r="563" spans="3:59" x14ac:dyDescent="0.3">
      <c r="C563">
        <v>16</v>
      </c>
      <c r="D563" s="36">
        <v>32.85</v>
      </c>
      <c r="K563" s="14">
        <f t="shared" si="55"/>
        <v>1E-3</v>
      </c>
      <c r="L563" s="14"/>
      <c r="O563" s="14">
        <f t="shared" si="53"/>
        <v>2.0000000000000001E-4</v>
      </c>
      <c r="P563" s="14">
        <f t="shared" si="54"/>
        <v>1E-4</v>
      </c>
      <c r="BG563" s="28"/>
    </row>
    <row r="564" spans="3:59" x14ac:dyDescent="0.3">
      <c r="C564">
        <v>13</v>
      </c>
      <c r="D564" s="36">
        <v>25.09</v>
      </c>
      <c r="K564" s="14">
        <f t="shared" si="55"/>
        <v>1E-3</v>
      </c>
      <c r="L564" s="14"/>
      <c r="O564" s="14">
        <f t="shared" si="53"/>
        <v>1E-3</v>
      </c>
      <c r="P564" s="14">
        <f t="shared" si="54"/>
        <v>7.8587786259546764E-4</v>
      </c>
      <c r="BG564" s="28"/>
    </row>
    <row r="565" spans="3:59" x14ac:dyDescent="0.3">
      <c r="C565">
        <v>14</v>
      </c>
      <c r="D565" s="36">
        <v>19.61</v>
      </c>
      <c r="K565" s="14">
        <f t="shared" si="55"/>
        <v>1E-3</v>
      </c>
      <c r="L565" s="14"/>
      <c r="O565" s="14">
        <f t="shared" si="53"/>
        <v>4.7156372549026095E-4</v>
      </c>
      <c r="P565" s="14">
        <f t="shared" si="54"/>
        <v>5.0000000000000001E-3</v>
      </c>
      <c r="BG565" s="28"/>
    </row>
    <row r="566" spans="3:59" x14ac:dyDescent="0.3">
      <c r="C566">
        <v>12</v>
      </c>
      <c r="D566" s="36">
        <v>23</v>
      </c>
      <c r="K566" s="14">
        <f t="shared" si="55"/>
        <v>1E-3</v>
      </c>
      <c r="L566" s="14"/>
      <c r="O566" s="14">
        <f t="shared" si="53"/>
        <v>3.0000000000000001E-3</v>
      </c>
      <c r="P566" s="14">
        <f t="shared" si="54"/>
        <v>1.5E-3</v>
      </c>
      <c r="BG566" s="28"/>
    </row>
    <row r="567" spans="3:59" x14ac:dyDescent="0.3">
      <c r="C567">
        <v>12</v>
      </c>
      <c r="D567" s="36">
        <v>15.86</v>
      </c>
      <c r="K567" s="14">
        <f t="shared" si="55"/>
        <v>1E-3</v>
      </c>
      <c r="L567" s="14"/>
      <c r="O567" s="14">
        <f t="shared" si="53"/>
        <v>3.0000000000000001E-3</v>
      </c>
      <c r="P567" s="14">
        <f t="shared" si="54"/>
        <v>5.0000000000000001E-3</v>
      </c>
      <c r="BG567" s="28"/>
    </row>
    <row r="568" spans="3:59" x14ac:dyDescent="0.3">
      <c r="C568">
        <v>14</v>
      </c>
      <c r="D568" s="36">
        <v>30.83</v>
      </c>
      <c r="K568" s="14">
        <f t="shared" si="55"/>
        <v>1E-3</v>
      </c>
      <c r="L568" s="14"/>
      <c r="O568" s="14">
        <f t="shared" si="53"/>
        <v>4.7156372549026095E-4</v>
      </c>
      <c r="P568" s="14">
        <f t="shared" si="54"/>
        <v>4.0000000000000002E-4</v>
      </c>
      <c r="BG568" s="28"/>
    </row>
    <row r="569" spans="3:59" x14ac:dyDescent="0.3">
      <c r="C569">
        <v>14</v>
      </c>
      <c r="D569" s="36">
        <v>26.52</v>
      </c>
      <c r="K569" s="14">
        <f t="shared" si="55"/>
        <v>1E-3</v>
      </c>
      <c r="L569" s="14"/>
      <c r="O569" s="14">
        <f t="shared" si="53"/>
        <v>4.7156372549026095E-4</v>
      </c>
      <c r="P569" s="14">
        <f t="shared" si="54"/>
        <v>7.8587786259546764E-4</v>
      </c>
      <c r="BG569" s="28"/>
    </row>
    <row r="570" spans="3:59" x14ac:dyDescent="0.3">
      <c r="C570">
        <v>16</v>
      </c>
      <c r="D570" s="36">
        <v>28.92</v>
      </c>
      <c r="K570" s="14">
        <f t="shared" si="55"/>
        <v>1E-3</v>
      </c>
      <c r="L570" s="14"/>
      <c r="O570" s="14">
        <f t="shared" si="53"/>
        <v>2.0000000000000001E-4</v>
      </c>
      <c r="P570" s="14">
        <f t="shared" si="54"/>
        <v>4.0000000000000002E-4</v>
      </c>
      <c r="BG570" s="28"/>
    </row>
    <row r="571" spans="3:59" x14ac:dyDescent="0.3">
      <c r="C571">
        <v>12</v>
      </c>
      <c r="D571" s="36">
        <v>19.28</v>
      </c>
      <c r="K571" s="14">
        <f t="shared" si="55"/>
        <v>1E-3</v>
      </c>
      <c r="L571" s="14"/>
      <c r="O571" s="14">
        <f t="shared" si="53"/>
        <v>3.0000000000000001E-3</v>
      </c>
      <c r="P571" s="14">
        <f t="shared" si="54"/>
        <v>5.0000000000000001E-3</v>
      </c>
      <c r="BG571" s="28"/>
    </row>
    <row r="572" spans="3:59" x14ac:dyDescent="0.3">
      <c r="C572">
        <v>15</v>
      </c>
      <c r="D572" s="36">
        <v>29.09</v>
      </c>
      <c r="K572" s="14">
        <f t="shared" si="55"/>
        <v>1E-3</v>
      </c>
      <c r="L572" s="14"/>
      <c r="O572" s="14">
        <f t="shared" si="53"/>
        <v>4.0000000000000002E-4</v>
      </c>
      <c r="P572" s="14">
        <f t="shared" si="54"/>
        <v>4.0000000000000002E-4</v>
      </c>
      <c r="BG572" s="28"/>
    </row>
    <row r="573" spans="3:59" x14ac:dyDescent="0.3">
      <c r="C573">
        <v>13</v>
      </c>
      <c r="D573" s="36">
        <v>22.39</v>
      </c>
      <c r="K573" s="14">
        <f t="shared" si="55"/>
        <v>1E-3</v>
      </c>
      <c r="L573" s="14"/>
      <c r="O573" s="14">
        <f t="shared" si="53"/>
        <v>1E-3</v>
      </c>
      <c r="P573" s="14">
        <f t="shared" si="54"/>
        <v>1.5E-3</v>
      </c>
      <c r="BG573" s="28"/>
    </row>
    <row r="574" spans="3:59" x14ac:dyDescent="0.3">
      <c r="C574">
        <v>14</v>
      </c>
      <c r="D574" s="36">
        <v>28.75</v>
      </c>
      <c r="K574" s="14">
        <f t="shared" si="55"/>
        <v>1E-3</v>
      </c>
      <c r="L574" s="14"/>
      <c r="O574" s="14">
        <f t="shared" si="53"/>
        <v>4.7156372549026095E-4</v>
      </c>
      <c r="P574" s="14">
        <f t="shared" si="54"/>
        <v>4.0000000000000002E-4</v>
      </c>
      <c r="BG574" s="28"/>
    </row>
    <row r="575" spans="3:59" x14ac:dyDescent="0.3">
      <c r="C575">
        <v>16</v>
      </c>
      <c r="D575" s="36">
        <v>30.87</v>
      </c>
      <c r="K575" s="14">
        <f t="shared" si="55"/>
        <v>1E-3</v>
      </c>
      <c r="L575" s="14"/>
      <c r="O575" s="14">
        <f t="shared" si="53"/>
        <v>2.0000000000000001E-4</v>
      </c>
      <c r="P575" s="14">
        <f t="shared" si="54"/>
        <v>4.0000000000000002E-4</v>
      </c>
      <c r="BG575" s="28"/>
    </row>
    <row r="576" spans="3:59" x14ac:dyDescent="0.3">
      <c r="C576">
        <v>15</v>
      </c>
      <c r="D576" s="36">
        <v>25.62</v>
      </c>
      <c r="K576" s="14">
        <f t="shared" si="55"/>
        <v>1E-3</v>
      </c>
      <c r="L576" s="14"/>
      <c r="O576" s="14">
        <f t="shared" si="53"/>
        <v>4.0000000000000002E-4</v>
      </c>
      <c r="P576" s="14">
        <f t="shared" si="54"/>
        <v>7.8587786259546764E-4</v>
      </c>
      <c r="BG576" s="28"/>
    </row>
    <row r="577" spans="3:59" x14ac:dyDescent="0.3">
      <c r="C577">
        <v>12</v>
      </c>
      <c r="D577" s="36">
        <v>24.71</v>
      </c>
      <c r="K577" s="14">
        <f t="shared" si="55"/>
        <v>1E-3</v>
      </c>
      <c r="L577" s="14"/>
      <c r="O577" s="14">
        <f t="shared" si="53"/>
        <v>3.0000000000000001E-3</v>
      </c>
      <c r="P577" s="14">
        <f t="shared" si="54"/>
        <v>7.8587786259546764E-4</v>
      </c>
      <c r="BG577" s="28"/>
    </row>
    <row r="578" spans="3:59" x14ac:dyDescent="0.3">
      <c r="C578">
        <v>12</v>
      </c>
      <c r="D578" s="36">
        <v>22.37</v>
      </c>
      <c r="K578" s="14">
        <f t="shared" si="55"/>
        <v>1E-3</v>
      </c>
      <c r="L578" s="14"/>
      <c r="O578" s="14">
        <f t="shared" ref="O578:O641" si="56">IF(C578=12,$M$4,IF(C578=13,$M$5,IF(C578=14,$M$6,IF(C578=15,$M$7,$M$8))))</f>
        <v>3.0000000000000001E-3</v>
      </c>
      <c r="P578" s="14">
        <f t="shared" ref="P578:P641" si="57">IF(D578&lt;20,$M$14,IF(D578&lt;24,$M$15,IF(D578&lt;28,$M$16,IF(D578&lt;32,$M$17,$M$18))))</f>
        <v>1.5E-3</v>
      </c>
      <c r="BG578" s="28"/>
    </row>
    <row r="579" spans="3:59" x14ac:dyDescent="0.3">
      <c r="C579">
        <v>14</v>
      </c>
      <c r="D579" s="36">
        <v>21.82</v>
      </c>
      <c r="K579" s="14">
        <f t="shared" ref="K579:K642" si="58">1/1000</f>
        <v>1E-3</v>
      </c>
      <c r="L579" s="14"/>
      <c r="O579" s="14">
        <f t="shared" si="56"/>
        <v>4.7156372549026095E-4</v>
      </c>
      <c r="P579" s="14">
        <f t="shared" si="57"/>
        <v>1.5E-3</v>
      </c>
      <c r="BG579" s="28"/>
    </row>
    <row r="580" spans="3:59" x14ac:dyDescent="0.3">
      <c r="C580">
        <v>16</v>
      </c>
      <c r="D580" s="36">
        <v>28.09</v>
      </c>
      <c r="K580" s="14">
        <f t="shared" si="58"/>
        <v>1E-3</v>
      </c>
      <c r="L580" s="14"/>
      <c r="O580" s="14">
        <f t="shared" si="56"/>
        <v>2.0000000000000001E-4</v>
      </c>
      <c r="P580" s="14">
        <f t="shared" si="57"/>
        <v>4.0000000000000002E-4</v>
      </c>
      <c r="BG580" s="28"/>
    </row>
    <row r="581" spans="3:59" x14ac:dyDescent="0.3">
      <c r="C581">
        <v>15</v>
      </c>
      <c r="D581" s="36">
        <v>37.130000000000003</v>
      </c>
      <c r="K581" s="14">
        <f t="shared" si="58"/>
        <v>1E-3</v>
      </c>
      <c r="L581" s="14"/>
      <c r="O581" s="14">
        <f t="shared" si="56"/>
        <v>4.0000000000000002E-4</v>
      </c>
      <c r="P581" s="14">
        <f t="shared" si="57"/>
        <v>1E-4</v>
      </c>
      <c r="BG581" s="28"/>
    </row>
    <row r="582" spans="3:59" x14ac:dyDescent="0.3">
      <c r="C582">
        <v>14</v>
      </c>
      <c r="D582" s="36">
        <v>38.36</v>
      </c>
      <c r="K582" s="14">
        <f t="shared" si="58"/>
        <v>1E-3</v>
      </c>
      <c r="L582" s="14"/>
      <c r="O582" s="14">
        <f t="shared" si="56"/>
        <v>4.7156372549026095E-4</v>
      </c>
      <c r="P582" s="14">
        <f t="shared" si="57"/>
        <v>1E-4</v>
      </c>
      <c r="BG582" s="28"/>
    </row>
    <row r="583" spans="3:59" x14ac:dyDescent="0.3">
      <c r="C583">
        <v>16</v>
      </c>
      <c r="D583" s="36">
        <v>37.03</v>
      </c>
      <c r="K583" s="14">
        <f t="shared" si="58"/>
        <v>1E-3</v>
      </c>
      <c r="L583" s="14"/>
      <c r="O583" s="14">
        <f t="shared" si="56"/>
        <v>2.0000000000000001E-4</v>
      </c>
      <c r="P583" s="14">
        <f t="shared" si="57"/>
        <v>1E-4</v>
      </c>
      <c r="BG583" s="28"/>
    </row>
    <row r="584" spans="3:59" x14ac:dyDescent="0.3">
      <c r="C584">
        <v>14</v>
      </c>
      <c r="D584" s="36">
        <v>25.9</v>
      </c>
      <c r="K584" s="14">
        <f t="shared" si="58"/>
        <v>1E-3</v>
      </c>
      <c r="L584" s="14"/>
      <c r="O584" s="14">
        <f t="shared" si="56"/>
        <v>4.7156372549026095E-4</v>
      </c>
      <c r="P584" s="14">
        <f t="shared" si="57"/>
        <v>7.8587786259546764E-4</v>
      </c>
      <c r="BG584" s="28"/>
    </row>
    <row r="585" spans="3:59" x14ac:dyDescent="0.3">
      <c r="C585">
        <v>12</v>
      </c>
      <c r="D585" s="36">
        <v>19.54</v>
      </c>
      <c r="K585" s="14">
        <f t="shared" si="58"/>
        <v>1E-3</v>
      </c>
      <c r="L585" s="14"/>
      <c r="O585" s="14">
        <f t="shared" si="56"/>
        <v>3.0000000000000001E-3</v>
      </c>
      <c r="P585" s="14">
        <f t="shared" si="57"/>
        <v>5.0000000000000001E-3</v>
      </c>
      <c r="BG585" s="28"/>
    </row>
    <row r="586" spans="3:59" x14ac:dyDescent="0.3">
      <c r="C586">
        <v>15</v>
      </c>
      <c r="D586" s="36">
        <v>29.02</v>
      </c>
      <c r="K586" s="14">
        <f t="shared" si="58"/>
        <v>1E-3</v>
      </c>
      <c r="L586" s="14"/>
      <c r="O586" s="14">
        <f t="shared" si="56"/>
        <v>4.0000000000000002E-4</v>
      </c>
      <c r="P586" s="14">
        <f t="shared" si="57"/>
        <v>4.0000000000000002E-4</v>
      </c>
      <c r="BG586" s="28"/>
    </row>
    <row r="587" spans="3:59" x14ac:dyDescent="0.3">
      <c r="C587">
        <v>12</v>
      </c>
      <c r="D587" s="36">
        <v>25.13</v>
      </c>
      <c r="K587" s="14">
        <f t="shared" si="58"/>
        <v>1E-3</v>
      </c>
      <c r="L587" s="14"/>
      <c r="O587" s="14">
        <f t="shared" si="56"/>
        <v>3.0000000000000001E-3</v>
      </c>
      <c r="P587" s="14">
        <f t="shared" si="57"/>
        <v>7.8587786259546764E-4</v>
      </c>
      <c r="BG587" s="28"/>
    </row>
    <row r="588" spans="3:59" x14ac:dyDescent="0.3">
      <c r="C588">
        <v>15</v>
      </c>
      <c r="D588" s="36">
        <v>35.6</v>
      </c>
      <c r="K588" s="14">
        <f t="shared" si="58"/>
        <v>1E-3</v>
      </c>
      <c r="L588" s="14"/>
      <c r="O588" s="14">
        <f t="shared" si="56"/>
        <v>4.0000000000000002E-4</v>
      </c>
      <c r="P588" s="14">
        <f t="shared" si="57"/>
        <v>1E-4</v>
      </c>
      <c r="BG588" s="28"/>
    </row>
    <row r="589" spans="3:59" x14ac:dyDescent="0.3">
      <c r="C589">
        <v>14</v>
      </c>
      <c r="D589" s="36">
        <v>27.13</v>
      </c>
      <c r="K589" s="14">
        <f t="shared" si="58"/>
        <v>1E-3</v>
      </c>
      <c r="L589" s="14"/>
      <c r="O589" s="14">
        <f t="shared" si="56"/>
        <v>4.7156372549026095E-4</v>
      </c>
      <c r="P589" s="14">
        <f t="shared" si="57"/>
        <v>7.8587786259546764E-4</v>
      </c>
      <c r="BG589" s="28"/>
    </row>
    <row r="590" spans="3:59" x14ac:dyDescent="0.3">
      <c r="C590">
        <v>15</v>
      </c>
      <c r="D590" s="36">
        <v>28.7</v>
      </c>
      <c r="K590" s="14">
        <f t="shared" si="58"/>
        <v>1E-3</v>
      </c>
      <c r="L590" s="14"/>
      <c r="O590" s="14">
        <f t="shared" si="56"/>
        <v>4.0000000000000002E-4</v>
      </c>
      <c r="P590" s="14">
        <f t="shared" si="57"/>
        <v>4.0000000000000002E-4</v>
      </c>
      <c r="BG590" s="28"/>
    </row>
    <row r="591" spans="3:59" x14ac:dyDescent="0.3">
      <c r="C591">
        <v>15</v>
      </c>
      <c r="D591" s="36">
        <v>28.48</v>
      </c>
      <c r="K591" s="14">
        <f t="shared" si="58"/>
        <v>1E-3</v>
      </c>
      <c r="L591" s="14"/>
      <c r="O591" s="14">
        <f t="shared" si="56"/>
        <v>4.0000000000000002E-4</v>
      </c>
      <c r="P591" s="14">
        <f t="shared" si="57"/>
        <v>4.0000000000000002E-4</v>
      </c>
      <c r="BG591" s="28"/>
    </row>
    <row r="592" spans="3:59" x14ac:dyDescent="0.3">
      <c r="C592">
        <v>14</v>
      </c>
      <c r="D592" s="36">
        <v>21.35</v>
      </c>
      <c r="K592" s="14">
        <f t="shared" si="58"/>
        <v>1E-3</v>
      </c>
      <c r="L592" s="14"/>
      <c r="O592" s="14">
        <f t="shared" si="56"/>
        <v>4.7156372549026095E-4</v>
      </c>
      <c r="P592" s="14">
        <f t="shared" si="57"/>
        <v>1.5E-3</v>
      </c>
      <c r="BG592" s="28"/>
    </row>
    <row r="593" spans="3:59" x14ac:dyDescent="0.3">
      <c r="C593">
        <v>15</v>
      </c>
      <c r="D593" s="36">
        <v>29.5</v>
      </c>
      <c r="K593" s="14">
        <f t="shared" si="58"/>
        <v>1E-3</v>
      </c>
      <c r="L593" s="14"/>
      <c r="O593" s="14">
        <f t="shared" si="56"/>
        <v>4.0000000000000002E-4</v>
      </c>
      <c r="P593" s="14">
        <f t="shared" si="57"/>
        <v>4.0000000000000002E-4</v>
      </c>
      <c r="BG593" s="28"/>
    </row>
    <row r="594" spans="3:59" x14ac:dyDescent="0.3">
      <c r="C594">
        <v>14</v>
      </c>
      <c r="D594" s="36">
        <v>20.010000000000002</v>
      </c>
      <c r="K594" s="14">
        <f t="shared" si="58"/>
        <v>1E-3</v>
      </c>
      <c r="L594" s="14"/>
      <c r="O594" s="14">
        <f t="shared" si="56"/>
        <v>4.7156372549026095E-4</v>
      </c>
      <c r="P594" s="14">
        <f t="shared" si="57"/>
        <v>1.5E-3</v>
      </c>
      <c r="BG594" s="28"/>
    </row>
    <row r="595" spans="3:59" x14ac:dyDescent="0.3">
      <c r="C595">
        <v>16</v>
      </c>
      <c r="D595" s="36">
        <v>32.909999999999997</v>
      </c>
      <c r="K595" s="14">
        <f t="shared" si="58"/>
        <v>1E-3</v>
      </c>
      <c r="L595" s="14"/>
      <c r="O595" s="14">
        <f t="shared" si="56"/>
        <v>2.0000000000000001E-4</v>
      </c>
      <c r="P595" s="14">
        <f t="shared" si="57"/>
        <v>1E-4</v>
      </c>
      <c r="BG595" s="28"/>
    </row>
    <row r="596" spans="3:59" x14ac:dyDescent="0.3">
      <c r="C596">
        <v>13</v>
      </c>
      <c r="D596" s="36">
        <v>31.37</v>
      </c>
      <c r="K596" s="14">
        <f t="shared" si="58"/>
        <v>1E-3</v>
      </c>
      <c r="L596" s="14"/>
      <c r="O596" s="14">
        <f t="shared" si="56"/>
        <v>1E-3</v>
      </c>
      <c r="P596" s="14">
        <f t="shared" si="57"/>
        <v>4.0000000000000002E-4</v>
      </c>
      <c r="BG596" s="28"/>
    </row>
    <row r="597" spans="3:59" x14ac:dyDescent="0.3">
      <c r="C597">
        <v>15</v>
      </c>
      <c r="D597" s="36">
        <v>23.71</v>
      </c>
      <c r="K597" s="14">
        <f t="shared" si="58"/>
        <v>1E-3</v>
      </c>
      <c r="L597" s="14"/>
      <c r="O597" s="14">
        <f t="shared" si="56"/>
        <v>4.0000000000000002E-4</v>
      </c>
      <c r="P597" s="14">
        <f t="shared" si="57"/>
        <v>1.5E-3</v>
      </c>
      <c r="BG597" s="28"/>
    </row>
    <row r="598" spans="3:59" x14ac:dyDescent="0.3">
      <c r="C598">
        <v>14</v>
      </c>
      <c r="D598" s="36">
        <v>30.98</v>
      </c>
      <c r="K598" s="14">
        <f t="shared" si="58"/>
        <v>1E-3</v>
      </c>
      <c r="L598" s="14"/>
      <c r="O598" s="14">
        <f t="shared" si="56"/>
        <v>4.7156372549026095E-4</v>
      </c>
      <c r="P598" s="14">
        <f t="shared" si="57"/>
        <v>4.0000000000000002E-4</v>
      </c>
      <c r="BG598" s="28"/>
    </row>
    <row r="599" spans="3:59" x14ac:dyDescent="0.3">
      <c r="C599">
        <v>14</v>
      </c>
      <c r="D599" s="36">
        <v>33.78</v>
      </c>
      <c r="K599" s="14">
        <f t="shared" si="58"/>
        <v>1E-3</v>
      </c>
      <c r="L599" s="14"/>
      <c r="O599" s="14">
        <f t="shared" si="56"/>
        <v>4.7156372549026095E-4</v>
      </c>
      <c r="P599" s="14">
        <f t="shared" si="57"/>
        <v>1E-4</v>
      </c>
      <c r="BG599" s="28"/>
    </row>
    <row r="600" spans="3:59" x14ac:dyDescent="0.3">
      <c r="C600">
        <v>15</v>
      </c>
      <c r="D600" s="36">
        <v>29.18</v>
      </c>
      <c r="K600" s="14">
        <f t="shared" si="58"/>
        <v>1E-3</v>
      </c>
      <c r="L600" s="14"/>
      <c r="O600" s="14">
        <f t="shared" si="56"/>
        <v>4.0000000000000002E-4</v>
      </c>
      <c r="P600" s="14">
        <f t="shared" si="57"/>
        <v>4.0000000000000002E-4</v>
      </c>
      <c r="BG600" s="28"/>
    </row>
    <row r="601" spans="3:59" x14ac:dyDescent="0.3">
      <c r="C601">
        <v>12</v>
      </c>
      <c r="D601" s="36">
        <v>18.03</v>
      </c>
      <c r="K601" s="14">
        <f t="shared" si="58"/>
        <v>1E-3</v>
      </c>
      <c r="L601" s="14"/>
      <c r="O601" s="14">
        <f t="shared" si="56"/>
        <v>3.0000000000000001E-3</v>
      </c>
      <c r="P601" s="14">
        <f t="shared" si="57"/>
        <v>5.0000000000000001E-3</v>
      </c>
      <c r="BG601" s="28"/>
    </row>
    <row r="602" spans="3:59" x14ac:dyDescent="0.3">
      <c r="C602">
        <v>13</v>
      </c>
      <c r="D602" s="36">
        <v>20.14</v>
      </c>
      <c r="K602" s="14">
        <f t="shared" si="58"/>
        <v>1E-3</v>
      </c>
      <c r="L602" s="14"/>
      <c r="O602" s="14">
        <f t="shared" si="56"/>
        <v>1E-3</v>
      </c>
      <c r="P602" s="14">
        <f t="shared" si="57"/>
        <v>1.5E-3</v>
      </c>
      <c r="BG602" s="28"/>
    </row>
    <row r="603" spans="3:59" x14ac:dyDescent="0.3">
      <c r="C603">
        <v>14</v>
      </c>
      <c r="D603" s="36">
        <v>23.9</v>
      </c>
      <c r="K603" s="14">
        <f t="shared" si="58"/>
        <v>1E-3</v>
      </c>
      <c r="L603" s="14"/>
      <c r="O603" s="14">
        <f t="shared" si="56"/>
        <v>4.7156372549026095E-4</v>
      </c>
      <c r="P603" s="14">
        <f t="shared" si="57"/>
        <v>1.5E-3</v>
      </c>
      <c r="BG603" s="28"/>
    </row>
    <row r="604" spans="3:59" x14ac:dyDescent="0.3">
      <c r="C604">
        <v>16</v>
      </c>
      <c r="D604" s="36">
        <v>28.66</v>
      </c>
      <c r="K604" s="14">
        <f t="shared" si="58"/>
        <v>1E-3</v>
      </c>
      <c r="L604" s="14"/>
      <c r="O604" s="14">
        <f t="shared" si="56"/>
        <v>2.0000000000000001E-4</v>
      </c>
      <c r="P604" s="14">
        <f t="shared" si="57"/>
        <v>4.0000000000000002E-4</v>
      </c>
      <c r="BG604" s="28"/>
    </row>
    <row r="605" spans="3:59" x14ac:dyDescent="0.3">
      <c r="C605">
        <v>15</v>
      </c>
      <c r="D605" s="36">
        <v>27.34</v>
      </c>
      <c r="K605" s="14">
        <f t="shared" si="58"/>
        <v>1E-3</v>
      </c>
      <c r="L605" s="14"/>
      <c r="O605" s="14">
        <f t="shared" si="56"/>
        <v>4.0000000000000002E-4</v>
      </c>
      <c r="P605" s="14">
        <f t="shared" si="57"/>
        <v>7.8587786259546764E-4</v>
      </c>
      <c r="BG605" s="28"/>
    </row>
    <row r="606" spans="3:59" x14ac:dyDescent="0.3">
      <c r="C606">
        <v>14</v>
      </c>
      <c r="D606" s="36">
        <v>25.2</v>
      </c>
      <c r="K606" s="14">
        <f t="shared" si="58"/>
        <v>1E-3</v>
      </c>
      <c r="L606" s="14"/>
      <c r="O606" s="14">
        <f t="shared" si="56"/>
        <v>4.7156372549026095E-4</v>
      </c>
      <c r="P606" s="14">
        <f t="shared" si="57"/>
        <v>7.8587786259546764E-4</v>
      </c>
      <c r="BG606" s="28"/>
    </row>
    <row r="607" spans="3:59" x14ac:dyDescent="0.3">
      <c r="C607">
        <v>13</v>
      </c>
      <c r="D607" s="36">
        <v>19.18</v>
      </c>
      <c r="K607" s="14">
        <f t="shared" si="58"/>
        <v>1E-3</v>
      </c>
      <c r="L607" s="14"/>
      <c r="O607" s="14">
        <f t="shared" si="56"/>
        <v>1E-3</v>
      </c>
      <c r="P607" s="14">
        <f t="shared" si="57"/>
        <v>5.0000000000000001E-3</v>
      </c>
      <c r="BG607" s="28"/>
    </row>
    <row r="608" spans="3:59" x14ac:dyDescent="0.3">
      <c r="C608">
        <v>12</v>
      </c>
      <c r="D608" s="36">
        <v>22.71</v>
      </c>
      <c r="K608" s="14">
        <f t="shared" si="58"/>
        <v>1E-3</v>
      </c>
      <c r="L608" s="14"/>
      <c r="O608" s="14">
        <f t="shared" si="56"/>
        <v>3.0000000000000001E-3</v>
      </c>
      <c r="P608" s="14">
        <f t="shared" si="57"/>
        <v>1.5E-3</v>
      </c>
      <c r="BG608" s="28"/>
    </row>
    <row r="609" spans="3:59" x14ac:dyDescent="0.3">
      <c r="C609">
        <v>15</v>
      </c>
      <c r="D609" s="36">
        <v>34.85</v>
      </c>
      <c r="K609" s="14">
        <f t="shared" si="58"/>
        <v>1E-3</v>
      </c>
      <c r="L609" s="14"/>
      <c r="O609" s="14">
        <f t="shared" si="56"/>
        <v>4.0000000000000002E-4</v>
      </c>
      <c r="P609" s="14">
        <f t="shared" si="57"/>
        <v>1E-4</v>
      </c>
      <c r="BG609" s="28"/>
    </row>
    <row r="610" spans="3:59" x14ac:dyDescent="0.3">
      <c r="C610">
        <v>14</v>
      </c>
      <c r="D610" s="36">
        <v>18.14</v>
      </c>
      <c r="K610" s="14">
        <f t="shared" si="58"/>
        <v>1E-3</v>
      </c>
      <c r="L610" s="14"/>
      <c r="O610" s="14">
        <f t="shared" si="56"/>
        <v>4.7156372549026095E-4</v>
      </c>
      <c r="P610" s="14">
        <f t="shared" si="57"/>
        <v>5.0000000000000001E-3</v>
      </c>
      <c r="BG610" s="28"/>
    </row>
    <row r="611" spans="3:59" x14ac:dyDescent="0.3">
      <c r="C611">
        <v>15</v>
      </c>
      <c r="D611" s="36">
        <v>29.81</v>
      </c>
      <c r="K611" s="14">
        <f t="shared" si="58"/>
        <v>1E-3</v>
      </c>
      <c r="L611" s="14"/>
      <c r="O611" s="14">
        <f t="shared" si="56"/>
        <v>4.0000000000000002E-4</v>
      </c>
      <c r="P611" s="14">
        <f t="shared" si="57"/>
        <v>4.0000000000000002E-4</v>
      </c>
      <c r="BG611" s="28"/>
    </row>
    <row r="612" spans="3:59" x14ac:dyDescent="0.3">
      <c r="C612">
        <v>15</v>
      </c>
      <c r="D612" s="36">
        <v>25.19</v>
      </c>
      <c r="K612" s="14">
        <f t="shared" si="58"/>
        <v>1E-3</v>
      </c>
      <c r="L612" s="14"/>
      <c r="O612" s="14">
        <f t="shared" si="56"/>
        <v>4.0000000000000002E-4</v>
      </c>
      <c r="P612" s="14">
        <f t="shared" si="57"/>
        <v>7.8587786259546764E-4</v>
      </c>
      <c r="BG612" s="28"/>
    </row>
    <row r="613" spans="3:59" x14ac:dyDescent="0.3">
      <c r="C613">
        <v>15</v>
      </c>
      <c r="D613" s="36">
        <v>30.86</v>
      </c>
      <c r="K613" s="14">
        <f t="shared" si="58"/>
        <v>1E-3</v>
      </c>
      <c r="L613" s="14"/>
      <c r="O613" s="14">
        <f t="shared" si="56"/>
        <v>4.0000000000000002E-4</v>
      </c>
      <c r="P613" s="14">
        <f t="shared" si="57"/>
        <v>4.0000000000000002E-4</v>
      </c>
      <c r="BG613" s="28"/>
    </row>
    <row r="614" spans="3:59" x14ac:dyDescent="0.3">
      <c r="C614">
        <v>14</v>
      </c>
      <c r="D614" s="36">
        <v>28.92</v>
      </c>
      <c r="K614" s="14">
        <f t="shared" si="58"/>
        <v>1E-3</v>
      </c>
      <c r="L614" s="14"/>
      <c r="O614" s="14">
        <f t="shared" si="56"/>
        <v>4.7156372549026095E-4</v>
      </c>
      <c r="P614" s="14">
        <f t="shared" si="57"/>
        <v>4.0000000000000002E-4</v>
      </c>
      <c r="BG614" s="28"/>
    </row>
    <row r="615" spans="3:59" x14ac:dyDescent="0.3">
      <c r="C615">
        <v>16</v>
      </c>
      <c r="D615" s="36">
        <v>29.87</v>
      </c>
      <c r="K615" s="14">
        <f t="shared" si="58"/>
        <v>1E-3</v>
      </c>
      <c r="L615" s="14"/>
      <c r="O615" s="14">
        <f t="shared" si="56"/>
        <v>2.0000000000000001E-4</v>
      </c>
      <c r="P615" s="14">
        <f t="shared" si="57"/>
        <v>4.0000000000000002E-4</v>
      </c>
      <c r="BG615" s="28"/>
    </row>
    <row r="616" spans="3:59" x14ac:dyDescent="0.3">
      <c r="C616">
        <v>16</v>
      </c>
      <c r="D616" s="36">
        <v>32.54</v>
      </c>
      <c r="K616" s="14">
        <f t="shared" si="58"/>
        <v>1E-3</v>
      </c>
      <c r="L616" s="14"/>
      <c r="O616" s="14">
        <f t="shared" si="56"/>
        <v>2.0000000000000001E-4</v>
      </c>
      <c r="P616" s="14">
        <f t="shared" si="57"/>
        <v>1E-4</v>
      </c>
      <c r="BG616" s="28"/>
    </row>
    <row r="617" spans="3:59" x14ac:dyDescent="0.3">
      <c r="C617">
        <v>14</v>
      </c>
      <c r="D617" s="36">
        <v>32.950000000000003</v>
      </c>
      <c r="K617" s="14">
        <f t="shared" si="58"/>
        <v>1E-3</v>
      </c>
      <c r="L617" s="14"/>
      <c r="O617" s="14">
        <f t="shared" si="56"/>
        <v>4.7156372549026095E-4</v>
      </c>
      <c r="P617" s="14">
        <f t="shared" si="57"/>
        <v>1E-4</v>
      </c>
      <c r="BG617" s="28"/>
    </row>
    <row r="618" spans="3:59" x14ac:dyDescent="0.3">
      <c r="C618">
        <v>13</v>
      </c>
      <c r="D618" s="36">
        <v>24.42</v>
      </c>
      <c r="K618" s="14">
        <f t="shared" si="58"/>
        <v>1E-3</v>
      </c>
      <c r="L618" s="14"/>
      <c r="O618" s="14">
        <f t="shared" si="56"/>
        <v>1E-3</v>
      </c>
      <c r="P618" s="14">
        <f t="shared" si="57"/>
        <v>7.8587786259546764E-4</v>
      </c>
      <c r="BG618" s="28"/>
    </row>
    <row r="619" spans="3:59" x14ac:dyDescent="0.3">
      <c r="C619">
        <v>15</v>
      </c>
      <c r="D619" s="36">
        <v>31.68</v>
      </c>
      <c r="K619" s="14">
        <f t="shared" si="58"/>
        <v>1E-3</v>
      </c>
      <c r="L619" s="14"/>
      <c r="O619" s="14">
        <f t="shared" si="56"/>
        <v>4.0000000000000002E-4</v>
      </c>
      <c r="P619" s="14">
        <f t="shared" si="57"/>
        <v>4.0000000000000002E-4</v>
      </c>
      <c r="BG619" s="28"/>
    </row>
    <row r="620" spans="3:59" x14ac:dyDescent="0.3">
      <c r="C620">
        <v>15</v>
      </c>
      <c r="D620" s="36">
        <v>22.53</v>
      </c>
      <c r="K620" s="14">
        <f t="shared" si="58"/>
        <v>1E-3</v>
      </c>
      <c r="L620" s="14"/>
      <c r="O620" s="14">
        <f t="shared" si="56"/>
        <v>4.0000000000000002E-4</v>
      </c>
      <c r="P620" s="14">
        <f t="shared" si="57"/>
        <v>1.5E-3</v>
      </c>
      <c r="BG620" s="28"/>
    </row>
    <row r="621" spans="3:59" x14ac:dyDescent="0.3">
      <c r="C621">
        <v>14</v>
      </c>
      <c r="D621" s="36">
        <v>23.53</v>
      </c>
      <c r="K621" s="14">
        <f t="shared" si="58"/>
        <v>1E-3</v>
      </c>
      <c r="L621" s="14"/>
      <c r="O621" s="14">
        <f t="shared" si="56"/>
        <v>4.7156372549026095E-4</v>
      </c>
      <c r="P621" s="14">
        <f t="shared" si="57"/>
        <v>1.5E-3</v>
      </c>
      <c r="BG621" s="28"/>
    </row>
    <row r="622" spans="3:59" x14ac:dyDescent="0.3">
      <c r="C622">
        <v>16</v>
      </c>
      <c r="D622" s="36">
        <v>31.99</v>
      </c>
      <c r="K622" s="14">
        <f t="shared" si="58"/>
        <v>1E-3</v>
      </c>
      <c r="L622" s="14"/>
      <c r="O622" s="14">
        <f t="shared" si="56"/>
        <v>2.0000000000000001E-4</v>
      </c>
      <c r="P622" s="14">
        <f t="shared" si="57"/>
        <v>4.0000000000000002E-4</v>
      </c>
      <c r="BG622" s="28"/>
    </row>
    <row r="623" spans="3:59" x14ac:dyDescent="0.3">
      <c r="C623">
        <v>16</v>
      </c>
      <c r="D623" s="36">
        <v>37.15</v>
      </c>
      <c r="K623" s="14">
        <f t="shared" si="58"/>
        <v>1E-3</v>
      </c>
      <c r="L623" s="14"/>
      <c r="O623" s="14">
        <f t="shared" si="56"/>
        <v>2.0000000000000001E-4</v>
      </c>
      <c r="P623" s="14">
        <f t="shared" si="57"/>
        <v>1E-4</v>
      </c>
      <c r="BG623" s="28"/>
    </row>
    <row r="624" spans="3:59" x14ac:dyDescent="0.3">
      <c r="C624">
        <v>14</v>
      </c>
      <c r="D624" s="36">
        <v>39.03</v>
      </c>
      <c r="K624" s="14">
        <f t="shared" si="58"/>
        <v>1E-3</v>
      </c>
      <c r="L624" s="14"/>
      <c r="O624" s="14">
        <f t="shared" si="56"/>
        <v>4.7156372549026095E-4</v>
      </c>
      <c r="P624" s="14">
        <f t="shared" si="57"/>
        <v>1E-4</v>
      </c>
      <c r="BG624" s="28"/>
    </row>
    <row r="625" spans="3:59" x14ac:dyDescent="0.3">
      <c r="C625">
        <v>13</v>
      </c>
      <c r="D625" s="36">
        <v>27.97</v>
      </c>
      <c r="K625" s="14">
        <f t="shared" si="58"/>
        <v>1E-3</v>
      </c>
      <c r="L625" s="14"/>
      <c r="O625" s="14">
        <f t="shared" si="56"/>
        <v>1E-3</v>
      </c>
      <c r="P625" s="14">
        <f t="shared" si="57"/>
        <v>7.8587786259546764E-4</v>
      </c>
      <c r="BG625" s="28"/>
    </row>
    <row r="626" spans="3:59" x14ac:dyDescent="0.3">
      <c r="C626">
        <v>16</v>
      </c>
      <c r="D626" s="36">
        <v>28.57</v>
      </c>
      <c r="K626" s="14">
        <f t="shared" si="58"/>
        <v>1E-3</v>
      </c>
      <c r="L626" s="14"/>
      <c r="O626" s="14">
        <f t="shared" si="56"/>
        <v>2.0000000000000001E-4</v>
      </c>
      <c r="P626" s="14">
        <f t="shared" si="57"/>
        <v>4.0000000000000002E-4</v>
      </c>
      <c r="BG626" s="28"/>
    </row>
    <row r="627" spans="3:59" x14ac:dyDescent="0.3">
      <c r="C627">
        <v>16</v>
      </c>
      <c r="D627" s="36">
        <v>31.65</v>
      </c>
      <c r="K627" s="14">
        <f t="shared" si="58"/>
        <v>1E-3</v>
      </c>
      <c r="L627" s="14"/>
      <c r="O627" s="14">
        <f t="shared" si="56"/>
        <v>2.0000000000000001E-4</v>
      </c>
      <c r="P627" s="14">
        <f t="shared" si="57"/>
        <v>4.0000000000000002E-4</v>
      </c>
      <c r="BG627" s="28"/>
    </row>
    <row r="628" spans="3:59" x14ac:dyDescent="0.3">
      <c r="C628">
        <v>12</v>
      </c>
      <c r="D628" s="36">
        <v>23.45</v>
      </c>
      <c r="K628" s="14">
        <f t="shared" si="58"/>
        <v>1E-3</v>
      </c>
      <c r="L628" s="14"/>
      <c r="O628" s="14">
        <f t="shared" si="56"/>
        <v>3.0000000000000001E-3</v>
      </c>
      <c r="P628" s="14">
        <f t="shared" si="57"/>
        <v>1.5E-3</v>
      </c>
      <c r="BG628" s="28"/>
    </row>
    <row r="629" spans="3:59" x14ac:dyDescent="0.3">
      <c r="C629">
        <v>15</v>
      </c>
      <c r="D629" s="36">
        <v>32.229999999999997</v>
      </c>
      <c r="K629" s="14">
        <f t="shared" si="58"/>
        <v>1E-3</v>
      </c>
      <c r="L629" s="14"/>
      <c r="O629" s="14">
        <f t="shared" si="56"/>
        <v>4.0000000000000002E-4</v>
      </c>
      <c r="P629" s="14">
        <f t="shared" si="57"/>
        <v>1E-4</v>
      </c>
      <c r="BG629" s="28"/>
    </row>
    <row r="630" spans="3:59" x14ac:dyDescent="0.3">
      <c r="C630">
        <v>16</v>
      </c>
      <c r="D630" s="36">
        <v>30.5</v>
      </c>
      <c r="K630" s="14">
        <f t="shared" si="58"/>
        <v>1E-3</v>
      </c>
      <c r="L630" s="14"/>
      <c r="O630" s="14">
        <f t="shared" si="56"/>
        <v>2.0000000000000001E-4</v>
      </c>
      <c r="P630" s="14">
        <f t="shared" si="57"/>
        <v>4.0000000000000002E-4</v>
      </c>
      <c r="BG630" s="28"/>
    </row>
    <row r="631" spans="3:59" x14ac:dyDescent="0.3">
      <c r="C631">
        <v>14</v>
      </c>
      <c r="D631" s="36">
        <v>32.89</v>
      </c>
      <c r="K631" s="14">
        <f t="shared" si="58"/>
        <v>1E-3</v>
      </c>
      <c r="L631" s="14"/>
      <c r="O631" s="14">
        <f t="shared" si="56"/>
        <v>4.7156372549026095E-4</v>
      </c>
      <c r="P631" s="14">
        <f t="shared" si="57"/>
        <v>1E-4</v>
      </c>
      <c r="BG631" s="28"/>
    </row>
    <row r="632" spans="3:59" x14ac:dyDescent="0.3">
      <c r="C632">
        <v>12</v>
      </c>
      <c r="D632" s="36">
        <v>29.73</v>
      </c>
      <c r="K632" s="14">
        <f t="shared" si="58"/>
        <v>1E-3</v>
      </c>
      <c r="L632" s="14"/>
      <c r="O632" s="14">
        <f t="shared" si="56"/>
        <v>3.0000000000000001E-3</v>
      </c>
      <c r="P632" s="14">
        <f t="shared" si="57"/>
        <v>4.0000000000000002E-4</v>
      </c>
      <c r="BG632" s="28"/>
    </row>
    <row r="633" spans="3:59" x14ac:dyDescent="0.3">
      <c r="C633">
        <v>16</v>
      </c>
      <c r="D633" s="36">
        <v>27.82</v>
      </c>
      <c r="K633" s="14">
        <f t="shared" si="58"/>
        <v>1E-3</v>
      </c>
      <c r="L633" s="14"/>
      <c r="O633" s="14">
        <f t="shared" si="56"/>
        <v>2.0000000000000001E-4</v>
      </c>
      <c r="P633" s="14">
        <f t="shared" si="57"/>
        <v>7.8587786259546764E-4</v>
      </c>
      <c r="BG633" s="28"/>
    </row>
    <row r="634" spans="3:59" x14ac:dyDescent="0.3">
      <c r="C634">
        <v>15</v>
      </c>
      <c r="D634" s="36">
        <v>30.26</v>
      </c>
      <c r="K634" s="14">
        <f t="shared" si="58"/>
        <v>1E-3</v>
      </c>
      <c r="L634" s="14"/>
      <c r="O634" s="14">
        <f t="shared" si="56"/>
        <v>4.0000000000000002E-4</v>
      </c>
      <c r="P634" s="14">
        <f t="shared" si="57"/>
        <v>4.0000000000000002E-4</v>
      </c>
      <c r="BG634" s="28"/>
    </row>
    <row r="635" spans="3:59" x14ac:dyDescent="0.3">
      <c r="C635">
        <v>14</v>
      </c>
      <c r="D635" s="36">
        <v>26.25</v>
      </c>
      <c r="K635" s="14">
        <f t="shared" si="58"/>
        <v>1E-3</v>
      </c>
      <c r="L635" s="14"/>
      <c r="O635" s="14">
        <f t="shared" si="56"/>
        <v>4.7156372549026095E-4</v>
      </c>
      <c r="P635" s="14">
        <f t="shared" si="57"/>
        <v>7.8587786259546764E-4</v>
      </c>
      <c r="BG635" s="28"/>
    </row>
    <row r="636" spans="3:59" x14ac:dyDescent="0.3">
      <c r="C636">
        <v>14</v>
      </c>
      <c r="D636" s="36">
        <v>24.87</v>
      </c>
      <c r="K636" s="14">
        <f t="shared" si="58"/>
        <v>1E-3</v>
      </c>
      <c r="L636" s="14"/>
      <c r="O636" s="14">
        <f t="shared" si="56"/>
        <v>4.7156372549026095E-4</v>
      </c>
      <c r="P636" s="14">
        <f t="shared" si="57"/>
        <v>7.8587786259546764E-4</v>
      </c>
      <c r="BG636" s="28"/>
    </row>
    <row r="637" spans="3:59" x14ac:dyDescent="0.3">
      <c r="C637">
        <v>12</v>
      </c>
      <c r="D637" s="36">
        <v>22.9</v>
      </c>
      <c r="K637" s="14">
        <f t="shared" si="58"/>
        <v>1E-3</v>
      </c>
      <c r="L637" s="14"/>
      <c r="O637" s="14">
        <f t="shared" si="56"/>
        <v>3.0000000000000001E-3</v>
      </c>
      <c r="P637" s="14">
        <f t="shared" si="57"/>
        <v>1.5E-3</v>
      </c>
      <c r="BG637" s="28"/>
    </row>
    <row r="638" spans="3:59" x14ac:dyDescent="0.3">
      <c r="C638">
        <v>16</v>
      </c>
      <c r="D638" s="36">
        <v>31.58</v>
      </c>
      <c r="K638" s="14">
        <f t="shared" si="58"/>
        <v>1E-3</v>
      </c>
      <c r="L638" s="14"/>
      <c r="O638" s="14">
        <f t="shared" si="56"/>
        <v>2.0000000000000001E-4</v>
      </c>
      <c r="P638" s="14">
        <f t="shared" si="57"/>
        <v>4.0000000000000002E-4</v>
      </c>
      <c r="BG638" s="28"/>
    </row>
    <row r="639" spans="3:59" x14ac:dyDescent="0.3">
      <c r="C639">
        <v>16</v>
      </c>
      <c r="D639" s="36">
        <v>37.4</v>
      </c>
      <c r="K639" s="14">
        <f t="shared" si="58"/>
        <v>1E-3</v>
      </c>
      <c r="L639" s="14"/>
      <c r="O639" s="14">
        <f t="shared" si="56"/>
        <v>2.0000000000000001E-4</v>
      </c>
      <c r="P639" s="14">
        <f t="shared" si="57"/>
        <v>1E-4</v>
      </c>
      <c r="BG639" s="28"/>
    </row>
    <row r="640" spans="3:59" x14ac:dyDescent="0.3">
      <c r="C640">
        <v>13</v>
      </c>
      <c r="D640" s="36">
        <v>27.37</v>
      </c>
      <c r="K640" s="14">
        <f t="shared" si="58"/>
        <v>1E-3</v>
      </c>
      <c r="L640" s="14"/>
      <c r="O640" s="14">
        <f t="shared" si="56"/>
        <v>1E-3</v>
      </c>
      <c r="P640" s="14">
        <f t="shared" si="57"/>
        <v>7.8587786259546764E-4</v>
      </c>
    </row>
    <row r="641" spans="3:16" x14ac:dyDescent="0.3">
      <c r="C641">
        <v>16</v>
      </c>
      <c r="D641" s="36">
        <v>28.43</v>
      </c>
      <c r="K641" s="14">
        <f t="shared" si="58"/>
        <v>1E-3</v>
      </c>
      <c r="L641" s="14"/>
      <c r="O641" s="14">
        <f t="shared" si="56"/>
        <v>2.0000000000000001E-4</v>
      </c>
      <c r="P641" s="14">
        <f t="shared" si="57"/>
        <v>4.0000000000000002E-4</v>
      </c>
    </row>
    <row r="642" spans="3:16" x14ac:dyDescent="0.3">
      <c r="C642">
        <v>16</v>
      </c>
      <c r="D642" s="36">
        <v>30.44</v>
      </c>
      <c r="K642" s="14">
        <f t="shared" si="58"/>
        <v>1E-3</v>
      </c>
      <c r="L642" s="14"/>
      <c r="O642" s="14">
        <f t="shared" ref="O642:O705" si="59">IF(C642=12,$M$4,IF(C642=13,$M$5,IF(C642=14,$M$6,IF(C642=15,$M$7,$M$8))))</f>
        <v>2.0000000000000001E-4</v>
      </c>
      <c r="P642" s="14">
        <f t="shared" ref="P642:P705" si="60">IF(D642&lt;20,$M$14,IF(D642&lt;24,$M$15,IF(D642&lt;28,$M$16,IF(D642&lt;32,$M$17,$M$18))))</f>
        <v>4.0000000000000002E-4</v>
      </c>
    </row>
    <row r="643" spans="3:16" x14ac:dyDescent="0.3">
      <c r="C643">
        <v>16</v>
      </c>
      <c r="D643" s="36">
        <v>29.97</v>
      </c>
      <c r="K643" s="14">
        <f t="shared" ref="K643:K706" si="61">1/1000</f>
        <v>1E-3</v>
      </c>
      <c r="L643" s="14"/>
      <c r="O643" s="14">
        <f t="shared" si="59"/>
        <v>2.0000000000000001E-4</v>
      </c>
      <c r="P643" s="14">
        <f t="shared" si="60"/>
        <v>4.0000000000000002E-4</v>
      </c>
    </row>
    <row r="644" spans="3:16" x14ac:dyDescent="0.3">
      <c r="C644">
        <v>14</v>
      </c>
      <c r="D644" s="36">
        <v>17.510000000000002</v>
      </c>
      <c r="K644" s="14">
        <f t="shared" si="61"/>
        <v>1E-3</v>
      </c>
      <c r="L644" s="14"/>
      <c r="O644" s="14">
        <f t="shared" si="59"/>
        <v>4.7156372549026095E-4</v>
      </c>
      <c r="P644" s="14">
        <f t="shared" si="60"/>
        <v>5.0000000000000001E-3</v>
      </c>
    </row>
    <row r="645" spans="3:16" x14ac:dyDescent="0.3">
      <c r="C645">
        <v>14</v>
      </c>
      <c r="D645" s="36">
        <v>31.82</v>
      </c>
      <c r="K645" s="14">
        <f t="shared" si="61"/>
        <v>1E-3</v>
      </c>
      <c r="L645" s="14"/>
      <c r="O645" s="14">
        <f t="shared" si="59"/>
        <v>4.7156372549026095E-4</v>
      </c>
      <c r="P645" s="14">
        <f t="shared" si="60"/>
        <v>4.0000000000000002E-4</v>
      </c>
    </row>
    <row r="646" spans="3:16" x14ac:dyDescent="0.3">
      <c r="C646">
        <v>12</v>
      </c>
      <c r="D646" s="36">
        <v>14.15</v>
      </c>
      <c r="K646" s="14">
        <f t="shared" si="61"/>
        <v>1E-3</v>
      </c>
      <c r="L646" s="14"/>
      <c r="O646" s="14">
        <f t="shared" si="59"/>
        <v>3.0000000000000001E-3</v>
      </c>
      <c r="P646" s="14">
        <f t="shared" si="60"/>
        <v>5.0000000000000001E-3</v>
      </c>
    </row>
    <row r="647" spans="3:16" x14ac:dyDescent="0.3">
      <c r="C647">
        <v>13</v>
      </c>
      <c r="D647" s="36">
        <v>27.28</v>
      </c>
      <c r="K647" s="14">
        <f t="shared" si="61"/>
        <v>1E-3</v>
      </c>
      <c r="L647" s="14"/>
      <c r="O647" s="14">
        <f t="shared" si="59"/>
        <v>1E-3</v>
      </c>
      <c r="P647" s="14">
        <f t="shared" si="60"/>
        <v>7.8587786259546764E-4</v>
      </c>
    </row>
    <row r="648" spans="3:16" x14ac:dyDescent="0.3">
      <c r="C648">
        <v>13</v>
      </c>
      <c r="D648" s="36">
        <v>30.9</v>
      </c>
      <c r="K648" s="14">
        <f t="shared" si="61"/>
        <v>1E-3</v>
      </c>
      <c r="L648" s="14"/>
      <c r="O648" s="14">
        <f t="shared" si="59"/>
        <v>1E-3</v>
      </c>
      <c r="P648" s="14">
        <f t="shared" si="60"/>
        <v>4.0000000000000002E-4</v>
      </c>
    </row>
    <row r="649" spans="3:16" x14ac:dyDescent="0.3">
      <c r="C649">
        <v>13</v>
      </c>
      <c r="D649" s="36">
        <v>29.41</v>
      </c>
      <c r="K649" s="14">
        <f t="shared" si="61"/>
        <v>1E-3</v>
      </c>
      <c r="L649" s="14"/>
      <c r="O649" s="14">
        <f t="shared" si="59"/>
        <v>1E-3</v>
      </c>
      <c r="P649" s="14">
        <f t="shared" si="60"/>
        <v>4.0000000000000002E-4</v>
      </c>
    </row>
    <row r="650" spans="3:16" x14ac:dyDescent="0.3">
      <c r="C650">
        <v>15</v>
      </c>
      <c r="D650" s="36">
        <v>10.98</v>
      </c>
      <c r="K650" s="14">
        <f t="shared" si="61"/>
        <v>1E-3</v>
      </c>
      <c r="L650" s="14"/>
      <c r="O650" s="14">
        <f t="shared" si="59"/>
        <v>4.0000000000000002E-4</v>
      </c>
      <c r="P650" s="14">
        <f t="shared" si="60"/>
        <v>5.0000000000000001E-3</v>
      </c>
    </row>
    <row r="651" spans="3:16" x14ac:dyDescent="0.3">
      <c r="C651">
        <v>12</v>
      </c>
      <c r="D651" s="36">
        <v>31.22</v>
      </c>
      <c r="K651" s="14">
        <f t="shared" si="61"/>
        <v>1E-3</v>
      </c>
      <c r="L651" s="14"/>
      <c r="O651" s="14">
        <f t="shared" si="59"/>
        <v>3.0000000000000001E-3</v>
      </c>
      <c r="P651" s="14">
        <f t="shared" si="60"/>
        <v>4.0000000000000002E-4</v>
      </c>
    </row>
    <row r="652" spans="3:16" x14ac:dyDescent="0.3">
      <c r="C652">
        <v>12</v>
      </c>
      <c r="D652" s="36">
        <v>22.47</v>
      </c>
      <c r="K652" s="14">
        <f t="shared" si="61"/>
        <v>1E-3</v>
      </c>
      <c r="L652" s="14"/>
      <c r="O652" s="14">
        <f t="shared" si="59"/>
        <v>3.0000000000000001E-3</v>
      </c>
      <c r="P652" s="14">
        <f t="shared" si="60"/>
        <v>1.5E-3</v>
      </c>
    </row>
    <row r="653" spans="3:16" x14ac:dyDescent="0.3">
      <c r="C653">
        <v>13</v>
      </c>
      <c r="D653" s="36">
        <v>16.57</v>
      </c>
      <c r="K653" s="14">
        <f t="shared" si="61"/>
        <v>1E-3</v>
      </c>
      <c r="L653" s="14"/>
      <c r="O653" s="14">
        <f t="shared" si="59"/>
        <v>1E-3</v>
      </c>
      <c r="P653" s="14">
        <f t="shared" si="60"/>
        <v>5.0000000000000001E-3</v>
      </c>
    </row>
    <row r="654" spans="3:16" x14ac:dyDescent="0.3">
      <c r="C654">
        <v>15</v>
      </c>
      <c r="D654" s="36">
        <v>23.88</v>
      </c>
      <c r="K654" s="14">
        <f t="shared" si="61"/>
        <v>1E-3</v>
      </c>
      <c r="L654" s="14"/>
      <c r="O654" s="14">
        <f t="shared" si="59"/>
        <v>4.0000000000000002E-4</v>
      </c>
      <c r="P654" s="14">
        <f t="shared" si="60"/>
        <v>1.5E-3</v>
      </c>
    </row>
    <row r="655" spans="3:16" x14ac:dyDescent="0.3">
      <c r="C655">
        <v>12</v>
      </c>
      <c r="D655" s="36">
        <v>22.24</v>
      </c>
      <c r="K655" s="14">
        <f t="shared" si="61"/>
        <v>1E-3</v>
      </c>
      <c r="L655" s="14"/>
      <c r="O655" s="14">
        <f t="shared" si="59"/>
        <v>3.0000000000000001E-3</v>
      </c>
      <c r="P655" s="14">
        <f t="shared" si="60"/>
        <v>1.5E-3</v>
      </c>
    </row>
    <row r="656" spans="3:16" x14ac:dyDescent="0.3">
      <c r="C656">
        <v>12</v>
      </c>
      <c r="D656" s="36">
        <v>18.46</v>
      </c>
      <c r="K656" s="14">
        <f t="shared" si="61"/>
        <v>1E-3</v>
      </c>
      <c r="L656" s="14"/>
      <c r="O656" s="14">
        <f t="shared" si="59"/>
        <v>3.0000000000000001E-3</v>
      </c>
      <c r="P656" s="14">
        <f t="shared" si="60"/>
        <v>5.0000000000000001E-3</v>
      </c>
    </row>
    <row r="657" spans="3:16" x14ac:dyDescent="0.3">
      <c r="C657">
        <v>16</v>
      </c>
      <c r="D657" s="36">
        <v>23.75</v>
      </c>
      <c r="K657" s="14">
        <f t="shared" si="61"/>
        <v>1E-3</v>
      </c>
      <c r="L657" s="14"/>
      <c r="O657" s="14">
        <f t="shared" si="59"/>
        <v>2.0000000000000001E-4</v>
      </c>
      <c r="P657" s="14">
        <f t="shared" si="60"/>
        <v>1.5E-3</v>
      </c>
    </row>
    <row r="658" spans="3:16" x14ac:dyDescent="0.3">
      <c r="C658">
        <v>16</v>
      </c>
      <c r="D658" s="36">
        <v>29.68</v>
      </c>
      <c r="K658" s="14">
        <f t="shared" si="61"/>
        <v>1E-3</v>
      </c>
      <c r="L658" s="14"/>
      <c r="O658" s="14">
        <f t="shared" si="59"/>
        <v>2.0000000000000001E-4</v>
      </c>
      <c r="P658" s="14">
        <f t="shared" si="60"/>
        <v>4.0000000000000002E-4</v>
      </c>
    </row>
    <row r="659" spans="3:16" x14ac:dyDescent="0.3">
      <c r="C659">
        <v>13</v>
      </c>
      <c r="D659" s="36">
        <v>24.21</v>
      </c>
      <c r="K659" s="14">
        <f t="shared" si="61"/>
        <v>1E-3</v>
      </c>
      <c r="L659" s="14"/>
      <c r="O659" s="14">
        <f t="shared" si="59"/>
        <v>1E-3</v>
      </c>
      <c r="P659" s="14">
        <f t="shared" si="60"/>
        <v>7.8587786259546764E-4</v>
      </c>
    </row>
    <row r="660" spans="3:16" x14ac:dyDescent="0.3">
      <c r="C660">
        <v>12</v>
      </c>
      <c r="D660" s="36">
        <v>19.829999999999998</v>
      </c>
      <c r="K660" s="14">
        <f t="shared" si="61"/>
        <v>1E-3</v>
      </c>
      <c r="L660" s="14"/>
      <c r="O660" s="14">
        <f t="shared" si="59"/>
        <v>3.0000000000000001E-3</v>
      </c>
      <c r="P660" s="14">
        <f t="shared" si="60"/>
        <v>5.0000000000000001E-3</v>
      </c>
    </row>
    <row r="661" spans="3:16" x14ac:dyDescent="0.3">
      <c r="C661">
        <v>14</v>
      </c>
      <c r="D661" s="36">
        <v>26.34</v>
      </c>
      <c r="K661" s="14">
        <f t="shared" si="61"/>
        <v>1E-3</v>
      </c>
      <c r="L661" s="14"/>
      <c r="O661" s="14">
        <f t="shared" si="59"/>
        <v>4.7156372549026095E-4</v>
      </c>
      <c r="P661" s="14">
        <f t="shared" si="60"/>
        <v>7.8587786259546764E-4</v>
      </c>
    </row>
    <row r="662" spans="3:16" x14ac:dyDescent="0.3">
      <c r="C662">
        <v>12</v>
      </c>
      <c r="D662" s="36">
        <v>26.28</v>
      </c>
      <c r="K662" s="14">
        <f t="shared" si="61"/>
        <v>1E-3</v>
      </c>
      <c r="L662" s="14"/>
      <c r="O662" s="14">
        <f t="shared" si="59"/>
        <v>3.0000000000000001E-3</v>
      </c>
      <c r="P662" s="14">
        <f t="shared" si="60"/>
        <v>7.8587786259546764E-4</v>
      </c>
    </row>
    <row r="663" spans="3:16" x14ac:dyDescent="0.3">
      <c r="C663">
        <v>13</v>
      </c>
      <c r="D663" s="36">
        <v>30.89</v>
      </c>
      <c r="K663" s="14">
        <f t="shared" si="61"/>
        <v>1E-3</v>
      </c>
      <c r="L663" s="14"/>
      <c r="O663" s="14">
        <f t="shared" si="59"/>
        <v>1E-3</v>
      </c>
      <c r="P663" s="14">
        <f t="shared" si="60"/>
        <v>4.0000000000000002E-4</v>
      </c>
    </row>
    <row r="664" spans="3:16" x14ac:dyDescent="0.3">
      <c r="C664">
        <v>13</v>
      </c>
      <c r="D664" s="36">
        <v>21.9</v>
      </c>
      <c r="K664" s="14">
        <f t="shared" si="61"/>
        <v>1E-3</v>
      </c>
      <c r="L664" s="14"/>
      <c r="O664" s="14">
        <f t="shared" si="59"/>
        <v>1E-3</v>
      </c>
      <c r="P664" s="14">
        <f t="shared" si="60"/>
        <v>1.5E-3</v>
      </c>
    </row>
    <row r="665" spans="3:16" x14ac:dyDescent="0.3">
      <c r="C665">
        <v>15</v>
      </c>
      <c r="D665" s="36">
        <v>35.24</v>
      </c>
      <c r="K665" s="14">
        <f t="shared" si="61"/>
        <v>1E-3</v>
      </c>
      <c r="L665" s="14"/>
      <c r="O665" s="14">
        <f t="shared" si="59"/>
        <v>4.0000000000000002E-4</v>
      </c>
      <c r="P665" s="14">
        <f t="shared" si="60"/>
        <v>1E-4</v>
      </c>
    </row>
    <row r="666" spans="3:16" x14ac:dyDescent="0.3">
      <c r="C666">
        <v>14</v>
      </c>
      <c r="D666" s="36">
        <v>40.96</v>
      </c>
      <c r="K666" s="14">
        <f t="shared" si="61"/>
        <v>1E-3</v>
      </c>
      <c r="L666" s="14"/>
      <c r="O666" s="14">
        <f t="shared" si="59"/>
        <v>4.7156372549026095E-4</v>
      </c>
      <c r="P666" s="14">
        <f t="shared" si="60"/>
        <v>1E-4</v>
      </c>
    </row>
    <row r="667" spans="3:16" x14ac:dyDescent="0.3">
      <c r="C667">
        <v>15</v>
      </c>
      <c r="D667" s="36">
        <v>28.09</v>
      </c>
      <c r="K667" s="14">
        <f t="shared" si="61"/>
        <v>1E-3</v>
      </c>
      <c r="L667" s="14"/>
      <c r="O667" s="14">
        <f t="shared" si="59"/>
        <v>4.0000000000000002E-4</v>
      </c>
      <c r="P667" s="14">
        <f t="shared" si="60"/>
        <v>4.0000000000000002E-4</v>
      </c>
    </row>
    <row r="668" spans="3:16" x14ac:dyDescent="0.3">
      <c r="C668">
        <v>13</v>
      </c>
      <c r="D668" s="36">
        <v>30.3</v>
      </c>
      <c r="K668" s="14">
        <f t="shared" si="61"/>
        <v>1E-3</v>
      </c>
      <c r="L668" s="14"/>
      <c r="O668" s="14">
        <f t="shared" si="59"/>
        <v>1E-3</v>
      </c>
      <c r="P668" s="14">
        <f t="shared" si="60"/>
        <v>4.0000000000000002E-4</v>
      </c>
    </row>
    <row r="669" spans="3:16" x14ac:dyDescent="0.3">
      <c r="C669">
        <v>14</v>
      </c>
      <c r="D669" s="36">
        <v>30.8</v>
      </c>
      <c r="K669" s="14">
        <f t="shared" si="61"/>
        <v>1E-3</v>
      </c>
      <c r="L669" s="14"/>
      <c r="O669" s="14">
        <f t="shared" si="59"/>
        <v>4.7156372549026095E-4</v>
      </c>
      <c r="P669" s="14">
        <f t="shared" si="60"/>
        <v>4.0000000000000002E-4</v>
      </c>
    </row>
    <row r="670" spans="3:16" x14ac:dyDescent="0.3">
      <c r="C670">
        <v>12</v>
      </c>
      <c r="D670" s="36">
        <v>26.78</v>
      </c>
      <c r="K670" s="14">
        <f t="shared" si="61"/>
        <v>1E-3</v>
      </c>
      <c r="L670" s="14"/>
      <c r="O670" s="14">
        <f t="shared" si="59"/>
        <v>3.0000000000000001E-3</v>
      </c>
      <c r="P670" s="14">
        <f t="shared" si="60"/>
        <v>7.8587786259546764E-4</v>
      </c>
    </row>
    <row r="671" spans="3:16" x14ac:dyDescent="0.3">
      <c r="C671">
        <v>15</v>
      </c>
      <c r="D671" s="36">
        <v>32.39</v>
      </c>
      <c r="K671" s="14">
        <f t="shared" si="61"/>
        <v>1E-3</v>
      </c>
      <c r="L671" s="14"/>
      <c r="O671" s="14">
        <f t="shared" si="59"/>
        <v>4.0000000000000002E-4</v>
      </c>
      <c r="P671" s="14">
        <f t="shared" si="60"/>
        <v>1E-4</v>
      </c>
    </row>
    <row r="672" spans="3:16" x14ac:dyDescent="0.3">
      <c r="C672">
        <v>16</v>
      </c>
      <c r="D672" s="36">
        <v>33.74</v>
      </c>
      <c r="K672" s="14">
        <f t="shared" si="61"/>
        <v>1E-3</v>
      </c>
      <c r="L672" s="14"/>
      <c r="O672" s="14">
        <f t="shared" si="59"/>
        <v>2.0000000000000001E-4</v>
      </c>
      <c r="P672" s="14">
        <f t="shared" si="60"/>
        <v>1E-4</v>
      </c>
    </row>
    <row r="673" spans="3:16" x14ac:dyDescent="0.3">
      <c r="C673">
        <v>13</v>
      </c>
      <c r="D673" s="36">
        <v>32.42</v>
      </c>
      <c r="K673" s="14">
        <f t="shared" si="61"/>
        <v>1E-3</v>
      </c>
      <c r="L673" s="14"/>
      <c r="O673" s="14">
        <f t="shared" si="59"/>
        <v>1E-3</v>
      </c>
      <c r="P673" s="14">
        <f t="shared" si="60"/>
        <v>1E-4</v>
      </c>
    </row>
    <row r="674" spans="3:16" x14ac:dyDescent="0.3">
      <c r="C674">
        <v>16</v>
      </c>
      <c r="D674" s="36">
        <v>35.630000000000003</v>
      </c>
      <c r="K674" s="14">
        <f t="shared" si="61"/>
        <v>1E-3</v>
      </c>
      <c r="L674" s="14"/>
      <c r="O674" s="14">
        <f t="shared" si="59"/>
        <v>2.0000000000000001E-4</v>
      </c>
      <c r="P674" s="14">
        <f t="shared" si="60"/>
        <v>1E-4</v>
      </c>
    </row>
    <row r="675" spans="3:16" x14ac:dyDescent="0.3">
      <c r="C675">
        <v>16</v>
      </c>
      <c r="D675" s="36">
        <v>30.77</v>
      </c>
      <c r="K675" s="14">
        <f t="shared" si="61"/>
        <v>1E-3</v>
      </c>
      <c r="L675" s="14"/>
      <c r="O675" s="14">
        <f t="shared" si="59"/>
        <v>2.0000000000000001E-4</v>
      </c>
      <c r="P675" s="14">
        <f t="shared" si="60"/>
        <v>4.0000000000000002E-4</v>
      </c>
    </row>
    <row r="676" spans="3:16" x14ac:dyDescent="0.3">
      <c r="C676">
        <v>12</v>
      </c>
      <c r="D676" s="36">
        <v>28.77</v>
      </c>
      <c r="K676" s="14">
        <f t="shared" si="61"/>
        <v>1E-3</v>
      </c>
      <c r="L676" s="14"/>
      <c r="O676" s="14">
        <f t="shared" si="59"/>
        <v>3.0000000000000001E-3</v>
      </c>
      <c r="P676" s="14">
        <f t="shared" si="60"/>
        <v>4.0000000000000002E-4</v>
      </c>
    </row>
    <row r="677" spans="3:16" x14ac:dyDescent="0.3">
      <c r="C677">
        <v>15</v>
      </c>
      <c r="D677" s="36">
        <v>33.89</v>
      </c>
      <c r="K677" s="14">
        <f t="shared" si="61"/>
        <v>1E-3</v>
      </c>
      <c r="L677" s="14"/>
      <c r="O677" s="14">
        <f t="shared" si="59"/>
        <v>4.0000000000000002E-4</v>
      </c>
      <c r="P677" s="14">
        <f t="shared" si="60"/>
        <v>1E-4</v>
      </c>
    </row>
    <row r="678" spans="3:16" x14ac:dyDescent="0.3">
      <c r="C678">
        <v>14</v>
      </c>
      <c r="D678" s="36">
        <v>32.01</v>
      </c>
      <c r="K678" s="14">
        <f t="shared" si="61"/>
        <v>1E-3</v>
      </c>
      <c r="L678" s="14"/>
      <c r="O678" s="14">
        <f t="shared" si="59"/>
        <v>4.7156372549026095E-4</v>
      </c>
      <c r="P678" s="14">
        <f t="shared" si="60"/>
        <v>1E-4</v>
      </c>
    </row>
    <row r="679" spans="3:16" x14ac:dyDescent="0.3">
      <c r="C679">
        <v>14</v>
      </c>
      <c r="D679" s="36">
        <v>27.81</v>
      </c>
      <c r="K679" s="14">
        <f t="shared" si="61"/>
        <v>1E-3</v>
      </c>
      <c r="L679" s="14"/>
      <c r="O679" s="14">
        <f t="shared" si="59"/>
        <v>4.7156372549026095E-4</v>
      </c>
      <c r="P679" s="14">
        <f t="shared" si="60"/>
        <v>7.8587786259546764E-4</v>
      </c>
    </row>
    <row r="680" spans="3:16" x14ac:dyDescent="0.3">
      <c r="C680">
        <v>13</v>
      </c>
      <c r="D680" s="36">
        <v>26.58</v>
      </c>
      <c r="K680" s="14">
        <f t="shared" si="61"/>
        <v>1E-3</v>
      </c>
      <c r="L680" s="14"/>
      <c r="O680" s="14">
        <f t="shared" si="59"/>
        <v>1E-3</v>
      </c>
      <c r="P680" s="14">
        <f t="shared" si="60"/>
        <v>7.8587786259546764E-4</v>
      </c>
    </row>
    <row r="681" spans="3:16" x14ac:dyDescent="0.3">
      <c r="C681">
        <v>15</v>
      </c>
      <c r="D681" s="36">
        <v>26.61</v>
      </c>
      <c r="K681" s="14">
        <f t="shared" si="61"/>
        <v>1E-3</v>
      </c>
      <c r="L681" s="14"/>
      <c r="O681" s="14">
        <f t="shared" si="59"/>
        <v>4.0000000000000002E-4</v>
      </c>
      <c r="P681" s="14">
        <f t="shared" si="60"/>
        <v>7.8587786259546764E-4</v>
      </c>
    </row>
    <row r="682" spans="3:16" x14ac:dyDescent="0.3">
      <c r="C682">
        <v>15</v>
      </c>
      <c r="D682" s="36">
        <v>37.97</v>
      </c>
      <c r="K682" s="14">
        <f t="shared" si="61"/>
        <v>1E-3</v>
      </c>
      <c r="L682" s="14"/>
      <c r="O682" s="14">
        <f t="shared" si="59"/>
        <v>4.0000000000000002E-4</v>
      </c>
      <c r="P682" s="14">
        <f t="shared" si="60"/>
        <v>1E-4</v>
      </c>
    </row>
    <row r="683" spans="3:16" x14ac:dyDescent="0.3">
      <c r="C683">
        <v>12</v>
      </c>
      <c r="D683" s="36">
        <v>21.37</v>
      </c>
      <c r="K683" s="14">
        <f t="shared" si="61"/>
        <v>1E-3</v>
      </c>
      <c r="L683" s="14"/>
      <c r="O683" s="14">
        <f t="shared" si="59"/>
        <v>3.0000000000000001E-3</v>
      </c>
      <c r="P683" s="14">
        <f t="shared" si="60"/>
        <v>1.5E-3</v>
      </c>
    </row>
    <row r="684" spans="3:16" x14ac:dyDescent="0.3">
      <c r="C684">
        <v>13</v>
      </c>
      <c r="D684" s="36">
        <v>27.5</v>
      </c>
      <c r="K684" s="14">
        <f t="shared" si="61"/>
        <v>1E-3</v>
      </c>
      <c r="L684" s="14"/>
      <c r="O684" s="14">
        <f t="shared" si="59"/>
        <v>1E-3</v>
      </c>
      <c r="P684" s="14">
        <f t="shared" si="60"/>
        <v>7.8587786259546764E-4</v>
      </c>
    </row>
    <row r="685" spans="3:16" x14ac:dyDescent="0.3">
      <c r="C685">
        <v>16</v>
      </c>
      <c r="D685" s="36">
        <v>27.67</v>
      </c>
      <c r="K685" s="14">
        <f t="shared" si="61"/>
        <v>1E-3</v>
      </c>
      <c r="L685" s="14"/>
      <c r="O685" s="14">
        <f t="shared" si="59"/>
        <v>2.0000000000000001E-4</v>
      </c>
      <c r="P685" s="14">
        <f t="shared" si="60"/>
        <v>7.8587786259546764E-4</v>
      </c>
    </row>
    <row r="686" spans="3:16" x14ac:dyDescent="0.3">
      <c r="C686">
        <v>15</v>
      </c>
      <c r="D686" s="36">
        <v>31.27</v>
      </c>
      <c r="K686" s="14">
        <f t="shared" si="61"/>
        <v>1E-3</v>
      </c>
      <c r="L686" s="14"/>
      <c r="O686" s="14">
        <f t="shared" si="59"/>
        <v>4.0000000000000002E-4</v>
      </c>
      <c r="P686" s="14">
        <f t="shared" si="60"/>
        <v>4.0000000000000002E-4</v>
      </c>
    </row>
    <row r="687" spans="3:16" x14ac:dyDescent="0.3">
      <c r="C687">
        <v>14</v>
      </c>
      <c r="D687" s="36">
        <v>29.22</v>
      </c>
      <c r="K687" s="14">
        <f t="shared" si="61"/>
        <v>1E-3</v>
      </c>
      <c r="L687" s="14"/>
      <c r="O687" s="14">
        <f t="shared" si="59"/>
        <v>4.7156372549026095E-4</v>
      </c>
      <c r="P687" s="14">
        <f t="shared" si="60"/>
        <v>4.0000000000000002E-4</v>
      </c>
    </row>
    <row r="688" spans="3:16" x14ac:dyDescent="0.3">
      <c r="C688">
        <v>14</v>
      </c>
      <c r="D688" s="36">
        <v>35.75</v>
      </c>
      <c r="K688" s="14">
        <f t="shared" si="61"/>
        <v>1E-3</v>
      </c>
      <c r="L688" s="14"/>
      <c r="O688" s="14">
        <f t="shared" si="59"/>
        <v>4.7156372549026095E-4</v>
      </c>
      <c r="P688" s="14">
        <f t="shared" si="60"/>
        <v>1E-4</v>
      </c>
    </row>
    <row r="689" spans="3:16" x14ac:dyDescent="0.3">
      <c r="C689">
        <v>15</v>
      </c>
      <c r="D689" s="36">
        <v>32.32</v>
      </c>
      <c r="K689" s="14">
        <f t="shared" si="61"/>
        <v>1E-3</v>
      </c>
      <c r="L689" s="14"/>
      <c r="O689" s="14">
        <f t="shared" si="59"/>
        <v>4.0000000000000002E-4</v>
      </c>
      <c r="P689" s="14">
        <f t="shared" si="60"/>
        <v>1E-4</v>
      </c>
    </row>
    <row r="690" spans="3:16" x14ac:dyDescent="0.3">
      <c r="C690">
        <v>16</v>
      </c>
      <c r="D690" s="36">
        <v>29.6</v>
      </c>
      <c r="K690" s="14">
        <f t="shared" si="61"/>
        <v>1E-3</v>
      </c>
      <c r="L690" s="14"/>
      <c r="O690" s="14">
        <f t="shared" si="59"/>
        <v>2.0000000000000001E-4</v>
      </c>
      <c r="P690" s="14">
        <f t="shared" si="60"/>
        <v>4.0000000000000002E-4</v>
      </c>
    </row>
    <row r="691" spans="3:16" x14ac:dyDescent="0.3">
      <c r="C691">
        <v>16</v>
      </c>
      <c r="D691" s="36">
        <v>42.17</v>
      </c>
      <c r="K691" s="14">
        <f t="shared" si="61"/>
        <v>1E-3</v>
      </c>
      <c r="L691" s="14"/>
      <c r="O691" s="14">
        <f t="shared" si="59"/>
        <v>2.0000000000000001E-4</v>
      </c>
      <c r="P691" s="14">
        <f t="shared" si="60"/>
        <v>1E-4</v>
      </c>
    </row>
    <row r="692" spans="3:16" x14ac:dyDescent="0.3">
      <c r="C692">
        <v>13</v>
      </c>
      <c r="D692" s="36">
        <v>27.58</v>
      </c>
      <c r="K692" s="14">
        <f t="shared" si="61"/>
        <v>1E-3</v>
      </c>
      <c r="L692" s="14"/>
      <c r="O692" s="14">
        <f t="shared" si="59"/>
        <v>1E-3</v>
      </c>
      <c r="P692" s="14">
        <f t="shared" si="60"/>
        <v>7.8587786259546764E-4</v>
      </c>
    </row>
    <row r="693" spans="3:16" x14ac:dyDescent="0.3">
      <c r="C693">
        <v>15</v>
      </c>
      <c r="D693" s="36">
        <v>34.840000000000003</v>
      </c>
      <c r="K693" s="14">
        <f t="shared" si="61"/>
        <v>1E-3</v>
      </c>
      <c r="L693" s="14"/>
      <c r="O693" s="14">
        <f t="shared" si="59"/>
        <v>4.0000000000000002E-4</v>
      </c>
      <c r="P693" s="14">
        <f t="shared" si="60"/>
        <v>1E-4</v>
      </c>
    </row>
    <row r="694" spans="3:16" x14ac:dyDescent="0.3">
      <c r="C694">
        <v>13</v>
      </c>
      <c r="D694" s="36">
        <v>25.45</v>
      </c>
      <c r="K694" s="14">
        <f t="shared" si="61"/>
        <v>1E-3</v>
      </c>
      <c r="L694" s="14"/>
      <c r="O694" s="14">
        <f t="shared" si="59"/>
        <v>1E-3</v>
      </c>
      <c r="P694" s="14">
        <f t="shared" si="60"/>
        <v>7.8587786259546764E-4</v>
      </c>
    </row>
    <row r="695" spans="3:16" x14ac:dyDescent="0.3">
      <c r="C695">
        <v>13</v>
      </c>
      <c r="D695" s="36">
        <v>31.72</v>
      </c>
      <c r="K695" s="14">
        <f t="shared" si="61"/>
        <v>1E-3</v>
      </c>
      <c r="L695" s="14"/>
      <c r="O695" s="14">
        <f t="shared" si="59"/>
        <v>1E-3</v>
      </c>
      <c r="P695" s="14">
        <f t="shared" si="60"/>
        <v>4.0000000000000002E-4</v>
      </c>
    </row>
    <row r="696" spans="3:16" x14ac:dyDescent="0.3">
      <c r="C696">
        <v>12</v>
      </c>
      <c r="D696" s="36">
        <v>23.35</v>
      </c>
      <c r="K696" s="14">
        <f t="shared" si="61"/>
        <v>1E-3</v>
      </c>
      <c r="L696" s="14"/>
      <c r="O696" s="14">
        <f t="shared" si="59"/>
        <v>3.0000000000000001E-3</v>
      </c>
      <c r="P696" s="14">
        <f t="shared" si="60"/>
        <v>1.5E-3</v>
      </c>
    </row>
    <row r="697" spans="3:16" x14ac:dyDescent="0.3">
      <c r="C697">
        <v>12</v>
      </c>
      <c r="D697" s="36">
        <v>23.05</v>
      </c>
      <c r="K697" s="14">
        <f t="shared" si="61"/>
        <v>1E-3</v>
      </c>
      <c r="L697" s="14"/>
      <c r="O697" s="14">
        <f t="shared" si="59"/>
        <v>3.0000000000000001E-3</v>
      </c>
      <c r="P697" s="14">
        <f t="shared" si="60"/>
        <v>1.5E-3</v>
      </c>
    </row>
    <row r="698" spans="3:16" x14ac:dyDescent="0.3">
      <c r="C698">
        <v>13</v>
      </c>
      <c r="D698" s="36">
        <v>28.06</v>
      </c>
      <c r="K698" s="14">
        <f t="shared" si="61"/>
        <v>1E-3</v>
      </c>
      <c r="L698" s="14"/>
      <c r="O698" s="14">
        <f t="shared" si="59"/>
        <v>1E-3</v>
      </c>
      <c r="P698" s="14">
        <f t="shared" si="60"/>
        <v>4.0000000000000002E-4</v>
      </c>
    </row>
    <row r="699" spans="3:16" x14ac:dyDescent="0.3">
      <c r="C699">
        <v>15</v>
      </c>
      <c r="D699" s="36">
        <v>28.13</v>
      </c>
      <c r="K699" s="14">
        <f t="shared" si="61"/>
        <v>1E-3</v>
      </c>
      <c r="L699" s="14"/>
      <c r="O699" s="14">
        <f t="shared" si="59"/>
        <v>4.0000000000000002E-4</v>
      </c>
      <c r="P699" s="14">
        <f t="shared" si="60"/>
        <v>4.0000000000000002E-4</v>
      </c>
    </row>
    <row r="700" spans="3:16" x14ac:dyDescent="0.3">
      <c r="C700">
        <v>15</v>
      </c>
      <c r="D700" s="36">
        <v>36.08</v>
      </c>
      <c r="K700" s="14">
        <f t="shared" si="61"/>
        <v>1E-3</v>
      </c>
      <c r="L700" s="14"/>
      <c r="O700" s="14">
        <f t="shared" si="59"/>
        <v>4.0000000000000002E-4</v>
      </c>
      <c r="P700" s="14">
        <f t="shared" si="60"/>
        <v>1E-4</v>
      </c>
    </row>
    <row r="701" spans="3:16" x14ac:dyDescent="0.3">
      <c r="C701">
        <v>13</v>
      </c>
      <c r="D701" s="36">
        <v>29.32</v>
      </c>
      <c r="K701" s="14">
        <f t="shared" si="61"/>
        <v>1E-3</v>
      </c>
      <c r="L701" s="14"/>
      <c r="O701" s="14">
        <f t="shared" si="59"/>
        <v>1E-3</v>
      </c>
      <c r="P701" s="14">
        <f t="shared" si="60"/>
        <v>4.0000000000000002E-4</v>
      </c>
    </row>
    <row r="702" spans="3:16" x14ac:dyDescent="0.3">
      <c r="C702">
        <v>13</v>
      </c>
      <c r="D702" s="36">
        <v>24.46</v>
      </c>
      <c r="K702" s="14">
        <f t="shared" si="61"/>
        <v>1E-3</v>
      </c>
      <c r="L702" s="14"/>
      <c r="O702" s="14">
        <f t="shared" si="59"/>
        <v>1E-3</v>
      </c>
      <c r="P702" s="14">
        <f t="shared" si="60"/>
        <v>7.8587786259546764E-4</v>
      </c>
    </row>
    <row r="703" spans="3:16" x14ac:dyDescent="0.3">
      <c r="C703">
        <v>13</v>
      </c>
      <c r="D703" s="36">
        <v>24.9</v>
      </c>
      <c r="K703" s="14">
        <f t="shared" si="61"/>
        <v>1E-3</v>
      </c>
      <c r="L703" s="14"/>
      <c r="O703" s="14">
        <f t="shared" si="59"/>
        <v>1E-3</v>
      </c>
      <c r="P703" s="14">
        <f t="shared" si="60"/>
        <v>7.8587786259546764E-4</v>
      </c>
    </row>
    <row r="704" spans="3:16" x14ac:dyDescent="0.3">
      <c r="C704">
        <v>14</v>
      </c>
      <c r="D704" s="36">
        <v>37.58</v>
      </c>
      <c r="K704" s="14">
        <f t="shared" si="61"/>
        <v>1E-3</v>
      </c>
      <c r="L704" s="14"/>
      <c r="O704" s="14">
        <f t="shared" si="59"/>
        <v>4.7156372549026095E-4</v>
      </c>
      <c r="P704" s="14">
        <f t="shared" si="60"/>
        <v>1E-4</v>
      </c>
    </row>
    <row r="705" spans="3:16" x14ac:dyDescent="0.3">
      <c r="C705">
        <v>13</v>
      </c>
      <c r="D705" s="36">
        <v>17.62</v>
      </c>
      <c r="K705" s="14">
        <f t="shared" si="61"/>
        <v>1E-3</v>
      </c>
      <c r="L705" s="14"/>
      <c r="O705" s="14">
        <f t="shared" si="59"/>
        <v>1E-3</v>
      </c>
      <c r="P705" s="14">
        <f t="shared" si="60"/>
        <v>5.0000000000000001E-3</v>
      </c>
    </row>
    <row r="706" spans="3:16" x14ac:dyDescent="0.3">
      <c r="C706">
        <v>13</v>
      </c>
      <c r="D706" s="36">
        <v>32.5</v>
      </c>
      <c r="K706" s="14">
        <f t="shared" si="61"/>
        <v>1E-3</v>
      </c>
      <c r="L706" s="14"/>
      <c r="O706" s="14">
        <f t="shared" ref="O706:O769" si="62">IF(C706=12,$M$4,IF(C706=13,$M$5,IF(C706=14,$M$6,IF(C706=15,$M$7,$M$8))))</f>
        <v>1E-3</v>
      </c>
      <c r="P706" s="14">
        <f t="shared" ref="P706:P769" si="63">IF(D706&lt;20,$M$14,IF(D706&lt;24,$M$15,IF(D706&lt;28,$M$16,IF(D706&lt;32,$M$17,$M$18))))</f>
        <v>1E-4</v>
      </c>
    </row>
    <row r="707" spans="3:16" x14ac:dyDescent="0.3">
      <c r="C707">
        <v>16</v>
      </c>
      <c r="D707" s="36">
        <v>25.68</v>
      </c>
      <c r="K707" s="14">
        <f t="shared" ref="K707:K770" si="64">1/1000</f>
        <v>1E-3</v>
      </c>
      <c r="L707" s="14"/>
      <c r="O707" s="14">
        <f t="shared" si="62"/>
        <v>2.0000000000000001E-4</v>
      </c>
      <c r="P707" s="14">
        <f t="shared" si="63"/>
        <v>7.8587786259546764E-4</v>
      </c>
    </row>
    <row r="708" spans="3:16" x14ac:dyDescent="0.3">
      <c r="C708">
        <v>12</v>
      </c>
      <c r="D708" s="36">
        <v>23.74</v>
      </c>
      <c r="K708" s="14">
        <f t="shared" si="64"/>
        <v>1E-3</v>
      </c>
      <c r="L708" s="14"/>
      <c r="O708" s="14">
        <f t="shared" si="62"/>
        <v>3.0000000000000001E-3</v>
      </c>
      <c r="P708" s="14">
        <f t="shared" si="63"/>
        <v>1.5E-3</v>
      </c>
    </row>
    <row r="709" spans="3:16" x14ac:dyDescent="0.3">
      <c r="C709">
        <v>16</v>
      </c>
      <c r="D709" s="36">
        <v>29.68</v>
      </c>
      <c r="K709" s="14">
        <f t="shared" si="64"/>
        <v>1E-3</v>
      </c>
      <c r="L709" s="14"/>
      <c r="O709" s="14">
        <f t="shared" si="62"/>
        <v>2.0000000000000001E-4</v>
      </c>
      <c r="P709" s="14">
        <f t="shared" si="63"/>
        <v>4.0000000000000002E-4</v>
      </c>
    </row>
    <row r="710" spans="3:16" x14ac:dyDescent="0.3">
      <c r="C710">
        <v>13</v>
      </c>
      <c r="D710" s="36">
        <v>27.51</v>
      </c>
      <c r="K710" s="14">
        <f t="shared" si="64"/>
        <v>1E-3</v>
      </c>
      <c r="L710" s="14"/>
      <c r="O710" s="14">
        <f t="shared" si="62"/>
        <v>1E-3</v>
      </c>
      <c r="P710" s="14">
        <f t="shared" si="63"/>
        <v>7.8587786259546764E-4</v>
      </c>
    </row>
    <row r="711" spans="3:16" x14ac:dyDescent="0.3">
      <c r="C711">
        <v>13</v>
      </c>
      <c r="D711" s="36">
        <v>18.57</v>
      </c>
      <c r="K711" s="14">
        <f t="shared" si="64"/>
        <v>1E-3</v>
      </c>
      <c r="L711" s="14"/>
      <c r="O711" s="14">
        <f t="shared" si="62"/>
        <v>1E-3</v>
      </c>
      <c r="P711" s="14">
        <f t="shared" si="63"/>
        <v>5.0000000000000001E-3</v>
      </c>
    </row>
    <row r="712" spans="3:16" x14ac:dyDescent="0.3">
      <c r="C712">
        <v>15</v>
      </c>
      <c r="D712" s="36">
        <v>27.63</v>
      </c>
      <c r="K712" s="14">
        <f t="shared" si="64"/>
        <v>1E-3</v>
      </c>
      <c r="L712" s="14"/>
      <c r="O712" s="14">
        <f t="shared" si="62"/>
        <v>4.0000000000000002E-4</v>
      </c>
      <c r="P712" s="14">
        <f t="shared" si="63"/>
        <v>7.8587786259546764E-4</v>
      </c>
    </row>
    <row r="713" spans="3:16" x14ac:dyDescent="0.3">
      <c r="C713">
        <v>12</v>
      </c>
      <c r="D713" s="36">
        <v>31.89</v>
      </c>
      <c r="K713" s="14">
        <f t="shared" si="64"/>
        <v>1E-3</v>
      </c>
      <c r="L713" s="14"/>
      <c r="O713" s="14">
        <f t="shared" si="62"/>
        <v>3.0000000000000001E-3</v>
      </c>
      <c r="P713" s="14">
        <f t="shared" si="63"/>
        <v>4.0000000000000002E-4</v>
      </c>
    </row>
    <row r="714" spans="3:16" x14ac:dyDescent="0.3">
      <c r="C714">
        <v>15</v>
      </c>
      <c r="D714" s="36">
        <v>24.51</v>
      </c>
      <c r="K714" s="14">
        <f t="shared" si="64"/>
        <v>1E-3</v>
      </c>
      <c r="L714" s="14"/>
      <c r="O714" s="14">
        <f t="shared" si="62"/>
        <v>4.0000000000000002E-4</v>
      </c>
      <c r="P714" s="14">
        <f t="shared" si="63"/>
        <v>7.8587786259546764E-4</v>
      </c>
    </row>
    <row r="715" spans="3:16" x14ac:dyDescent="0.3">
      <c r="C715">
        <v>13</v>
      </c>
      <c r="D715" s="36">
        <v>32.11</v>
      </c>
      <c r="K715" s="14">
        <f t="shared" si="64"/>
        <v>1E-3</v>
      </c>
      <c r="L715" s="14"/>
      <c r="O715" s="14">
        <f t="shared" si="62"/>
        <v>1E-3</v>
      </c>
      <c r="P715" s="14">
        <f t="shared" si="63"/>
        <v>1E-4</v>
      </c>
    </row>
    <row r="716" spans="3:16" x14ac:dyDescent="0.3">
      <c r="C716">
        <v>14</v>
      </c>
      <c r="D716" s="36">
        <v>24.65</v>
      </c>
      <c r="K716" s="14">
        <f t="shared" si="64"/>
        <v>1E-3</v>
      </c>
      <c r="L716" s="14"/>
      <c r="O716" s="14">
        <f t="shared" si="62"/>
        <v>4.7156372549026095E-4</v>
      </c>
      <c r="P716" s="14">
        <f t="shared" si="63"/>
        <v>7.8587786259546764E-4</v>
      </c>
    </row>
    <row r="717" spans="3:16" x14ac:dyDescent="0.3">
      <c r="C717">
        <v>13</v>
      </c>
      <c r="D717" s="36">
        <v>24.41</v>
      </c>
      <c r="K717" s="14">
        <f t="shared" si="64"/>
        <v>1E-3</v>
      </c>
      <c r="L717" s="14"/>
      <c r="O717" s="14">
        <f t="shared" si="62"/>
        <v>1E-3</v>
      </c>
      <c r="P717" s="14">
        <f t="shared" si="63"/>
        <v>7.8587786259546764E-4</v>
      </c>
    </row>
    <row r="718" spans="3:16" x14ac:dyDescent="0.3">
      <c r="C718">
        <v>16</v>
      </c>
      <c r="D718" s="36">
        <v>36.700000000000003</v>
      </c>
      <c r="K718" s="14">
        <f t="shared" si="64"/>
        <v>1E-3</v>
      </c>
      <c r="L718" s="14"/>
      <c r="O718" s="14">
        <f t="shared" si="62"/>
        <v>2.0000000000000001E-4</v>
      </c>
      <c r="P718" s="14">
        <f t="shared" si="63"/>
        <v>1E-4</v>
      </c>
    </row>
    <row r="719" spans="3:16" x14ac:dyDescent="0.3">
      <c r="C719">
        <v>15</v>
      </c>
      <c r="D719" s="36">
        <v>26.36</v>
      </c>
      <c r="K719" s="14">
        <f t="shared" si="64"/>
        <v>1E-3</v>
      </c>
      <c r="L719" s="14"/>
      <c r="O719" s="14">
        <f t="shared" si="62"/>
        <v>4.0000000000000002E-4</v>
      </c>
      <c r="P719" s="14">
        <f t="shared" si="63"/>
        <v>7.8587786259546764E-4</v>
      </c>
    </row>
    <row r="720" spans="3:16" x14ac:dyDescent="0.3">
      <c r="C720">
        <v>14</v>
      </c>
      <c r="D720" s="36">
        <v>20.86</v>
      </c>
      <c r="K720" s="14">
        <f t="shared" si="64"/>
        <v>1E-3</v>
      </c>
      <c r="L720" s="14"/>
      <c r="O720" s="14">
        <f t="shared" si="62"/>
        <v>4.7156372549026095E-4</v>
      </c>
      <c r="P720" s="14">
        <f t="shared" si="63"/>
        <v>1.5E-3</v>
      </c>
    </row>
    <row r="721" spans="3:16" x14ac:dyDescent="0.3">
      <c r="C721">
        <v>15</v>
      </c>
      <c r="D721" s="36">
        <v>30.56</v>
      </c>
      <c r="K721" s="14">
        <f t="shared" si="64"/>
        <v>1E-3</v>
      </c>
      <c r="L721" s="14"/>
      <c r="O721" s="14">
        <f t="shared" si="62"/>
        <v>4.0000000000000002E-4</v>
      </c>
      <c r="P721" s="14">
        <f t="shared" si="63"/>
        <v>4.0000000000000002E-4</v>
      </c>
    </row>
    <row r="722" spans="3:16" x14ac:dyDescent="0.3">
      <c r="C722">
        <v>16</v>
      </c>
      <c r="D722" s="36">
        <v>31.08</v>
      </c>
      <c r="K722" s="14">
        <f t="shared" si="64"/>
        <v>1E-3</v>
      </c>
      <c r="L722" s="14"/>
      <c r="O722" s="14">
        <f t="shared" si="62"/>
        <v>2.0000000000000001E-4</v>
      </c>
      <c r="P722" s="14">
        <f t="shared" si="63"/>
        <v>4.0000000000000002E-4</v>
      </c>
    </row>
    <row r="723" spans="3:16" x14ac:dyDescent="0.3">
      <c r="C723">
        <v>14</v>
      </c>
      <c r="D723" s="36">
        <v>35.950000000000003</v>
      </c>
      <c r="K723" s="14">
        <f t="shared" si="64"/>
        <v>1E-3</v>
      </c>
      <c r="L723" s="14"/>
      <c r="O723" s="14">
        <f t="shared" si="62"/>
        <v>4.7156372549026095E-4</v>
      </c>
      <c r="P723" s="14">
        <f t="shared" si="63"/>
        <v>1E-4</v>
      </c>
    </row>
    <row r="724" spans="3:16" x14ac:dyDescent="0.3">
      <c r="C724">
        <v>16</v>
      </c>
      <c r="D724" s="36">
        <v>35.79</v>
      </c>
      <c r="K724" s="14">
        <f t="shared" si="64"/>
        <v>1E-3</v>
      </c>
      <c r="L724" s="14"/>
      <c r="O724" s="14">
        <f t="shared" si="62"/>
        <v>2.0000000000000001E-4</v>
      </c>
      <c r="P724" s="14">
        <f t="shared" si="63"/>
        <v>1E-4</v>
      </c>
    </row>
    <row r="725" spans="3:16" x14ac:dyDescent="0.3">
      <c r="C725">
        <v>13</v>
      </c>
      <c r="D725" s="36">
        <v>29.3</v>
      </c>
      <c r="K725" s="14">
        <f t="shared" si="64"/>
        <v>1E-3</v>
      </c>
      <c r="L725" s="14"/>
      <c r="O725" s="14">
        <f t="shared" si="62"/>
        <v>1E-3</v>
      </c>
      <c r="P725" s="14">
        <f t="shared" si="63"/>
        <v>4.0000000000000002E-4</v>
      </c>
    </row>
    <row r="726" spans="3:16" x14ac:dyDescent="0.3">
      <c r="C726">
        <v>15</v>
      </c>
      <c r="D726" s="36">
        <v>32.24</v>
      </c>
      <c r="K726" s="14">
        <f t="shared" si="64"/>
        <v>1E-3</v>
      </c>
      <c r="L726" s="14"/>
      <c r="O726" s="14">
        <f t="shared" si="62"/>
        <v>4.0000000000000002E-4</v>
      </c>
      <c r="P726" s="14">
        <f t="shared" si="63"/>
        <v>1E-4</v>
      </c>
    </row>
    <row r="727" spans="3:16" x14ac:dyDescent="0.3">
      <c r="C727">
        <v>14</v>
      </c>
      <c r="D727" s="36">
        <v>30.36</v>
      </c>
      <c r="K727" s="14">
        <f t="shared" si="64"/>
        <v>1E-3</v>
      </c>
      <c r="L727" s="14"/>
      <c r="O727" s="14">
        <f t="shared" si="62"/>
        <v>4.7156372549026095E-4</v>
      </c>
      <c r="P727" s="14">
        <f t="shared" si="63"/>
        <v>4.0000000000000002E-4</v>
      </c>
    </row>
    <row r="728" spans="3:16" x14ac:dyDescent="0.3">
      <c r="C728">
        <v>14</v>
      </c>
      <c r="D728" s="36">
        <v>31.4</v>
      </c>
      <c r="K728" s="14">
        <f t="shared" si="64"/>
        <v>1E-3</v>
      </c>
      <c r="L728" s="14"/>
      <c r="O728" s="14">
        <f t="shared" si="62"/>
        <v>4.7156372549026095E-4</v>
      </c>
      <c r="P728" s="14">
        <f t="shared" si="63"/>
        <v>4.0000000000000002E-4</v>
      </c>
    </row>
    <row r="729" spans="3:16" x14ac:dyDescent="0.3">
      <c r="C729">
        <v>16</v>
      </c>
      <c r="D729" s="36">
        <v>34.049999999999997</v>
      </c>
      <c r="K729" s="14">
        <f t="shared" si="64"/>
        <v>1E-3</v>
      </c>
      <c r="L729" s="14"/>
      <c r="O729" s="14">
        <f t="shared" si="62"/>
        <v>2.0000000000000001E-4</v>
      </c>
      <c r="P729" s="14">
        <f t="shared" si="63"/>
        <v>1E-4</v>
      </c>
    </row>
    <row r="730" spans="3:16" x14ac:dyDescent="0.3">
      <c r="C730">
        <v>16</v>
      </c>
      <c r="D730" s="36">
        <v>30.82</v>
      </c>
      <c r="K730" s="14">
        <f t="shared" si="64"/>
        <v>1E-3</v>
      </c>
      <c r="L730" s="14"/>
      <c r="O730" s="14">
        <f t="shared" si="62"/>
        <v>2.0000000000000001E-4</v>
      </c>
      <c r="P730" s="14">
        <f t="shared" si="63"/>
        <v>4.0000000000000002E-4</v>
      </c>
    </row>
    <row r="731" spans="3:16" x14ac:dyDescent="0.3">
      <c r="C731">
        <v>15</v>
      </c>
      <c r="D731" s="36">
        <v>16.559999999999999</v>
      </c>
      <c r="K731" s="14">
        <f t="shared" si="64"/>
        <v>1E-3</v>
      </c>
      <c r="L731" s="14"/>
      <c r="O731" s="14">
        <f t="shared" si="62"/>
        <v>4.0000000000000002E-4</v>
      </c>
      <c r="P731" s="14">
        <f t="shared" si="63"/>
        <v>5.0000000000000001E-3</v>
      </c>
    </row>
    <row r="732" spans="3:16" x14ac:dyDescent="0.3">
      <c r="C732">
        <v>13</v>
      </c>
      <c r="D732" s="36">
        <v>25.93</v>
      </c>
      <c r="K732" s="14">
        <f t="shared" si="64"/>
        <v>1E-3</v>
      </c>
      <c r="L732" s="14"/>
      <c r="O732" s="14">
        <f t="shared" si="62"/>
        <v>1E-3</v>
      </c>
      <c r="P732" s="14">
        <f t="shared" si="63"/>
        <v>7.8587786259546764E-4</v>
      </c>
    </row>
    <row r="733" spans="3:16" x14ac:dyDescent="0.3">
      <c r="C733">
        <v>14</v>
      </c>
      <c r="D733" s="36">
        <v>24.13</v>
      </c>
      <c r="K733" s="14">
        <f t="shared" si="64"/>
        <v>1E-3</v>
      </c>
      <c r="L733" s="14"/>
      <c r="O733" s="14">
        <f t="shared" si="62"/>
        <v>4.7156372549026095E-4</v>
      </c>
      <c r="P733" s="14">
        <f t="shared" si="63"/>
        <v>7.8587786259546764E-4</v>
      </c>
    </row>
    <row r="734" spans="3:16" x14ac:dyDescent="0.3">
      <c r="C734">
        <v>15</v>
      </c>
      <c r="D734" s="36">
        <v>31.11</v>
      </c>
      <c r="K734" s="14">
        <f t="shared" si="64"/>
        <v>1E-3</v>
      </c>
      <c r="L734" s="14"/>
      <c r="O734" s="14">
        <f t="shared" si="62"/>
        <v>4.0000000000000002E-4</v>
      </c>
      <c r="P734" s="14">
        <f t="shared" si="63"/>
        <v>4.0000000000000002E-4</v>
      </c>
    </row>
    <row r="735" spans="3:16" x14ac:dyDescent="0.3">
      <c r="C735">
        <v>13</v>
      </c>
      <c r="D735" s="36">
        <v>20.29</v>
      </c>
      <c r="K735" s="14">
        <f t="shared" si="64"/>
        <v>1E-3</v>
      </c>
      <c r="L735" s="14"/>
      <c r="O735" s="14">
        <f t="shared" si="62"/>
        <v>1E-3</v>
      </c>
      <c r="P735" s="14">
        <f t="shared" si="63"/>
        <v>1.5E-3</v>
      </c>
    </row>
    <row r="736" spans="3:16" x14ac:dyDescent="0.3">
      <c r="C736">
        <v>15</v>
      </c>
      <c r="D736" s="36">
        <v>28.68</v>
      </c>
      <c r="K736" s="14">
        <f t="shared" si="64"/>
        <v>1E-3</v>
      </c>
      <c r="L736" s="14"/>
      <c r="O736" s="14">
        <f t="shared" si="62"/>
        <v>4.0000000000000002E-4</v>
      </c>
      <c r="P736" s="14">
        <f t="shared" si="63"/>
        <v>4.0000000000000002E-4</v>
      </c>
    </row>
    <row r="737" spans="3:16" x14ac:dyDescent="0.3">
      <c r="C737">
        <v>15</v>
      </c>
      <c r="D737" s="36">
        <v>25.71</v>
      </c>
      <c r="K737" s="14">
        <f t="shared" si="64"/>
        <v>1E-3</v>
      </c>
      <c r="L737" s="14"/>
      <c r="O737" s="14">
        <f t="shared" si="62"/>
        <v>4.0000000000000002E-4</v>
      </c>
      <c r="P737" s="14">
        <f t="shared" si="63"/>
        <v>7.8587786259546764E-4</v>
      </c>
    </row>
    <row r="738" spans="3:16" x14ac:dyDescent="0.3">
      <c r="C738">
        <v>15</v>
      </c>
      <c r="D738" s="36">
        <v>27.55</v>
      </c>
      <c r="K738" s="14">
        <f t="shared" si="64"/>
        <v>1E-3</v>
      </c>
      <c r="L738" s="14"/>
      <c r="O738" s="14">
        <f t="shared" si="62"/>
        <v>4.0000000000000002E-4</v>
      </c>
      <c r="P738" s="14">
        <f t="shared" si="63"/>
        <v>7.8587786259546764E-4</v>
      </c>
    </row>
    <row r="739" spans="3:16" x14ac:dyDescent="0.3">
      <c r="C739">
        <v>15</v>
      </c>
      <c r="D739" s="36">
        <v>26.63</v>
      </c>
      <c r="K739" s="14">
        <f t="shared" si="64"/>
        <v>1E-3</v>
      </c>
      <c r="L739" s="14"/>
      <c r="O739" s="14">
        <f t="shared" si="62"/>
        <v>4.0000000000000002E-4</v>
      </c>
      <c r="P739" s="14">
        <f t="shared" si="63"/>
        <v>7.8587786259546764E-4</v>
      </c>
    </row>
    <row r="740" spans="3:16" x14ac:dyDescent="0.3">
      <c r="C740">
        <v>15</v>
      </c>
      <c r="D740" s="36">
        <v>35.049999999999997</v>
      </c>
      <c r="K740" s="14">
        <f t="shared" si="64"/>
        <v>1E-3</v>
      </c>
      <c r="L740" s="14"/>
      <c r="O740" s="14">
        <f t="shared" si="62"/>
        <v>4.0000000000000002E-4</v>
      </c>
      <c r="P740" s="14">
        <f t="shared" si="63"/>
        <v>1E-4</v>
      </c>
    </row>
    <row r="741" spans="3:16" x14ac:dyDescent="0.3">
      <c r="C741">
        <v>16</v>
      </c>
      <c r="D741" s="36">
        <v>34.72</v>
      </c>
      <c r="K741" s="14">
        <f t="shared" si="64"/>
        <v>1E-3</v>
      </c>
      <c r="L741" s="14"/>
      <c r="O741" s="14">
        <f t="shared" si="62"/>
        <v>2.0000000000000001E-4</v>
      </c>
      <c r="P741" s="14">
        <f t="shared" si="63"/>
        <v>1E-4</v>
      </c>
    </row>
    <row r="742" spans="3:16" x14ac:dyDescent="0.3">
      <c r="C742">
        <v>15</v>
      </c>
      <c r="D742" s="36">
        <v>26.41</v>
      </c>
      <c r="K742" s="14">
        <f t="shared" si="64"/>
        <v>1E-3</v>
      </c>
      <c r="L742" s="14"/>
      <c r="O742" s="14">
        <f t="shared" si="62"/>
        <v>4.0000000000000002E-4</v>
      </c>
      <c r="P742" s="14">
        <f t="shared" si="63"/>
        <v>7.8587786259546764E-4</v>
      </c>
    </row>
    <row r="743" spans="3:16" x14ac:dyDescent="0.3">
      <c r="C743">
        <v>13</v>
      </c>
      <c r="D743" s="36">
        <v>25.45</v>
      </c>
      <c r="K743" s="14">
        <f t="shared" si="64"/>
        <v>1E-3</v>
      </c>
      <c r="L743" s="14"/>
      <c r="O743" s="14">
        <f t="shared" si="62"/>
        <v>1E-3</v>
      </c>
      <c r="P743" s="14">
        <f t="shared" si="63"/>
        <v>7.8587786259546764E-4</v>
      </c>
    </row>
    <row r="744" spans="3:16" x14ac:dyDescent="0.3">
      <c r="C744">
        <v>12</v>
      </c>
      <c r="D744" s="36">
        <v>20.93</v>
      </c>
      <c r="K744" s="14">
        <f t="shared" si="64"/>
        <v>1E-3</v>
      </c>
      <c r="L744" s="14"/>
      <c r="O744" s="14">
        <f t="shared" si="62"/>
        <v>3.0000000000000001E-3</v>
      </c>
      <c r="P744" s="14">
        <f t="shared" si="63"/>
        <v>1.5E-3</v>
      </c>
    </row>
    <row r="745" spans="3:16" x14ac:dyDescent="0.3">
      <c r="C745">
        <v>15</v>
      </c>
      <c r="D745" s="36">
        <v>30.2</v>
      </c>
      <c r="K745" s="14">
        <f t="shared" si="64"/>
        <v>1E-3</v>
      </c>
      <c r="L745" s="14"/>
      <c r="O745" s="14">
        <f t="shared" si="62"/>
        <v>4.0000000000000002E-4</v>
      </c>
      <c r="P745" s="14">
        <f t="shared" si="63"/>
        <v>4.0000000000000002E-4</v>
      </c>
    </row>
    <row r="746" spans="3:16" x14ac:dyDescent="0.3">
      <c r="C746">
        <v>12</v>
      </c>
      <c r="D746" s="36">
        <v>24.31</v>
      </c>
      <c r="K746" s="14">
        <f t="shared" si="64"/>
        <v>1E-3</v>
      </c>
      <c r="L746" s="14"/>
      <c r="O746" s="14">
        <f t="shared" si="62"/>
        <v>3.0000000000000001E-3</v>
      </c>
      <c r="P746" s="14">
        <f t="shared" si="63"/>
        <v>7.8587786259546764E-4</v>
      </c>
    </row>
    <row r="747" spans="3:16" x14ac:dyDescent="0.3">
      <c r="C747">
        <v>12</v>
      </c>
      <c r="D747" s="36">
        <v>28.41</v>
      </c>
      <c r="K747" s="14">
        <f t="shared" si="64"/>
        <v>1E-3</v>
      </c>
      <c r="L747" s="14"/>
      <c r="O747" s="14">
        <f t="shared" si="62"/>
        <v>3.0000000000000001E-3</v>
      </c>
      <c r="P747" s="14">
        <f t="shared" si="63"/>
        <v>4.0000000000000002E-4</v>
      </c>
    </row>
    <row r="748" spans="3:16" x14ac:dyDescent="0.3">
      <c r="C748">
        <v>16</v>
      </c>
      <c r="D748" s="36">
        <v>31.18</v>
      </c>
      <c r="K748" s="14">
        <f t="shared" si="64"/>
        <v>1E-3</v>
      </c>
      <c r="L748" s="14"/>
      <c r="O748" s="14">
        <f t="shared" si="62"/>
        <v>2.0000000000000001E-4</v>
      </c>
      <c r="P748" s="14">
        <f t="shared" si="63"/>
        <v>4.0000000000000002E-4</v>
      </c>
    </row>
    <row r="749" spans="3:16" x14ac:dyDescent="0.3">
      <c r="C749">
        <v>14</v>
      </c>
      <c r="D749" s="36">
        <v>28.59</v>
      </c>
      <c r="K749" s="14">
        <f t="shared" si="64"/>
        <v>1E-3</v>
      </c>
      <c r="L749" s="14"/>
      <c r="O749" s="14">
        <f t="shared" si="62"/>
        <v>4.7156372549026095E-4</v>
      </c>
      <c r="P749" s="14">
        <f t="shared" si="63"/>
        <v>4.0000000000000002E-4</v>
      </c>
    </row>
    <row r="750" spans="3:16" x14ac:dyDescent="0.3">
      <c r="C750">
        <v>12</v>
      </c>
      <c r="D750" s="36">
        <v>16.57</v>
      </c>
      <c r="K750" s="14">
        <f t="shared" si="64"/>
        <v>1E-3</v>
      </c>
      <c r="L750" s="14"/>
      <c r="O750" s="14">
        <f t="shared" si="62"/>
        <v>3.0000000000000001E-3</v>
      </c>
      <c r="P750" s="14">
        <f t="shared" si="63"/>
        <v>5.0000000000000001E-3</v>
      </c>
    </row>
    <row r="751" spans="3:16" x14ac:dyDescent="0.3">
      <c r="C751">
        <v>16</v>
      </c>
      <c r="D751" s="36">
        <v>35.67</v>
      </c>
      <c r="K751" s="14">
        <f t="shared" si="64"/>
        <v>1E-3</v>
      </c>
      <c r="L751" s="14"/>
      <c r="O751" s="14">
        <f t="shared" si="62"/>
        <v>2.0000000000000001E-4</v>
      </c>
      <c r="P751" s="14">
        <f t="shared" si="63"/>
        <v>1E-4</v>
      </c>
    </row>
    <row r="752" spans="3:16" x14ac:dyDescent="0.3">
      <c r="C752">
        <v>14</v>
      </c>
      <c r="D752" s="36">
        <v>27.56</v>
      </c>
      <c r="K752" s="14">
        <f t="shared" si="64"/>
        <v>1E-3</v>
      </c>
      <c r="L752" s="14"/>
      <c r="O752" s="14">
        <f t="shared" si="62"/>
        <v>4.7156372549026095E-4</v>
      </c>
      <c r="P752" s="14">
        <f t="shared" si="63"/>
        <v>7.8587786259546764E-4</v>
      </c>
    </row>
    <row r="753" spans="3:16" x14ac:dyDescent="0.3">
      <c r="C753">
        <v>16</v>
      </c>
      <c r="D753" s="36">
        <v>26.73</v>
      </c>
      <c r="K753" s="14">
        <f t="shared" si="64"/>
        <v>1E-3</v>
      </c>
      <c r="L753" s="14"/>
      <c r="O753" s="14">
        <f t="shared" si="62"/>
        <v>2.0000000000000001E-4</v>
      </c>
      <c r="P753" s="14">
        <f t="shared" si="63"/>
        <v>7.8587786259546764E-4</v>
      </c>
    </row>
    <row r="754" spans="3:16" x14ac:dyDescent="0.3">
      <c r="C754">
        <v>15</v>
      </c>
      <c r="D754" s="36">
        <v>24.09</v>
      </c>
      <c r="K754" s="14">
        <f t="shared" si="64"/>
        <v>1E-3</v>
      </c>
      <c r="L754" s="14"/>
      <c r="O754" s="14">
        <f t="shared" si="62"/>
        <v>4.0000000000000002E-4</v>
      </c>
      <c r="P754" s="14">
        <f t="shared" si="63"/>
        <v>7.8587786259546764E-4</v>
      </c>
    </row>
    <row r="755" spans="3:16" x14ac:dyDescent="0.3">
      <c r="C755">
        <v>14</v>
      </c>
      <c r="D755" s="36">
        <v>17.97</v>
      </c>
      <c r="K755" s="14">
        <f t="shared" si="64"/>
        <v>1E-3</v>
      </c>
      <c r="L755" s="14"/>
      <c r="O755" s="14">
        <f t="shared" si="62"/>
        <v>4.7156372549026095E-4</v>
      </c>
      <c r="P755" s="14">
        <f t="shared" si="63"/>
        <v>5.0000000000000001E-3</v>
      </c>
    </row>
    <row r="756" spans="3:16" x14ac:dyDescent="0.3">
      <c r="C756">
        <v>12</v>
      </c>
      <c r="D756" s="36">
        <v>24.47</v>
      </c>
      <c r="K756" s="14">
        <f t="shared" si="64"/>
        <v>1E-3</v>
      </c>
      <c r="L756" s="14"/>
      <c r="O756" s="14">
        <f t="shared" si="62"/>
        <v>3.0000000000000001E-3</v>
      </c>
      <c r="P756" s="14">
        <f t="shared" si="63"/>
        <v>7.8587786259546764E-4</v>
      </c>
    </row>
    <row r="757" spans="3:16" x14ac:dyDescent="0.3">
      <c r="C757">
        <v>14</v>
      </c>
      <c r="D757" s="36">
        <v>29.12</v>
      </c>
      <c r="K757" s="14">
        <f t="shared" si="64"/>
        <v>1E-3</v>
      </c>
      <c r="L757" s="14"/>
      <c r="O757" s="14">
        <f t="shared" si="62"/>
        <v>4.7156372549026095E-4</v>
      </c>
      <c r="P757" s="14">
        <f t="shared" si="63"/>
        <v>4.0000000000000002E-4</v>
      </c>
    </row>
    <row r="758" spans="3:16" x14ac:dyDescent="0.3">
      <c r="C758">
        <v>12</v>
      </c>
      <c r="D758" s="36">
        <v>23.96</v>
      </c>
      <c r="K758" s="14">
        <f t="shared" si="64"/>
        <v>1E-3</v>
      </c>
      <c r="L758" s="14"/>
      <c r="O758" s="14">
        <f t="shared" si="62"/>
        <v>3.0000000000000001E-3</v>
      </c>
      <c r="P758" s="14">
        <f t="shared" si="63"/>
        <v>1.5E-3</v>
      </c>
    </row>
    <row r="759" spans="3:16" x14ac:dyDescent="0.3">
      <c r="C759">
        <v>15</v>
      </c>
      <c r="D759" s="36">
        <v>29.71</v>
      </c>
      <c r="K759" s="14">
        <f t="shared" si="64"/>
        <v>1E-3</v>
      </c>
      <c r="L759" s="14"/>
      <c r="O759" s="14">
        <f t="shared" si="62"/>
        <v>4.0000000000000002E-4</v>
      </c>
      <c r="P759" s="14">
        <f t="shared" si="63"/>
        <v>4.0000000000000002E-4</v>
      </c>
    </row>
    <row r="760" spans="3:16" x14ac:dyDescent="0.3">
      <c r="C760">
        <v>14</v>
      </c>
      <c r="D760" s="36">
        <v>24.32</v>
      </c>
      <c r="K760" s="14">
        <f t="shared" si="64"/>
        <v>1E-3</v>
      </c>
      <c r="L760" s="14"/>
      <c r="O760" s="14">
        <f t="shared" si="62"/>
        <v>4.7156372549026095E-4</v>
      </c>
      <c r="P760" s="14">
        <f t="shared" si="63"/>
        <v>7.8587786259546764E-4</v>
      </c>
    </row>
    <row r="761" spans="3:16" x14ac:dyDescent="0.3">
      <c r="C761">
        <v>13</v>
      </c>
      <c r="D761" s="36">
        <v>22.2</v>
      </c>
      <c r="K761" s="14">
        <f t="shared" si="64"/>
        <v>1E-3</v>
      </c>
      <c r="L761" s="14"/>
      <c r="O761" s="14">
        <f t="shared" si="62"/>
        <v>1E-3</v>
      </c>
      <c r="P761" s="14">
        <f t="shared" si="63"/>
        <v>1.5E-3</v>
      </c>
    </row>
    <row r="762" spans="3:16" x14ac:dyDescent="0.3">
      <c r="C762">
        <v>12</v>
      </c>
      <c r="D762" s="36">
        <v>27.67</v>
      </c>
      <c r="K762" s="14">
        <f t="shared" si="64"/>
        <v>1E-3</v>
      </c>
      <c r="L762" s="14"/>
      <c r="O762" s="14">
        <f t="shared" si="62"/>
        <v>3.0000000000000001E-3</v>
      </c>
      <c r="P762" s="14">
        <f t="shared" si="63"/>
        <v>7.8587786259546764E-4</v>
      </c>
    </row>
    <row r="763" spans="3:16" x14ac:dyDescent="0.3">
      <c r="C763">
        <v>15</v>
      </c>
      <c r="D763" s="36">
        <v>26.3</v>
      </c>
      <c r="K763" s="14">
        <f t="shared" si="64"/>
        <v>1E-3</v>
      </c>
      <c r="L763" s="14"/>
      <c r="O763" s="14">
        <f t="shared" si="62"/>
        <v>4.0000000000000002E-4</v>
      </c>
      <c r="P763" s="14">
        <f t="shared" si="63"/>
        <v>7.8587786259546764E-4</v>
      </c>
    </row>
    <row r="764" spans="3:16" x14ac:dyDescent="0.3">
      <c r="C764">
        <v>12</v>
      </c>
      <c r="D764" s="36">
        <v>13.75</v>
      </c>
      <c r="K764" s="14">
        <f t="shared" si="64"/>
        <v>1E-3</v>
      </c>
      <c r="L764" s="14"/>
      <c r="O764" s="14">
        <f t="shared" si="62"/>
        <v>3.0000000000000001E-3</v>
      </c>
      <c r="P764" s="14">
        <f t="shared" si="63"/>
        <v>5.0000000000000001E-3</v>
      </c>
    </row>
    <row r="765" spans="3:16" x14ac:dyDescent="0.3">
      <c r="C765">
        <v>14</v>
      </c>
      <c r="D765" s="36">
        <v>27.35</v>
      </c>
      <c r="K765" s="14">
        <f t="shared" si="64"/>
        <v>1E-3</v>
      </c>
      <c r="L765" s="14"/>
      <c r="O765" s="14">
        <f t="shared" si="62"/>
        <v>4.7156372549026095E-4</v>
      </c>
      <c r="P765" s="14">
        <f t="shared" si="63"/>
        <v>7.8587786259546764E-4</v>
      </c>
    </row>
    <row r="766" spans="3:16" x14ac:dyDescent="0.3">
      <c r="C766">
        <v>12</v>
      </c>
      <c r="D766" s="36">
        <v>28.34</v>
      </c>
      <c r="K766" s="14">
        <f t="shared" si="64"/>
        <v>1E-3</v>
      </c>
      <c r="L766" s="14"/>
      <c r="O766" s="14">
        <f t="shared" si="62"/>
        <v>3.0000000000000001E-3</v>
      </c>
      <c r="P766" s="14">
        <f t="shared" si="63"/>
        <v>4.0000000000000002E-4</v>
      </c>
    </row>
    <row r="767" spans="3:16" x14ac:dyDescent="0.3">
      <c r="C767">
        <v>15</v>
      </c>
      <c r="D767" s="36">
        <v>22.18</v>
      </c>
      <c r="K767" s="14">
        <f t="shared" si="64"/>
        <v>1E-3</v>
      </c>
      <c r="L767" s="14"/>
      <c r="O767" s="14">
        <f t="shared" si="62"/>
        <v>4.0000000000000002E-4</v>
      </c>
      <c r="P767" s="14">
        <f t="shared" si="63"/>
        <v>1.5E-3</v>
      </c>
    </row>
    <row r="768" spans="3:16" x14ac:dyDescent="0.3">
      <c r="C768">
        <v>13</v>
      </c>
      <c r="D768" s="36">
        <v>22.13</v>
      </c>
      <c r="K768" s="14">
        <f t="shared" si="64"/>
        <v>1E-3</v>
      </c>
      <c r="L768" s="14"/>
      <c r="O768" s="14">
        <f t="shared" si="62"/>
        <v>1E-3</v>
      </c>
      <c r="P768" s="14">
        <f t="shared" si="63"/>
        <v>1.5E-3</v>
      </c>
    </row>
    <row r="769" spans="3:16" x14ac:dyDescent="0.3">
      <c r="C769">
        <v>14</v>
      </c>
      <c r="D769" s="36">
        <v>29.06</v>
      </c>
      <c r="K769" s="14">
        <f t="shared" si="64"/>
        <v>1E-3</v>
      </c>
      <c r="L769" s="14"/>
      <c r="O769" s="14">
        <f t="shared" si="62"/>
        <v>4.7156372549026095E-4</v>
      </c>
      <c r="P769" s="14">
        <f t="shared" si="63"/>
        <v>4.0000000000000002E-4</v>
      </c>
    </row>
    <row r="770" spans="3:16" x14ac:dyDescent="0.3">
      <c r="C770">
        <v>12</v>
      </c>
      <c r="D770" s="36">
        <v>27.93</v>
      </c>
      <c r="K770" s="14">
        <f t="shared" si="64"/>
        <v>1E-3</v>
      </c>
      <c r="L770" s="14"/>
      <c r="O770" s="14">
        <f t="shared" ref="O770:O833" si="65">IF(C770=12,$M$4,IF(C770=13,$M$5,IF(C770=14,$M$6,IF(C770=15,$M$7,$M$8))))</f>
        <v>3.0000000000000001E-3</v>
      </c>
      <c r="P770" s="14">
        <f t="shared" ref="P770:P833" si="66">IF(D770&lt;20,$M$14,IF(D770&lt;24,$M$15,IF(D770&lt;28,$M$16,IF(D770&lt;32,$M$17,$M$18))))</f>
        <v>7.8587786259546764E-4</v>
      </c>
    </row>
    <row r="771" spans="3:16" x14ac:dyDescent="0.3">
      <c r="C771">
        <v>14</v>
      </c>
      <c r="D771" s="36">
        <v>33.01</v>
      </c>
      <c r="K771" s="14">
        <f t="shared" ref="K771:K834" si="67">1/1000</f>
        <v>1E-3</v>
      </c>
      <c r="L771" s="14"/>
      <c r="O771" s="14">
        <f t="shared" si="65"/>
        <v>4.7156372549026095E-4</v>
      </c>
      <c r="P771" s="14">
        <f t="shared" si="66"/>
        <v>1E-4</v>
      </c>
    </row>
    <row r="772" spans="3:16" x14ac:dyDescent="0.3">
      <c r="C772">
        <v>12</v>
      </c>
      <c r="D772" s="36">
        <v>28.61</v>
      </c>
      <c r="K772" s="14">
        <f t="shared" si="67"/>
        <v>1E-3</v>
      </c>
      <c r="L772" s="14"/>
      <c r="O772" s="14">
        <f t="shared" si="65"/>
        <v>3.0000000000000001E-3</v>
      </c>
      <c r="P772" s="14">
        <f t="shared" si="66"/>
        <v>4.0000000000000002E-4</v>
      </c>
    </row>
    <row r="773" spans="3:16" x14ac:dyDescent="0.3">
      <c r="C773">
        <v>16</v>
      </c>
      <c r="D773" s="36">
        <v>33.17</v>
      </c>
      <c r="K773" s="14">
        <f t="shared" si="67"/>
        <v>1E-3</v>
      </c>
      <c r="L773" s="14"/>
      <c r="O773" s="14">
        <f t="shared" si="65"/>
        <v>2.0000000000000001E-4</v>
      </c>
      <c r="P773" s="14">
        <f t="shared" si="66"/>
        <v>1E-4</v>
      </c>
    </row>
    <row r="774" spans="3:16" x14ac:dyDescent="0.3">
      <c r="C774">
        <v>13</v>
      </c>
      <c r="D774" s="36">
        <v>22.96</v>
      </c>
      <c r="K774" s="14">
        <f t="shared" si="67"/>
        <v>1E-3</v>
      </c>
      <c r="L774" s="14"/>
      <c r="O774" s="14">
        <f t="shared" si="65"/>
        <v>1E-3</v>
      </c>
      <c r="P774" s="14">
        <f t="shared" si="66"/>
        <v>1.5E-3</v>
      </c>
    </row>
    <row r="775" spans="3:16" x14ac:dyDescent="0.3">
      <c r="C775">
        <v>13</v>
      </c>
      <c r="D775" s="36">
        <v>22.65</v>
      </c>
      <c r="K775" s="14">
        <f t="shared" si="67"/>
        <v>1E-3</v>
      </c>
      <c r="L775" s="14"/>
      <c r="O775" s="14">
        <f t="shared" si="65"/>
        <v>1E-3</v>
      </c>
      <c r="P775" s="14">
        <f t="shared" si="66"/>
        <v>1.5E-3</v>
      </c>
    </row>
    <row r="776" spans="3:16" x14ac:dyDescent="0.3">
      <c r="C776">
        <v>16</v>
      </c>
      <c r="D776" s="36">
        <v>26.91</v>
      </c>
      <c r="K776" s="14">
        <f t="shared" si="67"/>
        <v>1E-3</v>
      </c>
      <c r="L776" s="14"/>
      <c r="O776" s="14">
        <f t="shared" si="65"/>
        <v>2.0000000000000001E-4</v>
      </c>
      <c r="P776" s="14">
        <f t="shared" si="66"/>
        <v>7.8587786259546764E-4</v>
      </c>
    </row>
    <row r="777" spans="3:16" x14ac:dyDescent="0.3">
      <c r="C777">
        <v>15</v>
      </c>
      <c r="D777" s="36">
        <v>31.11</v>
      </c>
      <c r="K777" s="14">
        <f t="shared" si="67"/>
        <v>1E-3</v>
      </c>
      <c r="L777" s="14"/>
      <c r="O777" s="14">
        <f t="shared" si="65"/>
        <v>4.0000000000000002E-4</v>
      </c>
      <c r="P777" s="14">
        <f t="shared" si="66"/>
        <v>4.0000000000000002E-4</v>
      </c>
    </row>
    <row r="778" spans="3:16" x14ac:dyDescent="0.3">
      <c r="C778">
        <v>13</v>
      </c>
      <c r="D778" s="36">
        <v>28.35</v>
      </c>
      <c r="K778" s="14">
        <f t="shared" si="67"/>
        <v>1E-3</v>
      </c>
      <c r="L778" s="14"/>
      <c r="O778" s="14">
        <f t="shared" si="65"/>
        <v>1E-3</v>
      </c>
      <c r="P778" s="14">
        <f t="shared" si="66"/>
        <v>4.0000000000000002E-4</v>
      </c>
    </row>
    <row r="779" spans="3:16" x14ac:dyDescent="0.3">
      <c r="C779">
        <v>14</v>
      </c>
      <c r="D779" s="36">
        <v>25.56</v>
      </c>
      <c r="K779" s="14">
        <f t="shared" si="67"/>
        <v>1E-3</v>
      </c>
      <c r="L779" s="14"/>
      <c r="O779" s="14">
        <f t="shared" si="65"/>
        <v>4.7156372549026095E-4</v>
      </c>
      <c r="P779" s="14">
        <f t="shared" si="66"/>
        <v>7.8587786259546764E-4</v>
      </c>
    </row>
    <row r="780" spans="3:16" x14ac:dyDescent="0.3">
      <c r="C780">
        <v>12</v>
      </c>
      <c r="D780" s="36">
        <v>24.14</v>
      </c>
      <c r="K780" s="14">
        <f t="shared" si="67"/>
        <v>1E-3</v>
      </c>
      <c r="L780" s="14"/>
      <c r="O780" s="14">
        <f t="shared" si="65"/>
        <v>3.0000000000000001E-3</v>
      </c>
      <c r="P780" s="14">
        <f t="shared" si="66"/>
        <v>7.8587786259546764E-4</v>
      </c>
    </row>
    <row r="781" spans="3:16" x14ac:dyDescent="0.3">
      <c r="C781">
        <v>14</v>
      </c>
      <c r="D781" s="36">
        <v>26.21</v>
      </c>
      <c r="K781" s="14">
        <f t="shared" si="67"/>
        <v>1E-3</v>
      </c>
      <c r="L781" s="14"/>
      <c r="O781" s="14">
        <f t="shared" si="65"/>
        <v>4.7156372549026095E-4</v>
      </c>
      <c r="P781" s="14">
        <f t="shared" si="66"/>
        <v>7.8587786259546764E-4</v>
      </c>
    </row>
    <row r="782" spans="3:16" x14ac:dyDescent="0.3">
      <c r="C782">
        <v>16</v>
      </c>
      <c r="D782" s="36">
        <v>32.19</v>
      </c>
      <c r="K782" s="14">
        <f t="shared" si="67"/>
        <v>1E-3</v>
      </c>
      <c r="L782" s="14"/>
      <c r="O782" s="14">
        <f t="shared" si="65"/>
        <v>2.0000000000000001E-4</v>
      </c>
      <c r="P782" s="14">
        <f t="shared" si="66"/>
        <v>1E-4</v>
      </c>
    </row>
    <row r="783" spans="3:16" x14ac:dyDescent="0.3">
      <c r="C783">
        <v>13</v>
      </c>
      <c r="D783" s="36">
        <v>28.2</v>
      </c>
      <c r="K783" s="14">
        <f t="shared" si="67"/>
        <v>1E-3</v>
      </c>
      <c r="L783" s="14"/>
      <c r="O783" s="14">
        <f t="shared" si="65"/>
        <v>1E-3</v>
      </c>
      <c r="P783" s="14">
        <f t="shared" si="66"/>
        <v>4.0000000000000002E-4</v>
      </c>
    </row>
    <row r="784" spans="3:16" x14ac:dyDescent="0.3">
      <c r="C784">
        <v>14</v>
      </c>
      <c r="D784" s="36">
        <v>30.38</v>
      </c>
      <c r="K784" s="14">
        <f t="shared" si="67"/>
        <v>1E-3</v>
      </c>
      <c r="L784" s="14"/>
      <c r="O784" s="14">
        <f t="shared" si="65"/>
        <v>4.7156372549026095E-4</v>
      </c>
      <c r="P784" s="14">
        <f t="shared" si="66"/>
        <v>4.0000000000000002E-4</v>
      </c>
    </row>
    <row r="785" spans="3:16" x14ac:dyDescent="0.3">
      <c r="C785">
        <v>14</v>
      </c>
      <c r="D785" s="36">
        <v>20.73</v>
      </c>
      <c r="K785" s="14">
        <f t="shared" si="67"/>
        <v>1E-3</v>
      </c>
      <c r="L785" s="14"/>
      <c r="O785" s="14">
        <f t="shared" si="65"/>
        <v>4.7156372549026095E-4</v>
      </c>
      <c r="P785" s="14">
        <f t="shared" si="66"/>
        <v>1.5E-3</v>
      </c>
    </row>
    <row r="786" spans="3:16" x14ac:dyDescent="0.3">
      <c r="C786">
        <v>12</v>
      </c>
      <c r="D786" s="36">
        <v>25.05</v>
      </c>
      <c r="K786" s="14">
        <f t="shared" si="67"/>
        <v>1E-3</v>
      </c>
      <c r="L786" s="14"/>
      <c r="O786" s="14">
        <f t="shared" si="65"/>
        <v>3.0000000000000001E-3</v>
      </c>
      <c r="P786" s="14">
        <f t="shared" si="66"/>
        <v>7.8587786259546764E-4</v>
      </c>
    </row>
    <row r="787" spans="3:16" x14ac:dyDescent="0.3">
      <c r="C787">
        <v>15</v>
      </c>
      <c r="D787" s="36">
        <v>33.229999999999997</v>
      </c>
      <c r="K787" s="14">
        <f t="shared" si="67"/>
        <v>1E-3</v>
      </c>
      <c r="L787" s="14"/>
      <c r="O787" s="14">
        <f t="shared" si="65"/>
        <v>4.0000000000000002E-4</v>
      </c>
      <c r="P787" s="14">
        <f t="shared" si="66"/>
        <v>1E-4</v>
      </c>
    </row>
    <row r="788" spans="3:16" x14ac:dyDescent="0.3">
      <c r="C788">
        <v>15</v>
      </c>
      <c r="D788" s="36">
        <v>30.23</v>
      </c>
      <c r="K788" s="14">
        <f t="shared" si="67"/>
        <v>1E-3</v>
      </c>
      <c r="L788" s="14"/>
      <c r="O788" s="14">
        <f t="shared" si="65"/>
        <v>4.0000000000000002E-4</v>
      </c>
      <c r="P788" s="14">
        <f t="shared" si="66"/>
        <v>4.0000000000000002E-4</v>
      </c>
    </row>
    <row r="789" spans="3:16" x14ac:dyDescent="0.3">
      <c r="C789">
        <v>13</v>
      </c>
      <c r="D789" s="36">
        <v>24.67</v>
      </c>
      <c r="K789" s="14">
        <f t="shared" si="67"/>
        <v>1E-3</v>
      </c>
      <c r="L789" s="14"/>
      <c r="O789" s="14">
        <f t="shared" si="65"/>
        <v>1E-3</v>
      </c>
      <c r="P789" s="14">
        <f t="shared" si="66"/>
        <v>7.8587786259546764E-4</v>
      </c>
    </row>
    <row r="790" spans="3:16" x14ac:dyDescent="0.3">
      <c r="C790">
        <v>16</v>
      </c>
      <c r="D790" s="36">
        <v>35.270000000000003</v>
      </c>
      <c r="K790" s="14">
        <f t="shared" si="67"/>
        <v>1E-3</v>
      </c>
      <c r="L790" s="14"/>
      <c r="O790" s="14">
        <f t="shared" si="65"/>
        <v>2.0000000000000001E-4</v>
      </c>
      <c r="P790" s="14">
        <f t="shared" si="66"/>
        <v>1E-4</v>
      </c>
    </row>
    <row r="791" spans="3:16" x14ac:dyDescent="0.3">
      <c r="C791">
        <v>15</v>
      </c>
      <c r="D791" s="36">
        <v>13.29</v>
      </c>
      <c r="K791" s="14">
        <f t="shared" si="67"/>
        <v>1E-3</v>
      </c>
      <c r="L791" s="14"/>
      <c r="O791" s="14">
        <f t="shared" si="65"/>
        <v>4.0000000000000002E-4</v>
      </c>
      <c r="P791" s="14">
        <f t="shared" si="66"/>
        <v>5.0000000000000001E-3</v>
      </c>
    </row>
    <row r="792" spans="3:16" x14ac:dyDescent="0.3">
      <c r="C792">
        <v>13</v>
      </c>
      <c r="D792" s="36">
        <v>31.87</v>
      </c>
      <c r="K792" s="14">
        <f t="shared" si="67"/>
        <v>1E-3</v>
      </c>
      <c r="L792" s="14"/>
      <c r="O792" s="14">
        <f t="shared" si="65"/>
        <v>1E-3</v>
      </c>
      <c r="P792" s="14">
        <f t="shared" si="66"/>
        <v>4.0000000000000002E-4</v>
      </c>
    </row>
    <row r="793" spans="3:16" x14ac:dyDescent="0.3">
      <c r="C793">
        <v>15</v>
      </c>
      <c r="D793" s="36">
        <v>19.350000000000001</v>
      </c>
      <c r="K793" s="14">
        <f t="shared" si="67"/>
        <v>1E-3</v>
      </c>
      <c r="L793" s="14"/>
      <c r="O793" s="14">
        <f t="shared" si="65"/>
        <v>4.0000000000000002E-4</v>
      </c>
      <c r="P793" s="14">
        <f t="shared" si="66"/>
        <v>5.0000000000000001E-3</v>
      </c>
    </row>
    <row r="794" spans="3:16" x14ac:dyDescent="0.3">
      <c r="C794">
        <v>12</v>
      </c>
      <c r="D794" s="36">
        <v>23.78</v>
      </c>
      <c r="K794" s="14">
        <f t="shared" si="67"/>
        <v>1E-3</v>
      </c>
      <c r="L794" s="14"/>
      <c r="O794" s="14">
        <f t="shared" si="65"/>
        <v>3.0000000000000001E-3</v>
      </c>
      <c r="P794" s="14">
        <f t="shared" si="66"/>
        <v>1.5E-3</v>
      </c>
    </row>
    <row r="795" spans="3:16" x14ac:dyDescent="0.3">
      <c r="C795">
        <v>14</v>
      </c>
      <c r="D795" s="36">
        <v>25.83</v>
      </c>
      <c r="K795" s="14">
        <f t="shared" si="67"/>
        <v>1E-3</v>
      </c>
      <c r="L795" s="14"/>
      <c r="O795" s="14">
        <f t="shared" si="65"/>
        <v>4.7156372549026095E-4</v>
      </c>
      <c r="P795" s="14">
        <f t="shared" si="66"/>
        <v>7.8587786259546764E-4</v>
      </c>
    </row>
    <row r="796" spans="3:16" x14ac:dyDescent="0.3">
      <c r="C796">
        <v>14</v>
      </c>
      <c r="D796" s="36">
        <v>16.82</v>
      </c>
      <c r="K796" s="14">
        <f t="shared" si="67"/>
        <v>1E-3</v>
      </c>
      <c r="L796" s="14"/>
      <c r="O796" s="14">
        <f t="shared" si="65"/>
        <v>4.7156372549026095E-4</v>
      </c>
      <c r="P796" s="14">
        <f t="shared" si="66"/>
        <v>5.0000000000000001E-3</v>
      </c>
    </row>
    <row r="797" spans="3:16" x14ac:dyDescent="0.3">
      <c r="C797">
        <v>16</v>
      </c>
      <c r="D797" s="36">
        <v>34.96</v>
      </c>
      <c r="K797" s="14">
        <f t="shared" si="67"/>
        <v>1E-3</v>
      </c>
      <c r="L797" s="14"/>
      <c r="O797" s="14">
        <f t="shared" si="65"/>
        <v>2.0000000000000001E-4</v>
      </c>
      <c r="P797" s="14">
        <f t="shared" si="66"/>
        <v>1E-4</v>
      </c>
    </row>
    <row r="798" spans="3:16" x14ac:dyDescent="0.3">
      <c r="C798">
        <v>14</v>
      </c>
      <c r="D798" s="36">
        <v>21.72</v>
      </c>
      <c r="K798" s="14">
        <f t="shared" si="67"/>
        <v>1E-3</v>
      </c>
      <c r="L798" s="14"/>
      <c r="O798" s="14">
        <f t="shared" si="65"/>
        <v>4.7156372549026095E-4</v>
      </c>
      <c r="P798" s="14">
        <f t="shared" si="66"/>
        <v>1.5E-3</v>
      </c>
    </row>
    <row r="799" spans="3:16" x14ac:dyDescent="0.3">
      <c r="C799">
        <v>12</v>
      </c>
      <c r="D799" s="36">
        <v>23.3</v>
      </c>
      <c r="K799" s="14">
        <f t="shared" si="67"/>
        <v>1E-3</v>
      </c>
      <c r="L799" s="14"/>
      <c r="O799" s="14">
        <f t="shared" si="65"/>
        <v>3.0000000000000001E-3</v>
      </c>
      <c r="P799" s="14">
        <f t="shared" si="66"/>
        <v>1.5E-3</v>
      </c>
    </row>
    <row r="800" spans="3:16" x14ac:dyDescent="0.3">
      <c r="C800">
        <v>12</v>
      </c>
      <c r="D800" s="36">
        <v>25.27</v>
      </c>
      <c r="K800" s="14">
        <f t="shared" si="67"/>
        <v>1E-3</v>
      </c>
      <c r="L800" s="14"/>
      <c r="O800" s="14">
        <f t="shared" si="65"/>
        <v>3.0000000000000001E-3</v>
      </c>
      <c r="P800" s="14">
        <f t="shared" si="66"/>
        <v>7.8587786259546764E-4</v>
      </c>
    </row>
    <row r="801" spans="3:16" x14ac:dyDescent="0.3">
      <c r="C801">
        <v>16</v>
      </c>
      <c r="D801" s="36">
        <v>30.32</v>
      </c>
      <c r="K801" s="14">
        <f t="shared" si="67"/>
        <v>1E-3</v>
      </c>
      <c r="L801" s="14"/>
      <c r="O801" s="14">
        <f t="shared" si="65"/>
        <v>2.0000000000000001E-4</v>
      </c>
      <c r="P801" s="14">
        <f t="shared" si="66"/>
        <v>4.0000000000000002E-4</v>
      </c>
    </row>
    <row r="802" spans="3:16" x14ac:dyDescent="0.3">
      <c r="C802">
        <v>13</v>
      </c>
      <c r="D802" s="36">
        <v>27.86</v>
      </c>
      <c r="K802" s="14">
        <f t="shared" si="67"/>
        <v>1E-3</v>
      </c>
      <c r="L802" s="14"/>
      <c r="O802" s="14">
        <f t="shared" si="65"/>
        <v>1E-3</v>
      </c>
      <c r="P802" s="14">
        <f t="shared" si="66"/>
        <v>7.8587786259546764E-4</v>
      </c>
    </row>
    <row r="803" spans="3:16" x14ac:dyDescent="0.3">
      <c r="C803">
        <v>15</v>
      </c>
      <c r="D803" s="36">
        <v>30.75</v>
      </c>
      <c r="K803" s="14">
        <f t="shared" si="67"/>
        <v>1E-3</v>
      </c>
      <c r="L803" s="14"/>
      <c r="O803" s="14">
        <f t="shared" si="65"/>
        <v>4.0000000000000002E-4</v>
      </c>
      <c r="P803" s="14">
        <f t="shared" si="66"/>
        <v>4.0000000000000002E-4</v>
      </c>
    </row>
    <row r="804" spans="3:16" x14ac:dyDescent="0.3">
      <c r="C804">
        <v>12</v>
      </c>
      <c r="D804" s="36">
        <v>22.82</v>
      </c>
      <c r="K804" s="14">
        <f t="shared" si="67"/>
        <v>1E-3</v>
      </c>
      <c r="L804" s="14"/>
      <c r="O804" s="14">
        <f t="shared" si="65"/>
        <v>3.0000000000000001E-3</v>
      </c>
      <c r="P804" s="14">
        <f t="shared" si="66"/>
        <v>1.5E-3</v>
      </c>
    </row>
    <row r="805" spans="3:16" x14ac:dyDescent="0.3">
      <c r="C805">
        <v>15</v>
      </c>
      <c r="D805" s="36">
        <v>29.08</v>
      </c>
      <c r="K805" s="14">
        <f t="shared" si="67"/>
        <v>1E-3</v>
      </c>
      <c r="L805" s="14"/>
      <c r="O805" s="14">
        <f t="shared" si="65"/>
        <v>4.0000000000000002E-4</v>
      </c>
      <c r="P805" s="14">
        <f t="shared" si="66"/>
        <v>4.0000000000000002E-4</v>
      </c>
    </row>
    <row r="806" spans="3:16" x14ac:dyDescent="0.3">
      <c r="C806">
        <v>15</v>
      </c>
      <c r="D806" s="36">
        <v>33.43</v>
      </c>
      <c r="K806" s="14">
        <f t="shared" si="67"/>
        <v>1E-3</v>
      </c>
      <c r="L806" s="14"/>
      <c r="O806" s="14">
        <f t="shared" si="65"/>
        <v>4.0000000000000002E-4</v>
      </c>
      <c r="P806" s="14">
        <f t="shared" si="66"/>
        <v>1E-4</v>
      </c>
    </row>
    <row r="807" spans="3:16" x14ac:dyDescent="0.3">
      <c r="C807">
        <v>16</v>
      </c>
      <c r="D807" s="36">
        <v>26.05</v>
      </c>
      <c r="K807" s="14">
        <f t="shared" si="67"/>
        <v>1E-3</v>
      </c>
      <c r="L807" s="14"/>
      <c r="O807" s="14">
        <f t="shared" si="65"/>
        <v>2.0000000000000001E-4</v>
      </c>
      <c r="P807" s="14">
        <f t="shared" si="66"/>
        <v>7.8587786259546764E-4</v>
      </c>
    </row>
    <row r="808" spans="3:16" x14ac:dyDescent="0.3">
      <c r="C808">
        <v>12</v>
      </c>
      <c r="D808" s="36">
        <v>24.98</v>
      </c>
      <c r="K808" s="14">
        <f t="shared" si="67"/>
        <v>1E-3</v>
      </c>
      <c r="L808" s="14"/>
      <c r="O808" s="14">
        <f t="shared" si="65"/>
        <v>3.0000000000000001E-3</v>
      </c>
      <c r="P808" s="14">
        <f t="shared" si="66"/>
        <v>7.8587786259546764E-4</v>
      </c>
    </row>
    <row r="809" spans="3:16" x14ac:dyDescent="0.3">
      <c r="C809">
        <v>15</v>
      </c>
      <c r="D809" s="36">
        <v>26.26</v>
      </c>
      <c r="K809" s="14">
        <f t="shared" si="67"/>
        <v>1E-3</v>
      </c>
      <c r="L809" s="14"/>
      <c r="O809" s="14">
        <f t="shared" si="65"/>
        <v>4.0000000000000002E-4</v>
      </c>
      <c r="P809" s="14">
        <f t="shared" si="66"/>
        <v>7.8587786259546764E-4</v>
      </c>
    </row>
    <row r="810" spans="3:16" x14ac:dyDescent="0.3">
      <c r="C810">
        <v>14</v>
      </c>
      <c r="D810" s="36">
        <v>28.53</v>
      </c>
      <c r="K810" s="14">
        <f t="shared" si="67"/>
        <v>1E-3</v>
      </c>
      <c r="L810" s="14"/>
      <c r="O810" s="14">
        <f t="shared" si="65"/>
        <v>4.7156372549026095E-4</v>
      </c>
      <c r="P810" s="14">
        <f t="shared" si="66"/>
        <v>4.0000000000000002E-4</v>
      </c>
    </row>
    <row r="811" spans="3:16" x14ac:dyDescent="0.3">
      <c r="C811">
        <v>16</v>
      </c>
      <c r="D811" s="36">
        <v>36.92</v>
      </c>
      <c r="K811" s="14">
        <f t="shared" si="67"/>
        <v>1E-3</v>
      </c>
      <c r="L811" s="14"/>
      <c r="O811" s="14">
        <f t="shared" si="65"/>
        <v>2.0000000000000001E-4</v>
      </c>
      <c r="P811" s="14">
        <f t="shared" si="66"/>
        <v>1E-4</v>
      </c>
    </row>
    <row r="812" spans="3:16" x14ac:dyDescent="0.3">
      <c r="C812">
        <v>14</v>
      </c>
      <c r="D812" s="36">
        <v>24.98</v>
      </c>
      <c r="K812" s="14">
        <f t="shared" si="67"/>
        <v>1E-3</v>
      </c>
      <c r="L812" s="14"/>
      <c r="O812" s="14">
        <f t="shared" si="65"/>
        <v>4.7156372549026095E-4</v>
      </c>
      <c r="P812" s="14">
        <f t="shared" si="66"/>
        <v>7.8587786259546764E-4</v>
      </c>
    </row>
    <row r="813" spans="3:16" x14ac:dyDescent="0.3">
      <c r="C813">
        <v>12</v>
      </c>
      <c r="D813" s="36">
        <v>19.2</v>
      </c>
      <c r="K813" s="14">
        <f t="shared" si="67"/>
        <v>1E-3</v>
      </c>
      <c r="L813" s="14"/>
      <c r="O813" s="14">
        <f t="shared" si="65"/>
        <v>3.0000000000000001E-3</v>
      </c>
      <c r="P813" s="14">
        <f t="shared" si="66"/>
        <v>5.0000000000000001E-3</v>
      </c>
    </row>
    <row r="814" spans="3:16" x14ac:dyDescent="0.3">
      <c r="C814">
        <v>14</v>
      </c>
      <c r="D814" s="36">
        <v>30.34</v>
      </c>
      <c r="K814" s="14">
        <f t="shared" si="67"/>
        <v>1E-3</v>
      </c>
      <c r="L814" s="14"/>
      <c r="O814" s="14">
        <f t="shared" si="65"/>
        <v>4.7156372549026095E-4</v>
      </c>
      <c r="P814" s="14">
        <f t="shared" si="66"/>
        <v>4.0000000000000002E-4</v>
      </c>
    </row>
    <row r="815" spans="3:16" x14ac:dyDescent="0.3">
      <c r="C815">
        <v>16</v>
      </c>
      <c r="D815" s="36">
        <v>36.619999999999997</v>
      </c>
      <c r="K815" s="14">
        <f t="shared" si="67"/>
        <v>1E-3</v>
      </c>
      <c r="L815" s="14"/>
      <c r="O815" s="14">
        <f t="shared" si="65"/>
        <v>2.0000000000000001E-4</v>
      </c>
      <c r="P815" s="14">
        <f t="shared" si="66"/>
        <v>1E-4</v>
      </c>
    </row>
    <row r="816" spans="3:16" x14ac:dyDescent="0.3">
      <c r="C816">
        <v>13</v>
      </c>
      <c r="D816" s="36">
        <v>26.54</v>
      </c>
      <c r="K816" s="14">
        <f t="shared" si="67"/>
        <v>1E-3</v>
      </c>
      <c r="L816" s="14"/>
      <c r="O816" s="14">
        <f t="shared" si="65"/>
        <v>1E-3</v>
      </c>
      <c r="P816" s="14">
        <f t="shared" si="66"/>
        <v>7.8587786259546764E-4</v>
      </c>
    </row>
    <row r="817" spans="3:16" x14ac:dyDescent="0.3">
      <c r="C817">
        <v>16</v>
      </c>
      <c r="D817" s="36">
        <v>30.18</v>
      </c>
      <c r="K817" s="14">
        <f t="shared" si="67"/>
        <v>1E-3</v>
      </c>
      <c r="L817" s="14"/>
      <c r="O817" s="14">
        <f t="shared" si="65"/>
        <v>2.0000000000000001E-4</v>
      </c>
      <c r="P817" s="14">
        <f t="shared" si="66"/>
        <v>4.0000000000000002E-4</v>
      </c>
    </row>
    <row r="818" spans="3:16" x14ac:dyDescent="0.3">
      <c r="C818">
        <v>15</v>
      </c>
      <c r="D818" s="36">
        <v>31.41</v>
      </c>
      <c r="K818" s="14">
        <f t="shared" si="67"/>
        <v>1E-3</v>
      </c>
      <c r="L818" s="14"/>
      <c r="O818" s="14">
        <f t="shared" si="65"/>
        <v>4.0000000000000002E-4</v>
      </c>
      <c r="P818" s="14">
        <f t="shared" si="66"/>
        <v>4.0000000000000002E-4</v>
      </c>
    </row>
    <row r="819" spans="3:16" x14ac:dyDescent="0.3">
      <c r="C819">
        <v>16</v>
      </c>
      <c r="D819" s="36">
        <v>32.56</v>
      </c>
      <c r="K819" s="14">
        <f t="shared" si="67"/>
        <v>1E-3</v>
      </c>
      <c r="L819" s="14"/>
      <c r="O819" s="14">
        <f t="shared" si="65"/>
        <v>2.0000000000000001E-4</v>
      </c>
      <c r="P819" s="14">
        <f t="shared" si="66"/>
        <v>1E-4</v>
      </c>
    </row>
    <row r="820" spans="3:16" x14ac:dyDescent="0.3">
      <c r="C820">
        <v>13</v>
      </c>
      <c r="D820" s="36">
        <v>32.159999999999997</v>
      </c>
      <c r="K820" s="14">
        <f t="shared" si="67"/>
        <v>1E-3</v>
      </c>
      <c r="L820" s="14"/>
      <c r="O820" s="14">
        <f t="shared" si="65"/>
        <v>1E-3</v>
      </c>
      <c r="P820" s="14">
        <f t="shared" si="66"/>
        <v>1E-4</v>
      </c>
    </row>
    <row r="821" spans="3:16" x14ac:dyDescent="0.3">
      <c r="C821">
        <v>15</v>
      </c>
      <c r="D821" s="36">
        <v>34.17</v>
      </c>
      <c r="K821" s="14">
        <f t="shared" si="67"/>
        <v>1E-3</v>
      </c>
      <c r="L821" s="14"/>
      <c r="O821" s="14">
        <f t="shared" si="65"/>
        <v>4.0000000000000002E-4</v>
      </c>
      <c r="P821" s="14">
        <f t="shared" si="66"/>
        <v>1E-4</v>
      </c>
    </row>
    <row r="822" spans="3:16" x14ac:dyDescent="0.3">
      <c r="C822">
        <v>13</v>
      </c>
      <c r="D822" s="36">
        <v>26.02</v>
      </c>
      <c r="K822" s="14">
        <f t="shared" si="67"/>
        <v>1E-3</v>
      </c>
      <c r="L822" s="14"/>
      <c r="O822" s="14">
        <f t="shared" si="65"/>
        <v>1E-3</v>
      </c>
      <c r="P822" s="14">
        <f t="shared" si="66"/>
        <v>7.8587786259546764E-4</v>
      </c>
    </row>
    <row r="823" spans="3:16" x14ac:dyDescent="0.3">
      <c r="C823">
        <v>15</v>
      </c>
      <c r="D823" s="36">
        <v>27.72</v>
      </c>
      <c r="K823" s="14">
        <f t="shared" si="67"/>
        <v>1E-3</v>
      </c>
      <c r="L823" s="14"/>
      <c r="O823" s="14">
        <f t="shared" si="65"/>
        <v>4.0000000000000002E-4</v>
      </c>
      <c r="P823" s="14">
        <f t="shared" si="66"/>
        <v>7.8587786259546764E-4</v>
      </c>
    </row>
    <row r="824" spans="3:16" x14ac:dyDescent="0.3">
      <c r="C824">
        <v>12</v>
      </c>
      <c r="D824" s="36">
        <v>24.56</v>
      </c>
      <c r="K824" s="14">
        <f t="shared" si="67"/>
        <v>1E-3</v>
      </c>
      <c r="L824" s="14"/>
      <c r="O824" s="14">
        <f t="shared" si="65"/>
        <v>3.0000000000000001E-3</v>
      </c>
      <c r="P824" s="14">
        <f t="shared" si="66"/>
        <v>7.8587786259546764E-4</v>
      </c>
    </row>
    <row r="825" spans="3:16" x14ac:dyDescent="0.3">
      <c r="C825">
        <v>16</v>
      </c>
      <c r="D825" s="36">
        <v>30.14</v>
      </c>
      <c r="K825" s="14">
        <f t="shared" si="67"/>
        <v>1E-3</v>
      </c>
      <c r="L825" s="14"/>
      <c r="O825" s="14">
        <f t="shared" si="65"/>
        <v>2.0000000000000001E-4</v>
      </c>
      <c r="P825" s="14">
        <f t="shared" si="66"/>
        <v>4.0000000000000002E-4</v>
      </c>
    </row>
    <row r="826" spans="3:16" x14ac:dyDescent="0.3">
      <c r="C826">
        <v>16</v>
      </c>
      <c r="D826" s="36">
        <v>35.06</v>
      </c>
      <c r="K826" s="14">
        <f t="shared" si="67"/>
        <v>1E-3</v>
      </c>
      <c r="L826" s="14"/>
      <c r="O826" s="14">
        <f t="shared" si="65"/>
        <v>2.0000000000000001E-4</v>
      </c>
      <c r="P826" s="14">
        <f t="shared" si="66"/>
        <v>1E-4</v>
      </c>
    </row>
    <row r="827" spans="3:16" x14ac:dyDescent="0.3">
      <c r="C827">
        <v>15</v>
      </c>
      <c r="D827" s="36">
        <v>27.77</v>
      </c>
      <c r="K827" s="14">
        <f t="shared" si="67"/>
        <v>1E-3</v>
      </c>
      <c r="L827" s="14"/>
      <c r="O827" s="14">
        <f t="shared" si="65"/>
        <v>4.0000000000000002E-4</v>
      </c>
      <c r="P827" s="14">
        <f t="shared" si="66"/>
        <v>7.8587786259546764E-4</v>
      </c>
    </row>
    <row r="828" spans="3:16" x14ac:dyDescent="0.3">
      <c r="C828">
        <v>13</v>
      </c>
      <c r="D828" s="36">
        <v>23.04</v>
      </c>
      <c r="K828" s="14">
        <f t="shared" si="67"/>
        <v>1E-3</v>
      </c>
      <c r="L828" s="14"/>
      <c r="O828" s="14">
        <f t="shared" si="65"/>
        <v>1E-3</v>
      </c>
      <c r="P828" s="14">
        <f t="shared" si="66"/>
        <v>1.5E-3</v>
      </c>
    </row>
    <row r="829" spans="3:16" x14ac:dyDescent="0.3">
      <c r="C829">
        <v>14</v>
      </c>
      <c r="D829" s="36">
        <v>25.2</v>
      </c>
      <c r="K829" s="14">
        <f t="shared" si="67"/>
        <v>1E-3</v>
      </c>
      <c r="L829" s="14"/>
      <c r="O829" s="14">
        <f t="shared" si="65"/>
        <v>4.7156372549026095E-4</v>
      </c>
      <c r="P829" s="14">
        <f t="shared" si="66"/>
        <v>7.8587786259546764E-4</v>
      </c>
    </row>
    <row r="830" spans="3:16" x14ac:dyDescent="0.3">
      <c r="C830">
        <v>15</v>
      </c>
      <c r="D830" s="36">
        <v>35.58</v>
      </c>
      <c r="K830" s="14">
        <f t="shared" si="67"/>
        <v>1E-3</v>
      </c>
      <c r="L830" s="14"/>
      <c r="O830" s="14">
        <f t="shared" si="65"/>
        <v>4.0000000000000002E-4</v>
      </c>
      <c r="P830" s="14">
        <f t="shared" si="66"/>
        <v>1E-4</v>
      </c>
    </row>
    <row r="831" spans="3:16" x14ac:dyDescent="0.3">
      <c r="C831">
        <v>15</v>
      </c>
      <c r="D831" s="36">
        <v>28.23</v>
      </c>
      <c r="K831" s="14">
        <f t="shared" si="67"/>
        <v>1E-3</v>
      </c>
      <c r="L831" s="14"/>
      <c r="O831" s="14">
        <f t="shared" si="65"/>
        <v>4.0000000000000002E-4</v>
      </c>
      <c r="P831" s="14">
        <f t="shared" si="66"/>
        <v>4.0000000000000002E-4</v>
      </c>
    </row>
    <row r="832" spans="3:16" x14ac:dyDescent="0.3">
      <c r="C832">
        <v>15</v>
      </c>
      <c r="D832" s="36">
        <v>39.81</v>
      </c>
      <c r="K832" s="14">
        <f t="shared" si="67"/>
        <v>1E-3</v>
      </c>
      <c r="L832" s="14"/>
      <c r="O832" s="14">
        <f t="shared" si="65"/>
        <v>4.0000000000000002E-4</v>
      </c>
      <c r="P832" s="14">
        <f t="shared" si="66"/>
        <v>1E-4</v>
      </c>
    </row>
    <row r="833" spans="3:16" x14ac:dyDescent="0.3">
      <c r="C833">
        <v>16</v>
      </c>
      <c r="D833" s="36">
        <v>37.909999999999997</v>
      </c>
      <c r="K833" s="14">
        <f t="shared" si="67"/>
        <v>1E-3</v>
      </c>
      <c r="L833" s="14"/>
      <c r="O833" s="14">
        <f t="shared" si="65"/>
        <v>2.0000000000000001E-4</v>
      </c>
      <c r="P833" s="14">
        <f t="shared" si="66"/>
        <v>1E-4</v>
      </c>
    </row>
    <row r="834" spans="3:16" x14ac:dyDescent="0.3">
      <c r="C834">
        <v>15</v>
      </c>
      <c r="D834" s="36">
        <v>19.010000000000002</v>
      </c>
      <c r="K834" s="14">
        <f t="shared" si="67"/>
        <v>1E-3</v>
      </c>
      <c r="L834" s="14"/>
      <c r="O834" s="14">
        <f t="shared" ref="O834:O897" si="68">IF(C834=12,$M$4,IF(C834=13,$M$5,IF(C834=14,$M$6,IF(C834=15,$M$7,$M$8))))</f>
        <v>4.0000000000000002E-4</v>
      </c>
      <c r="P834" s="14">
        <f t="shared" ref="P834:P897" si="69">IF(D834&lt;20,$M$14,IF(D834&lt;24,$M$15,IF(D834&lt;28,$M$16,IF(D834&lt;32,$M$17,$M$18))))</f>
        <v>5.0000000000000001E-3</v>
      </c>
    </row>
    <row r="835" spans="3:16" x14ac:dyDescent="0.3">
      <c r="C835">
        <v>14</v>
      </c>
      <c r="D835" s="36">
        <v>31.31</v>
      </c>
      <c r="K835" s="14">
        <f t="shared" ref="K835:K898" si="70">1/1000</f>
        <v>1E-3</v>
      </c>
      <c r="L835" s="14"/>
      <c r="O835" s="14">
        <f t="shared" si="68"/>
        <v>4.7156372549026095E-4</v>
      </c>
      <c r="P835" s="14">
        <f t="shared" si="69"/>
        <v>4.0000000000000002E-4</v>
      </c>
    </row>
    <row r="836" spans="3:16" x14ac:dyDescent="0.3">
      <c r="C836">
        <v>16</v>
      </c>
      <c r="D836" s="36">
        <v>33.450000000000003</v>
      </c>
      <c r="K836" s="14">
        <f t="shared" si="70"/>
        <v>1E-3</v>
      </c>
      <c r="L836" s="14"/>
      <c r="O836" s="14">
        <f t="shared" si="68"/>
        <v>2.0000000000000001E-4</v>
      </c>
      <c r="P836" s="14">
        <f t="shared" si="69"/>
        <v>1E-4</v>
      </c>
    </row>
    <row r="837" spans="3:16" x14ac:dyDescent="0.3">
      <c r="C837">
        <v>15</v>
      </c>
      <c r="D837" s="36">
        <v>22.87</v>
      </c>
      <c r="K837" s="14">
        <f t="shared" si="70"/>
        <v>1E-3</v>
      </c>
      <c r="L837" s="14"/>
      <c r="O837" s="14">
        <f t="shared" si="68"/>
        <v>4.0000000000000002E-4</v>
      </c>
      <c r="P837" s="14">
        <f t="shared" si="69"/>
        <v>1.5E-3</v>
      </c>
    </row>
    <row r="838" spans="3:16" x14ac:dyDescent="0.3">
      <c r="C838">
        <v>14</v>
      </c>
      <c r="D838" s="36">
        <v>19.920000000000002</v>
      </c>
      <c r="K838" s="14">
        <f t="shared" si="70"/>
        <v>1E-3</v>
      </c>
      <c r="L838" s="14"/>
      <c r="O838" s="14">
        <f t="shared" si="68"/>
        <v>4.7156372549026095E-4</v>
      </c>
      <c r="P838" s="14">
        <f t="shared" si="69"/>
        <v>5.0000000000000001E-3</v>
      </c>
    </row>
    <row r="839" spans="3:16" x14ac:dyDescent="0.3">
      <c r="C839">
        <v>13</v>
      </c>
      <c r="D839" s="36">
        <v>20.309999999999999</v>
      </c>
      <c r="K839" s="14">
        <f t="shared" si="70"/>
        <v>1E-3</v>
      </c>
      <c r="L839" s="14"/>
      <c r="O839" s="14">
        <f t="shared" si="68"/>
        <v>1E-3</v>
      </c>
      <c r="P839" s="14">
        <f t="shared" si="69"/>
        <v>1.5E-3</v>
      </c>
    </row>
    <row r="840" spans="3:16" x14ac:dyDescent="0.3">
      <c r="C840">
        <v>14</v>
      </c>
      <c r="D840" s="36">
        <v>32.770000000000003</v>
      </c>
      <c r="K840" s="14">
        <f t="shared" si="70"/>
        <v>1E-3</v>
      </c>
      <c r="L840" s="14"/>
      <c r="O840" s="14">
        <f t="shared" si="68"/>
        <v>4.7156372549026095E-4</v>
      </c>
      <c r="P840" s="14">
        <f t="shared" si="69"/>
        <v>1E-4</v>
      </c>
    </row>
    <row r="841" spans="3:16" x14ac:dyDescent="0.3">
      <c r="C841">
        <v>12</v>
      </c>
      <c r="D841" s="36">
        <v>22.01</v>
      </c>
      <c r="K841" s="14">
        <f t="shared" si="70"/>
        <v>1E-3</v>
      </c>
      <c r="L841" s="14"/>
      <c r="O841" s="14">
        <f t="shared" si="68"/>
        <v>3.0000000000000001E-3</v>
      </c>
      <c r="P841" s="14">
        <f t="shared" si="69"/>
        <v>1.5E-3</v>
      </c>
    </row>
    <row r="842" spans="3:16" x14ac:dyDescent="0.3">
      <c r="C842">
        <v>12</v>
      </c>
      <c r="D842" s="36">
        <v>19.61</v>
      </c>
      <c r="K842" s="14">
        <f t="shared" si="70"/>
        <v>1E-3</v>
      </c>
      <c r="L842" s="14"/>
      <c r="O842" s="14">
        <f t="shared" si="68"/>
        <v>3.0000000000000001E-3</v>
      </c>
      <c r="P842" s="14">
        <f t="shared" si="69"/>
        <v>5.0000000000000001E-3</v>
      </c>
    </row>
    <row r="843" spans="3:16" x14ac:dyDescent="0.3">
      <c r="C843">
        <v>13</v>
      </c>
      <c r="D843" s="36">
        <v>19.62</v>
      </c>
      <c r="K843" s="14">
        <f t="shared" si="70"/>
        <v>1E-3</v>
      </c>
      <c r="L843" s="14"/>
      <c r="O843" s="14">
        <f t="shared" si="68"/>
        <v>1E-3</v>
      </c>
      <c r="P843" s="14">
        <f t="shared" si="69"/>
        <v>5.0000000000000001E-3</v>
      </c>
    </row>
    <row r="844" spans="3:16" x14ac:dyDescent="0.3">
      <c r="C844">
        <v>16</v>
      </c>
      <c r="D844" s="36">
        <v>30.11</v>
      </c>
      <c r="K844" s="14">
        <f t="shared" si="70"/>
        <v>1E-3</v>
      </c>
      <c r="L844" s="14"/>
      <c r="O844" s="14">
        <f t="shared" si="68"/>
        <v>2.0000000000000001E-4</v>
      </c>
      <c r="P844" s="14">
        <f t="shared" si="69"/>
        <v>4.0000000000000002E-4</v>
      </c>
    </row>
    <row r="845" spans="3:16" x14ac:dyDescent="0.3">
      <c r="C845">
        <v>12</v>
      </c>
      <c r="D845" s="36">
        <v>21.57</v>
      </c>
      <c r="K845" s="14">
        <f t="shared" si="70"/>
        <v>1E-3</v>
      </c>
      <c r="L845" s="14"/>
      <c r="O845" s="14">
        <f t="shared" si="68"/>
        <v>3.0000000000000001E-3</v>
      </c>
      <c r="P845" s="14">
        <f t="shared" si="69"/>
        <v>1.5E-3</v>
      </c>
    </row>
    <row r="846" spans="3:16" x14ac:dyDescent="0.3">
      <c r="C846">
        <v>15</v>
      </c>
      <c r="D846" s="36">
        <v>38.020000000000003</v>
      </c>
      <c r="K846" s="14">
        <f t="shared" si="70"/>
        <v>1E-3</v>
      </c>
      <c r="L846" s="14"/>
      <c r="O846" s="14">
        <f t="shared" si="68"/>
        <v>4.0000000000000002E-4</v>
      </c>
      <c r="P846" s="14">
        <f t="shared" si="69"/>
        <v>1E-4</v>
      </c>
    </row>
    <row r="847" spans="3:16" x14ac:dyDescent="0.3">
      <c r="C847">
        <v>13</v>
      </c>
      <c r="D847" s="36">
        <v>33.39</v>
      </c>
      <c r="K847" s="14">
        <f t="shared" si="70"/>
        <v>1E-3</v>
      </c>
      <c r="L847" s="14"/>
      <c r="O847" s="14">
        <f t="shared" si="68"/>
        <v>1E-3</v>
      </c>
      <c r="P847" s="14">
        <f t="shared" si="69"/>
        <v>1E-4</v>
      </c>
    </row>
    <row r="848" spans="3:16" x14ac:dyDescent="0.3">
      <c r="C848">
        <v>16</v>
      </c>
      <c r="D848" s="36">
        <v>27.14</v>
      </c>
      <c r="K848" s="14">
        <f t="shared" si="70"/>
        <v>1E-3</v>
      </c>
      <c r="L848" s="14"/>
      <c r="O848" s="14">
        <f t="shared" si="68"/>
        <v>2.0000000000000001E-4</v>
      </c>
      <c r="P848" s="14">
        <f t="shared" si="69"/>
        <v>7.8587786259546764E-4</v>
      </c>
    </row>
    <row r="849" spans="3:16" x14ac:dyDescent="0.3">
      <c r="C849">
        <v>14</v>
      </c>
      <c r="D849" s="36">
        <v>22.91</v>
      </c>
      <c r="K849" s="14">
        <f t="shared" si="70"/>
        <v>1E-3</v>
      </c>
      <c r="L849" s="14"/>
      <c r="O849" s="14">
        <f t="shared" si="68"/>
        <v>4.7156372549026095E-4</v>
      </c>
      <c r="P849" s="14">
        <f t="shared" si="69"/>
        <v>1.5E-3</v>
      </c>
    </row>
    <row r="850" spans="3:16" x14ac:dyDescent="0.3">
      <c r="C850">
        <v>13</v>
      </c>
      <c r="D850" s="36">
        <v>23.1</v>
      </c>
      <c r="K850" s="14">
        <f t="shared" si="70"/>
        <v>1E-3</v>
      </c>
      <c r="L850" s="14"/>
      <c r="O850" s="14">
        <f t="shared" si="68"/>
        <v>1E-3</v>
      </c>
      <c r="P850" s="14">
        <f t="shared" si="69"/>
        <v>1.5E-3</v>
      </c>
    </row>
    <row r="851" spans="3:16" x14ac:dyDescent="0.3">
      <c r="C851">
        <v>13</v>
      </c>
      <c r="D851" s="36">
        <v>38.71</v>
      </c>
      <c r="K851" s="14">
        <f t="shared" si="70"/>
        <v>1E-3</v>
      </c>
      <c r="L851" s="14"/>
      <c r="O851" s="14">
        <f t="shared" si="68"/>
        <v>1E-3</v>
      </c>
      <c r="P851" s="14">
        <f t="shared" si="69"/>
        <v>1E-4</v>
      </c>
    </row>
    <row r="852" spans="3:16" x14ac:dyDescent="0.3">
      <c r="C852">
        <v>14</v>
      </c>
      <c r="D852" s="36">
        <v>23.53</v>
      </c>
      <c r="K852" s="14">
        <f t="shared" si="70"/>
        <v>1E-3</v>
      </c>
      <c r="L852" s="14"/>
      <c r="O852" s="14">
        <f t="shared" si="68"/>
        <v>4.7156372549026095E-4</v>
      </c>
      <c r="P852" s="14">
        <f t="shared" si="69"/>
        <v>1.5E-3</v>
      </c>
    </row>
    <row r="853" spans="3:16" x14ac:dyDescent="0.3">
      <c r="C853">
        <v>12</v>
      </c>
      <c r="D853" s="36">
        <v>29.2</v>
      </c>
      <c r="K853" s="14">
        <f t="shared" si="70"/>
        <v>1E-3</v>
      </c>
      <c r="L853" s="14"/>
      <c r="O853" s="14">
        <f t="shared" si="68"/>
        <v>3.0000000000000001E-3</v>
      </c>
      <c r="P853" s="14">
        <f t="shared" si="69"/>
        <v>4.0000000000000002E-4</v>
      </c>
    </row>
    <row r="854" spans="3:16" x14ac:dyDescent="0.3">
      <c r="C854">
        <v>13</v>
      </c>
      <c r="D854" s="36">
        <v>17.600000000000001</v>
      </c>
      <c r="K854" s="14">
        <f t="shared" si="70"/>
        <v>1E-3</v>
      </c>
      <c r="L854" s="14"/>
      <c r="O854" s="14">
        <f t="shared" si="68"/>
        <v>1E-3</v>
      </c>
      <c r="P854" s="14">
        <f t="shared" si="69"/>
        <v>5.0000000000000001E-3</v>
      </c>
    </row>
    <row r="855" spans="3:16" x14ac:dyDescent="0.3">
      <c r="C855">
        <v>16</v>
      </c>
      <c r="D855" s="36">
        <v>35.869999999999997</v>
      </c>
      <c r="K855" s="14">
        <f t="shared" si="70"/>
        <v>1E-3</v>
      </c>
      <c r="L855" s="14"/>
      <c r="O855" s="14">
        <f t="shared" si="68"/>
        <v>2.0000000000000001E-4</v>
      </c>
      <c r="P855" s="14">
        <f t="shared" si="69"/>
        <v>1E-4</v>
      </c>
    </row>
    <row r="856" spans="3:16" x14ac:dyDescent="0.3">
      <c r="C856">
        <v>14</v>
      </c>
      <c r="D856" s="36">
        <v>31.34</v>
      </c>
      <c r="K856" s="14">
        <f t="shared" si="70"/>
        <v>1E-3</v>
      </c>
      <c r="L856" s="14"/>
      <c r="O856" s="14">
        <f t="shared" si="68"/>
        <v>4.7156372549026095E-4</v>
      </c>
      <c r="P856" s="14">
        <f t="shared" si="69"/>
        <v>4.0000000000000002E-4</v>
      </c>
    </row>
    <row r="857" spans="3:16" x14ac:dyDescent="0.3">
      <c r="C857">
        <v>15</v>
      </c>
      <c r="D857" s="36">
        <v>31.3</v>
      </c>
      <c r="K857" s="14">
        <f t="shared" si="70"/>
        <v>1E-3</v>
      </c>
      <c r="L857" s="14"/>
      <c r="O857" s="14">
        <f t="shared" si="68"/>
        <v>4.0000000000000002E-4</v>
      </c>
      <c r="P857" s="14">
        <f t="shared" si="69"/>
        <v>4.0000000000000002E-4</v>
      </c>
    </row>
    <row r="858" spans="3:16" x14ac:dyDescent="0.3">
      <c r="C858">
        <v>15</v>
      </c>
      <c r="D858" s="36">
        <v>35.21</v>
      </c>
      <c r="K858" s="14">
        <f t="shared" si="70"/>
        <v>1E-3</v>
      </c>
      <c r="L858" s="14"/>
      <c r="O858" s="14">
        <f t="shared" si="68"/>
        <v>4.0000000000000002E-4</v>
      </c>
      <c r="P858" s="14">
        <f t="shared" si="69"/>
        <v>1E-4</v>
      </c>
    </row>
    <row r="859" spans="3:16" x14ac:dyDescent="0.3">
      <c r="C859">
        <v>16</v>
      </c>
      <c r="D859" s="36">
        <v>27.68</v>
      </c>
      <c r="K859" s="14">
        <f t="shared" si="70"/>
        <v>1E-3</v>
      </c>
      <c r="L859" s="14"/>
      <c r="O859" s="14">
        <f t="shared" si="68"/>
        <v>2.0000000000000001E-4</v>
      </c>
      <c r="P859" s="14">
        <f t="shared" si="69"/>
        <v>7.8587786259546764E-4</v>
      </c>
    </row>
    <row r="860" spans="3:16" x14ac:dyDescent="0.3">
      <c r="C860">
        <v>16</v>
      </c>
      <c r="D860" s="36">
        <v>25.53</v>
      </c>
      <c r="K860" s="14">
        <f t="shared" si="70"/>
        <v>1E-3</v>
      </c>
      <c r="L860" s="14"/>
      <c r="O860" s="14">
        <f t="shared" si="68"/>
        <v>2.0000000000000001E-4</v>
      </c>
      <c r="P860" s="14">
        <f t="shared" si="69"/>
        <v>7.8587786259546764E-4</v>
      </c>
    </row>
    <row r="861" spans="3:16" x14ac:dyDescent="0.3">
      <c r="C861">
        <v>16</v>
      </c>
      <c r="D861" s="36">
        <v>34.92</v>
      </c>
      <c r="K861" s="14">
        <f t="shared" si="70"/>
        <v>1E-3</v>
      </c>
      <c r="L861" s="14"/>
      <c r="O861" s="14">
        <f t="shared" si="68"/>
        <v>2.0000000000000001E-4</v>
      </c>
      <c r="P861" s="14">
        <f t="shared" si="69"/>
        <v>1E-4</v>
      </c>
    </row>
    <row r="862" spans="3:16" x14ac:dyDescent="0.3">
      <c r="C862">
        <v>13</v>
      </c>
      <c r="D862" s="36">
        <v>34.4</v>
      </c>
      <c r="K862" s="14">
        <f t="shared" si="70"/>
        <v>1E-3</v>
      </c>
      <c r="L862" s="14"/>
      <c r="O862" s="14">
        <f t="shared" si="68"/>
        <v>1E-3</v>
      </c>
      <c r="P862" s="14">
        <f t="shared" si="69"/>
        <v>1E-4</v>
      </c>
    </row>
    <row r="863" spans="3:16" x14ac:dyDescent="0.3">
      <c r="C863">
        <v>15</v>
      </c>
      <c r="D863" s="36">
        <v>20.57</v>
      </c>
      <c r="K863" s="14">
        <f t="shared" si="70"/>
        <v>1E-3</v>
      </c>
      <c r="L863" s="14"/>
      <c r="O863" s="14">
        <f t="shared" si="68"/>
        <v>4.0000000000000002E-4</v>
      </c>
      <c r="P863" s="14">
        <f t="shared" si="69"/>
        <v>1.5E-3</v>
      </c>
    </row>
    <row r="864" spans="3:16" x14ac:dyDescent="0.3">
      <c r="C864">
        <v>15</v>
      </c>
      <c r="D864" s="36">
        <v>28.87</v>
      </c>
      <c r="K864" s="14">
        <f t="shared" si="70"/>
        <v>1E-3</v>
      </c>
      <c r="L864" s="14"/>
      <c r="O864" s="14">
        <f t="shared" si="68"/>
        <v>4.0000000000000002E-4</v>
      </c>
      <c r="P864" s="14">
        <f t="shared" si="69"/>
        <v>4.0000000000000002E-4</v>
      </c>
    </row>
    <row r="865" spans="3:16" x14ac:dyDescent="0.3">
      <c r="C865">
        <v>13</v>
      </c>
      <c r="D865" s="36">
        <v>30.94</v>
      </c>
      <c r="K865" s="14">
        <f t="shared" si="70"/>
        <v>1E-3</v>
      </c>
      <c r="L865" s="14"/>
      <c r="O865" s="14">
        <f t="shared" si="68"/>
        <v>1E-3</v>
      </c>
      <c r="P865" s="14">
        <f t="shared" si="69"/>
        <v>4.0000000000000002E-4</v>
      </c>
    </row>
    <row r="866" spans="3:16" x14ac:dyDescent="0.3">
      <c r="C866">
        <v>14</v>
      </c>
      <c r="D866" s="36">
        <v>24.17</v>
      </c>
      <c r="K866" s="14">
        <f t="shared" si="70"/>
        <v>1E-3</v>
      </c>
      <c r="L866" s="14"/>
      <c r="O866" s="14">
        <f t="shared" si="68"/>
        <v>4.7156372549026095E-4</v>
      </c>
      <c r="P866" s="14">
        <f t="shared" si="69"/>
        <v>7.8587786259546764E-4</v>
      </c>
    </row>
    <row r="867" spans="3:16" x14ac:dyDescent="0.3">
      <c r="C867">
        <v>13</v>
      </c>
      <c r="D867" s="36">
        <v>27.27</v>
      </c>
      <c r="K867" s="14">
        <f t="shared" si="70"/>
        <v>1E-3</v>
      </c>
      <c r="L867" s="14"/>
      <c r="O867" s="14">
        <f t="shared" si="68"/>
        <v>1E-3</v>
      </c>
      <c r="P867" s="14">
        <f t="shared" si="69"/>
        <v>7.8587786259546764E-4</v>
      </c>
    </row>
    <row r="868" spans="3:16" x14ac:dyDescent="0.3">
      <c r="C868">
        <v>14</v>
      </c>
      <c r="D868" s="36">
        <v>24.86</v>
      </c>
      <c r="K868" s="14">
        <f t="shared" si="70"/>
        <v>1E-3</v>
      </c>
      <c r="L868" s="14"/>
      <c r="O868" s="14">
        <f t="shared" si="68"/>
        <v>4.7156372549026095E-4</v>
      </c>
      <c r="P868" s="14">
        <f t="shared" si="69"/>
        <v>7.8587786259546764E-4</v>
      </c>
    </row>
    <row r="869" spans="3:16" x14ac:dyDescent="0.3">
      <c r="C869">
        <v>14</v>
      </c>
      <c r="D869" s="36">
        <v>25.35</v>
      </c>
      <c r="K869" s="14">
        <f t="shared" si="70"/>
        <v>1E-3</v>
      </c>
      <c r="L869" s="14"/>
      <c r="O869" s="14">
        <f t="shared" si="68"/>
        <v>4.7156372549026095E-4</v>
      </c>
      <c r="P869" s="14">
        <f t="shared" si="69"/>
        <v>7.8587786259546764E-4</v>
      </c>
    </row>
    <row r="870" spans="3:16" x14ac:dyDescent="0.3">
      <c r="C870">
        <v>15</v>
      </c>
      <c r="D870" s="36">
        <v>33.68</v>
      </c>
      <c r="K870" s="14">
        <f t="shared" si="70"/>
        <v>1E-3</v>
      </c>
      <c r="L870" s="14"/>
      <c r="O870" s="14">
        <f t="shared" si="68"/>
        <v>4.0000000000000002E-4</v>
      </c>
      <c r="P870" s="14">
        <f t="shared" si="69"/>
        <v>1E-4</v>
      </c>
    </row>
    <row r="871" spans="3:16" x14ac:dyDescent="0.3">
      <c r="C871">
        <v>12</v>
      </c>
      <c r="D871" s="36">
        <v>28.55</v>
      </c>
      <c r="K871" s="14">
        <f t="shared" si="70"/>
        <v>1E-3</v>
      </c>
      <c r="L871" s="14"/>
      <c r="O871" s="14">
        <f t="shared" si="68"/>
        <v>3.0000000000000001E-3</v>
      </c>
      <c r="P871" s="14">
        <f t="shared" si="69"/>
        <v>4.0000000000000002E-4</v>
      </c>
    </row>
    <row r="872" spans="3:16" x14ac:dyDescent="0.3">
      <c r="C872">
        <v>15</v>
      </c>
      <c r="D872" s="36">
        <v>24.56</v>
      </c>
      <c r="K872" s="14">
        <f t="shared" si="70"/>
        <v>1E-3</v>
      </c>
      <c r="L872" s="14"/>
      <c r="O872" s="14">
        <f t="shared" si="68"/>
        <v>4.0000000000000002E-4</v>
      </c>
      <c r="P872" s="14">
        <f t="shared" si="69"/>
        <v>7.8587786259546764E-4</v>
      </c>
    </row>
    <row r="873" spans="3:16" x14ac:dyDescent="0.3">
      <c r="C873">
        <v>12</v>
      </c>
      <c r="D873" s="36">
        <v>24.29</v>
      </c>
      <c r="K873" s="14">
        <f t="shared" si="70"/>
        <v>1E-3</v>
      </c>
      <c r="L873" s="14"/>
      <c r="O873" s="14">
        <f t="shared" si="68"/>
        <v>3.0000000000000001E-3</v>
      </c>
      <c r="P873" s="14">
        <f t="shared" si="69"/>
        <v>7.8587786259546764E-4</v>
      </c>
    </row>
    <row r="874" spans="3:16" x14ac:dyDescent="0.3">
      <c r="C874">
        <v>14</v>
      </c>
      <c r="D874" s="36">
        <v>29.49</v>
      </c>
      <c r="K874" s="14">
        <f t="shared" si="70"/>
        <v>1E-3</v>
      </c>
      <c r="L874" s="14"/>
      <c r="O874" s="14">
        <f t="shared" si="68"/>
        <v>4.7156372549026095E-4</v>
      </c>
      <c r="P874" s="14">
        <f t="shared" si="69"/>
        <v>4.0000000000000002E-4</v>
      </c>
    </row>
    <row r="875" spans="3:16" x14ac:dyDescent="0.3">
      <c r="C875">
        <v>16</v>
      </c>
      <c r="D875" s="36">
        <v>27.41</v>
      </c>
      <c r="K875" s="14">
        <f t="shared" si="70"/>
        <v>1E-3</v>
      </c>
      <c r="L875" s="14"/>
      <c r="O875" s="14">
        <f t="shared" si="68"/>
        <v>2.0000000000000001E-4</v>
      </c>
      <c r="P875" s="14">
        <f t="shared" si="69"/>
        <v>7.8587786259546764E-4</v>
      </c>
    </row>
    <row r="876" spans="3:16" x14ac:dyDescent="0.3">
      <c r="C876">
        <v>16</v>
      </c>
      <c r="D876" s="36">
        <v>42.82</v>
      </c>
      <c r="K876" s="14">
        <f t="shared" si="70"/>
        <v>1E-3</v>
      </c>
      <c r="L876" s="14"/>
      <c r="O876" s="14">
        <f t="shared" si="68"/>
        <v>2.0000000000000001E-4</v>
      </c>
      <c r="P876" s="14">
        <f t="shared" si="69"/>
        <v>1E-4</v>
      </c>
    </row>
    <row r="877" spans="3:16" x14ac:dyDescent="0.3">
      <c r="C877">
        <v>16</v>
      </c>
      <c r="D877" s="36">
        <v>22.16</v>
      </c>
      <c r="K877" s="14">
        <f t="shared" si="70"/>
        <v>1E-3</v>
      </c>
      <c r="L877" s="14"/>
      <c r="O877" s="14">
        <f t="shared" si="68"/>
        <v>2.0000000000000001E-4</v>
      </c>
      <c r="P877" s="14">
        <f t="shared" si="69"/>
        <v>1.5E-3</v>
      </c>
    </row>
    <row r="878" spans="3:16" x14ac:dyDescent="0.3">
      <c r="C878">
        <v>14</v>
      </c>
      <c r="D878" s="36">
        <v>25.06</v>
      </c>
      <c r="K878" s="14">
        <f t="shared" si="70"/>
        <v>1E-3</v>
      </c>
      <c r="L878" s="14"/>
      <c r="O878" s="14">
        <f t="shared" si="68"/>
        <v>4.7156372549026095E-4</v>
      </c>
      <c r="P878" s="14">
        <f t="shared" si="69"/>
        <v>7.8587786259546764E-4</v>
      </c>
    </row>
    <row r="879" spans="3:16" x14ac:dyDescent="0.3">
      <c r="C879">
        <v>14</v>
      </c>
      <c r="D879" s="36">
        <v>19.84</v>
      </c>
      <c r="K879" s="14">
        <f t="shared" si="70"/>
        <v>1E-3</v>
      </c>
      <c r="L879" s="14"/>
      <c r="O879" s="14">
        <f t="shared" si="68"/>
        <v>4.7156372549026095E-4</v>
      </c>
      <c r="P879" s="14">
        <f t="shared" si="69"/>
        <v>5.0000000000000001E-3</v>
      </c>
    </row>
    <row r="880" spans="3:16" x14ac:dyDescent="0.3">
      <c r="C880">
        <v>13</v>
      </c>
      <c r="D880" s="36">
        <v>21.68</v>
      </c>
      <c r="K880" s="14">
        <f t="shared" si="70"/>
        <v>1E-3</v>
      </c>
      <c r="L880" s="14"/>
      <c r="O880" s="14">
        <f t="shared" si="68"/>
        <v>1E-3</v>
      </c>
      <c r="P880" s="14">
        <f t="shared" si="69"/>
        <v>1.5E-3</v>
      </c>
    </row>
    <row r="881" spans="3:16" x14ac:dyDescent="0.3">
      <c r="C881">
        <v>16</v>
      </c>
      <c r="D881" s="36">
        <v>36.130000000000003</v>
      </c>
      <c r="K881" s="14">
        <f t="shared" si="70"/>
        <v>1E-3</v>
      </c>
      <c r="L881" s="14"/>
      <c r="O881" s="14">
        <f t="shared" si="68"/>
        <v>2.0000000000000001E-4</v>
      </c>
      <c r="P881" s="14">
        <f t="shared" si="69"/>
        <v>1E-4</v>
      </c>
    </row>
    <row r="882" spans="3:16" x14ac:dyDescent="0.3">
      <c r="C882">
        <v>14</v>
      </c>
      <c r="D882" s="36">
        <v>18.940000000000001</v>
      </c>
      <c r="K882" s="14">
        <f t="shared" si="70"/>
        <v>1E-3</v>
      </c>
      <c r="L882" s="14"/>
      <c r="O882" s="14">
        <f t="shared" si="68"/>
        <v>4.7156372549026095E-4</v>
      </c>
      <c r="P882" s="14">
        <f t="shared" si="69"/>
        <v>5.0000000000000001E-3</v>
      </c>
    </row>
    <row r="883" spans="3:16" x14ac:dyDescent="0.3">
      <c r="C883">
        <v>14</v>
      </c>
      <c r="D883" s="36">
        <v>19.34</v>
      </c>
      <c r="K883" s="14">
        <f t="shared" si="70"/>
        <v>1E-3</v>
      </c>
      <c r="L883" s="14"/>
      <c r="O883" s="14">
        <f t="shared" si="68"/>
        <v>4.7156372549026095E-4</v>
      </c>
      <c r="P883" s="14">
        <f t="shared" si="69"/>
        <v>5.0000000000000001E-3</v>
      </c>
    </row>
    <row r="884" spans="3:16" x14ac:dyDescent="0.3">
      <c r="C884">
        <v>14</v>
      </c>
      <c r="D884" s="36">
        <v>22.7</v>
      </c>
      <c r="K884" s="14">
        <f t="shared" si="70"/>
        <v>1E-3</v>
      </c>
      <c r="L884" s="14"/>
      <c r="O884" s="14">
        <f t="shared" si="68"/>
        <v>4.7156372549026095E-4</v>
      </c>
      <c r="P884" s="14">
        <f t="shared" si="69"/>
        <v>1.5E-3</v>
      </c>
    </row>
    <row r="885" spans="3:16" x14ac:dyDescent="0.3">
      <c r="C885">
        <v>14</v>
      </c>
      <c r="D885" s="36">
        <v>38.99</v>
      </c>
      <c r="K885" s="14">
        <f t="shared" si="70"/>
        <v>1E-3</v>
      </c>
      <c r="L885" s="14"/>
      <c r="O885" s="14">
        <f t="shared" si="68"/>
        <v>4.7156372549026095E-4</v>
      </c>
      <c r="P885" s="14">
        <f t="shared" si="69"/>
        <v>1E-4</v>
      </c>
    </row>
    <row r="886" spans="3:16" x14ac:dyDescent="0.3">
      <c r="C886">
        <v>14</v>
      </c>
      <c r="D886" s="36">
        <v>33.130000000000003</v>
      </c>
      <c r="K886" s="14">
        <f t="shared" si="70"/>
        <v>1E-3</v>
      </c>
      <c r="L886" s="14"/>
      <c r="O886" s="14">
        <f t="shared" si="68"/>
        <v>4.7156372549026095E-4</v>
      </c>
      <c r="P886" s="14">
        <f t="shared" si="69"/>
        <v>1E-4</v>
      </c>
    </row>
    <row r="887" spans="3:16" x14ac:dyDescent="0.3">
      <c r="C887">
        <v>15</v>
      </c>
      <c r="D887" s="36">
        <v>34.39</v>
      </c>
      <c r="K887" s="14">
        <f t="shared" si="70"/>
        <v>1E-3</v>
      </c>
      <c r="L887" s="14"/>
      <c r="O887" s="14">
        <f t="shared" si="68"/>
        <v>4.0000000000000002E-4</v>
      </c>
      <c r="P887" s="14">
        <f t="shared" si="69"/>
        <v>1E-4</v>
      </c>
    </row>
    <row r="888" spans="3:16" x14ac:dyDescent="0.3">
      <c r="C888">
        <v>14</v>
      </c>
      <c r="D888" s="36">
        <v>24.52</v>
      </c>
      <c r="K888" s="14">
        <f t="shared" si="70"/>
        <v>1E-3</v>
      </c>
      <c r="L888" s="14"/>
      <c r="O888" s="14">
        <f t="shared" si="68"/>
        <v>4.7156372549026095E-4</v>
      </c>
      <c r="P888" s="14">
        <f t="shared" si="69"/>
        <v>7.8587786259546764E-4</v>
      </c>
    </row>
    <row r="889" spans="3:16" x14ac:dyDescent="0.3">
      <c r="C889">
        <v>15</v>
      </c>
      <c r="D889" s="36">
        <v>31.99</v>
      </c>
      <c r="K889" s="14">
        <f t="shared" si="70"/>
        <v>1E-3</v>
      </c>
      <c r="L889" s="14"/>
      <c r="O889" s="14">
        <f t="shared" si="68"/>
        <v>4.0000000000000002E-4</v>
      </c>
      <c r="P889" s="14">
        <f t="shared" si="69"/>
        <v>4.0000000000000002E-4</v>
      </c>
    </row>
    <row r="890" spans="3:16" x14ac:dyDescent="0.3">
      <c r="C890">
        <v>15</v>
      </c>
      <c r="D890" s="36">
        <v>28.83</v>
      </c>
      <c r="K890" s="14">
        <f t="shared" si="70"/>
        <v>1E-3</v>
      </c>
      <c r="L890" s="14"/>
      <c r="O890" s="14">
        <f t="shared" si="68"/>
        <v>4.0000000000000002E-4</v>
      </c>
      <c r="P890" s="14">
        <f t="shared" si="69"/>
        <v>4.0000000000000002E-4</v>
      </c>
    </row>
    <row r="891" spans="3:16" x14ac:dyDescent="0.3">
      <c r="C891">
        <v>16</v>
      </c>
      <c r="D891" s="36">
        <v>31.19</v>
      </c>
      <c r="K891" s="14">
        <f t="shared" si="70"/>
        <v>1E-3</v>
      </c>
      <c r="L891" s="14"/>
      <c r="O891" s="14">
        <f t="shared" si="68"/>
        <v>2.0000000000000001E-4</v>
      </c>
      <c r="P891" s="14">
        <f t="shared" si="69"/>
        <v>4.0000000000000002E-4</v>
      </c>
    </row>
    <row r="892" spans="3:16" x14ac:dyDescent="0.3">
      <c r="C892">
        <v>15</v>
      </c>
      <c r="D892" s="36">
        <v>31.16</v>
      </c>
      <c r="K892" s="14">
        <f t="shared" si="70"/>
        <v>1E-3</v>
      </c>
      <c r="L892" s="14"/>
      <c r="O892" s="14">
        <f t="shared" si="68"/>
        <v>4.0000000000000002E-4</v>
      </c>
      <c r="P892" s="14">
        <f t="shared" si="69"/>
        <v>4.0000000000000002E-4</v>
      </c>
    </row>
    <row r="893" spans="3:16" x14ac:dyDescent="0.3">
      <c r="C893">
        <v>15</v>
      </c>
      <c r="D893" s="36">
        <v>20.09</v>
      </c>
      <c r="K893" s="14">
        <f t="shared" si="70"/>
        <v>1E-3</v>
      </c>
      <c r="L893" s="14"/>
      <c r="O893" s="14">
        <f t="shared" si="68"/>
        <v>4.0000000000000002E-4</v>
      </c>
      <c r="P893" s="14">
        <f t="shared" si="69"/>
        <v>1.5E-3</v>
      </c>
    </row>
    <row r="894" spans="3:16" x14ac:dyDescent="0.3">
      <c r="C894">
        <v>14</v>
      </c>
      <c r="D894" s="36">
        <v>31.55</v>
      </c>
      <c r="K894" s="14">
        <f t="shared" si="70"/>
        <v>1E-3</v>
      </c>
      <c r="L894" s="14"/>
      <c r="O894" s="14">
        <f t="shared" si="68"/>
        <v>4.7156372549026095E-4</v>
      </c>
      <c r="P894" s="14">
        <f t="shared" si="69"/>
        <v>4.0000000000000002E-4</v>
      </c>
    </row>
    <row r="895" spans="3:16" x14ac:dyDescent="0.3">
      <c r="C895">
        <v>12</v>
      </c>
      <c r="D895" s="36">
        <v>26.53</v>
      </c>
      <c r="K895" s="14">
        <f t="shared" si="70"/>
        <v>1E-3</v>
      </c>
      <c r="L895" s="14"/>
      <c r="O895" s="14">
        <f t="shared" si="68"/>
        <v>3.0000000000000001E-3</v>
      </c>
      <c r="P895" s="14">
        <f t="shared" si="69"/>
        <v>7.8587786259546764E-4</v>
      </c>
    </row>
    <row r="896" spans="3:16" x14ac:dyDescent="0.3">
      <c r="C896">
        <v>15</v>
      </c>
      <c r="D896" s="36">
        <v>34.74</v>
      </c>
      <c r="K896" s="14">
        <f t="shared" si="70"/>
        <v>1E-3</v>
      </c>
      <c r="L896" s="14"/>
      <c r="O896" s="14">
        <f t="shared" si="68"/>
        <v>4.0000000000000002E-4</v>
      </c>
      <c r="P896" s="14">
        <f t="shared" si="69"/>
        <v>1E-4</v>
      </c>
    </row>
    <row r="897" spans="3:16" x14ac:dyDescent="0.3">
      <c r="C897">
        <v>14</v>
      </c>
      <c r="D897" s="36">
        <v>31.97</v>
      </c>
      <c r="K897" s="14">
        <f t="shared" si="70"/>
        <v>1E-3</v>
      </c>
      <c r="L897" s="14"/>
      <c r="O897" s="14">
        <f t="shared" si="68"/>
        <v>4.7156372549026095E-4</v>
      </c>
      <c r="P897" s="14">
        <f t="shared" si="69"/>
        <v>4.0000000000000002E-4</v>
      </c>
    </row>
    <row r="898" spans="3:16" x14ac:dyDescent="0.3">
      <c r="C898">
        <v>13</v>
      </c>
      <c r="D898" s="36">
        <v>27.24</v>
      </c>
      <c r="K898" s="14">
        <f t="shared" si="70"/>
        <v>1E-3</v>
      </c>
      <c r="L898" s="14"/>
      <c r="O898" s="14">
        <f t="shared" ref="O898:O961" si="71">IF(C898=12,$M$4,IF(C898=13,$M$5,IF(C898=14,$M$6,IF(C898=15,$M$7,$M$8))))</f>
        <v>1E-3</v>
      </c>
      <c r="P898" s="14">
        <f t="shared" ref="P898:P961" si="72">IF(D898&lt;20,$M$14,IF(D898&lt;24,$M$15,IF(D898&lt;28,$M$16,IF(D898&lt;32,$M$17,$M$18))))</f>
        <v>7.8587786259546764E-4</v>
      </c>
    </row>
    <row r="899" spans="3:16" x14ac:dyDescent="0.3">
      <c r="C899">
        <v>15</v>
      </c>
      <c r="D899" s="36">
        <v>22.64</v>
      </c>
      <c r="K899" s="14">
        <f t="shared" ref="K899:K962" si="73">1/1000</f>
        <v>1E-3</v>
      </c>
      <c r="L899" s="14"/>
      <c r="O899" s="14">
        <f t="shared" si="71"/>
        <v>4.0000000000000002E-4</v>
      </c>
      <c r="P899" s="14">
        <f t="shared" si="72"/>
        <v>1.5E-3</v>
      </c>
    </row>
    <row r="900" spans="3:16" x14ac:dyDescent="0.3">
      <c r="C900">
        <v>15</v>
      </c>
      <c r="D900" s="36">
        <v>33.869999999999997</v>
      </c>
      <c r="K900" s="14">
        <f t="shared" si="73"/>
        <v>1E-3</v>
      </c>
      <c r="L900" s="14"/>
      <c r="O900" s="14">
        <f t="shared" si="71"/>
        <v>4.0000000000000002E-4</v>
      </c>
      <c r="P900" s="14">
        <f t="shared" si="72"/>
        <v>1E-4</v>
      </c>
    </row>
    <row r="901" spans="3:16" x14ac:dyDescent="0.3">
      <c r="C901">
        <v>13</v>
      </c>
      <c r="D901" s="36">
        <v>25.74</v>
      </c>
      <c r="K901" s="14">
        <f t="shared" si="73"/>
        <v>1E-3</v>
      </c>
      <c r="L901" s="14"/>
      <c r="O901" s="14">
        <f t="shared" si="71"/>
        <v>1E-3</v>
      </c>
      <c r="P901" s="14">
        <f t="shared" si="72"/>
        <v>7.8587786259546764E-4</v>
      </c>
    </row>
    <row r="902" spans="3:16" x14ac:dyDescent="0.3">
      <c r="C902">
        <v>16</v>
      </c>
      <c r="D902" s="36">
        <v>26.04</v>
      </c>
      <c r="K902" s="14">
        <f t="shared" si="73"/>
        <v>1E-3</v>
      </c>
      <c r="L902" s="14"/>
      <c r="O902" s="14">
        <f t="shared" si="71"/>
        <v>2.0000000000000001E-4</v>
      </c>
      <c r="P902" s="14">
        <f t="shared" si="72"/>
        <v>7.8587786259546764E-4</v>
      </c>
    </row>
    <row r="903" spans="3:16" x14ac:dyDescent="0.3">
      <c r="C903">
        <v>13</v>
      </c>
      <c r="D903" s="36">
        <v>20.25</v>
      </c>
      <c r="K903" s="14">
        <f t="shared" si="73"/>
        <v>1E-3</v>
      </c>
      <c r="L903" s="14"/>
      <c r="O903" s="14">
        <f t="shared" si="71"/>
        <v>1E-3</v>
      </c>
      <c r="P903" s="14">
        <f t="shared" si="72"/>
        <v>1.5E-3</v>
      </c>
    </row>
    <row r="904" spans="3:16" x14ac:dyDescent="0.3">
      <c r="C904">
        <v>13</v>
      </c>
      <c r="D904" s="36">
        <v>22.73</v>
      </c>
      <c r="K904" s="14">
        <f t="shared" si="73"/>
        <v>1E-3</v>
      </c>
      <c r="L904" s="14"/>
      <c r="O904" s="14">
        <f t="shared" si="71"/>
        <v>1E-3</v>
      </c>
      <c r="P904" s="14">
        <f t="shared" si="72"/>
        <v>1.5E-3</v>
      </c>
    </row>
    <row r="905" spans="3:16" x14ac:dyDescent="0.3">
      <c r="C905">
        <v>15</v>
      </c>
      <c r="D905" s="36">
        <v>30.58</v>
      </c>
      <c r="K905" s="14">
        <f t="shared" si="73"/>
        <v>1E-3</v>
      </c>
      <c r="L905" s="14"/>
      <c r="O905" s="14">
        <f t="shared" si="71"/>
        <v>4.0000000000000002E-4</v>
      </c>
      <c r="P905" s="14">
        <f t="shared" si="72"/>
        <v>4.0000000000000002E-4</v>
      </c>
    </row>
    <row r="906" spans="3:16" x14ac:dyDescent="0.3">
      <c r="C906">
        <v>13</v>
      </c>
      <c r="D906" s="36">
        <v>21.09</v>
      </c>
      <c r="K906" s="14">
        <f t="shared" si="73"/>
        <v>1E-3</v>
      </c>
      <c r="L906" s="14"/>
      <c r="O906" s="14">
        <f t="shared" si="71"/>
        <v>1E-3</v>
      </c>
      <c r="P906" s="14">
        <f t="shared" si="72"/>
        <v>1.5E-3</v>
      </c>
    </row>
    <row r="907" spans="3:16" x14ac:dyDescent="0.3">
      <c r="C907">
        <v>14</v>
      </c>
      <c r="D907" s="36">
        <v>21.03</v>
      </c>
      <c r="K907" s="14">
        <f t="shared" si="73"/>
        <v>1E-3</v>
      </c>
      <c r="L907" s="14"/>
      <c r="O907" s="14">
        <f t="shared" si="71"/>
        <v>4.7156372549026095E-4</v>
      </c>
      <c r="P907" s="14">
        <f t="shared" si="72"/>
        <v>1.5E-3</v>
      </c>
    </row>
    <row r="908" spans="3:16" x14ac:dyDescent="0.3">
      <c r="C908">
        <v>12</v>
      </c>
      <c r="D908" s="36">
        <v>21.97</v>
      </c>
      <c r="K908" s="14">
        <f t="shared" si="73"/>
        <v>1E-3</v>
      </c>
      <c r="L908" s="14"/>
      <c r="O908" s="14">
        <f t="shared" si="71"/>
        <v>3.0000000000000001E-3</v>
      </c>
      <c r="P908" s="14">
        <f t="shared" si="72"/>
        <v>1.5E-3</v>
      </c>
    </row>
    <row r="909" spans="3:16" x14ac:dyDescent="0.3">
      <c r="C909">
        <v>16</v>
      </c>
      <c r="D909" s="36">
        <v>22.16</v>
      </c>
      <c r="K909" s="14">
        <f t="shared" si="73"/>
        <v>1E-3</v>
      </c>
      <c r="L909" s="14"/>
      <c r="O909" s="14">
        <f t="shared" si="71"/>
        <v>2.0000000000000001E-4</v>
      </c>
      <c r="P909" s="14">
        <f t="shared" si="72"/>
        <v>1.5E-3</v>
      </c>
    </row>
    <row r="910" spans="3:16" x14ac:dyDescent="0.3">
      <c r="C910">
        <v>16</v>
      </c>
      <c r="D910" s="36">
        <v>35.81</v>
      </c>
      <c r="K910" s="14">
        <f t="shared" si="73"/>
        <v>1E-3</v>
      </c>
      <c r="L910" s="14"/>
      <c r="O910" s="14">
        <f t="shared" si="71"/>
        <v>2.0000000000000001E-4</v>
      </c>
      <c r="P910" s="14">
        <f t="shared" si="72"/>
        <v>1E-4</v>
      </c>
    </row>
    <row r="911" spans="3:16" x14ac:dyDescent="0.3">
      <c r="C911">
        <v>16</v>
      </c>
      <c r="D911" s="36">
        <v>26.62</v>
      </c>
      <c r="K911" s="14">
        <f t="shared" si="73"/>
        <v>1E-3</v>
      </c>
      <c r="L911" s="14"/>
      <c r="O911" s="14">
        <f t="shared" si="71"/>
        <v>2.0000000000000001E-4</v>
      </c>
      <c r="P911" s="14">
        <f t="shared" si="72"/>
        <v>7.8587786259546764E-4</v>
      </c>
    </row>
    <row r="912" spans="3:16" x14ac:dyDescent="0.3">
      <c r="C912">
        <v>16</v>
      </c>
      <c r="D912" s="36">
        <v>40.69</v>
      </c>
      <c r="K912" s="14">
        <f t="shared" si="73"/>
        <v>1E-3</v>
      </c>
      <c r="L912" s="14"/>
      <c r="O912" s="14">
        <f t="shared" si="71"/>
        <v>2.0000000000000001E-4</v>
      </c>
      <c r="P912" s="14">
        <f t="shared" si="72"/>
        <v>1E-4</v>
      </c>
    </row>
    <row r="913" spans="3:16" x14ac:dyDescent="0.3">
      <c r="C913">
        <v>13</v>
      </c>
      <c r="D913" s="36">
        <v>29.59</v>
      </c>
      <c r="K913" s="14">
        <f t="shared" si="73"/>
        <v>1E-3</v>
      </c>
      <c r="L913" s="14"/>
      <c r="O913" s="14">
        <f t="shared" si="71"/>
        <v>1E-3</v>
      </c>
      <c r="P913" s="14">
        <f t="shared" si="72"/>
        <v>4.0000000000000002E-4</v>
      </c>
    </row>
    <row r="914" spans="3:16" x14ac:dyDescent="0.3">
      <c r="C914">
        <v>15</v>
      </c>
      <c r="D914" s="36">
        <v>21.66</v>
      </c>
      <c r="K914" s="14">
        <f t="shared" si="73"/>
        <v>1E-3</v>
      </c>
      <c r="L914" s="14"/>
      <c r="O914" s="14">
        <f t="shared" si="71"/>
        <v>4.0000000000000002E-4</v>
      </c>
      <c r="P914" s="14">
        <f t="shared" si="72"/>
        <v>1.5E-3</v>
      </c>
    </row>
    <row r="915" spans="3:16" x14ac:dyDescent="0.3">
      <c r="C915">
        <v>16</v>
      </c>
      <c r="D915" s="36">
        <v>31.96</v>
      </c>
      <c r="K915" s="14">
        <f t="shared" si="73"/>
        <v>1E-3</v>
      </c>
      <c r="L915" s="14"/>
      <c r="O915" s="14">
        <f t="shared" si="71"/>
        <v>2.0000000000000001E-4</v>
      </c>
      <c r="P915" s="14">
        <f t="shared" si="72"/>
        <v>4.0000000000000002E-4</v>
      </c>
    </row>
    <row r="916" spans="3:16" x14ac:dyDescent="0.3">
      <c r="C916">
        <v>16</v>
      </c>
      <c r="D916" s="36">
        <v>34.72</v>
      </c>
      <c r="K916" s="14">
        <f t="shared" si="73"/>
        <v>1E-3</v>
      </c>
      <c r="L916" s="14"/>
      <c r="O916" s="14">
        <f t="shared" si="71"/>
        <v>2.0000000000000001E-4</v>
      </c>
      <c r="P916" s="14">
        <f t="shared" si="72"/>
        <v>1E-4</v>
      </c>
    </row>
    <row r="917" spans="3:16" x14ac:dyDescent="0.3">
      <c r="C917">
        <v>15</v>
      </c>
      <c r="D917" s="36">
        <v>27.33</v>
      </c>
      <c r="K917" s="14">
        <f t="shared" si="73"/>
        <v>1E-3</v>
      </c>
      <c r="L917" s="14"/>
      <c r="O917" s="14">
        <f t="shared" si="71"/>
        <v>4.0000000000000002E-4</v>
      </c>
      <c r="P917" s="14">
        <f t="shared" si="72"/>
        <v>7.8587786259546764E-4</v>
      </c>
    </row>
    <row r="918" spans="3:16" x14ac:dyDescent="0.3">
      <c r="C918">
        <v>15</v>
      </c>
      <c r="D918" s="36">
        <v>32.56</v>
      </c>
      <c r="K918" s="14">
        <f t="shared" si="73"/>
        <v>1E-3</v>
      </c>
      <c r="L918" s="14"/>
      <c r="O918" s="14">
        <f t="shared" si="71"/>
        <v>4.0000000000000002E-4</v>
      </c>
      <c r="P918" s="14">
        <f t="shared" si="72"/>
        <v>1E-4</v>
      </c>
    </row>
    <row r="919" spans="3:16" x14ac:dyDescent="0.3">
      <c r="C919">
        <v>13</v>
      </c>
      <c r="D919" s="36">
        <v>23.83</v>
      </c>
      <c r="K919" s="14">
        <f t="shared" si="73"/>
        <v>1E-3</v>
      </c>
      <c r="L919" s="14"/>
      <c r="O919" s="14">
        <f t="shared" si="71"/>
        <v>1E-3</v>
      </c>
      <c r="P919" s="14">
        <f t="shared" si="72"/>
        <v>1.5E-3</v>
      </c>
    </row>
    <row r="920" spans="3:16" x14ac:dyDescent="0.3">
      <c r="C920">
        <v>13</v>
      </c>
      <c r="D920" s="36">
        <v>25.41</v>
      </c>
      <c r="K920" s="14">
        <f t="shared" si="73"/>
        <v>1E-3</v>
      </c>
      <c r="L920" s="14"/>
      <c r="O920" s="14">
        <f t="shared" si="71"/>
        <v>1E-3</v>
      </c>
      <c r="P920" s="14">
        <f t="shared" si="72"/>
        <v>7.8587786259546764E-4</v>
      </c>
    </row>
    <row r="921" spans="3:16" x14ac:dyDescent="0.3">
      <c r="C921">
        <v>16</v>
      </c>
      <c r="D921" s="36">
        <v>28.24</v>
      </c>
      <c r="K921" s="14">
        <f t="shared" si="73"/>
        <v>1E-3</v>
      </c>
      <c r="L921" s="14"/>
      <c r="O921" s="14">
        <f t="shared" si="71"/>
        <v>2.0000000000000001E-4</v>
      </c>
      <c r="P921" s="14">
        <f t="shared" si="72"/>
        <v>4.0000000000000002E-4</v>
      </c>
    </row>
    <row r="922" spans="3:16" x14ac:dyDescent="0.3">
      <c r="C922">
        <v>16</v>
      </c>
      <c r="D922" s="36">
        <v>36.79</v>
      </c>
      <c r="K922" s="14">
        <f t="shared" si="73"/>
        <v>1E-3</v>
      </c>
      <c r="L922" s="14"/>
      <c r="O922" s="14">
        <f t="shared" si="71"/>
        <v>2.0000000000000001E-4</v>
      </c>
      <c r="P922" s="14">
        <f t="shared" si="72"/>
        <v>1E-4</v>
      </c>
    </row>
    <row r="923" spans="3:16" x14ac:dyDescent="0.3">
      <c r="C923">
        <v>16</v>
      </c>
      <c r="D923" s="36">
        <v>22.25</v>
      </c>
      <c r="K923" s="14">
        <f t="shared" si="73"/>
        <v>1E-3</v>
      </c>
      <c r="L923" s="14"/>
      <c r="O923" s="14">
        <f t="shared" si="71"/>
        <v>2.0000000000000001E-4</v>
      </c>
      <c r="P923" s="14">
        <f t="shared" si="72"/>
        <v>1.5E-3</v>
      </c>
    </row>
    <row r="924" spans="3:16" x14ac:dyDescent="0.3">
      <c r="C924">
        <v>12</v>
      </c>
      <c r="D924" s="36">
        <v>31.19</v>
      </c>
      <c r="K924" s="14">
        <f t="shared" si="73"/>
        <v>1E-3</v>
      </c>
      <c r="L924" s="14"/>
      <c r="O924" s="14">
        <f t="shared" si="71"/>
        <v>3.0000000000000001E-3</v>
      </c>
      <c r="P924" s="14">
        <f t="shared" si="72"/>
        <v>4.0000000000000002E-4</v>
      </c>
    </row>
    <row r="925" spans="3:16" x14ac:dyDescent="0.3">
      <c r="C925">
        <v>15</v>
      </c>
      <c r="D925" s="36">
        <v>22.71</v>
      </c>
      <c r="K925" s="14">
        <f t="shared" si="73"/>
        <v>1E-3</v>
      </c>
      <c r="L925" s="14"/>
      <c r="O925" s="14">
        <f t="shared" si="71"/>
        <v>4.0000000000000002E-4</v>
      </c>
      <c r="P925" s="14">
        <f t="shared" si="72"/>
        <v>1.5E-3</v>
      </c>
    </row>
    <row r="926" spans="3:16" x14ac:dyDescent="0.3">
      <c r="C926">
        <v>14</v>
      </c>
      <c r="D926" s="36">
        <v>32.58</v>
      </c>
      <c r="K926" s="14">
        <f t="shared" si="73"/>
        <v>1E-3</v>
      </c>
      <c r="L926" s="14"/>
      <c r="O926" s="14">
        <f t="shared" si="71"/>
        <v>4.7156372549026095E-4</v>
      </c>
      <c r="P926" s="14">
        <f t="shared" si="72"/>
        <v>1E-4</v>
      </c>
    </row>
    <row r="927" spans="3:16" x14ac:dyDescent="0.3">
      <c r="C927">
        <v>16</v>
      </c>
      <c r="D927" s="36">
        <v>29.25</v>
      </c>
      <c r="K927" s="14">
        <f t="shared" si="73"/>
        <v>1E-3</v>
      </c>
      <c r="L927" s="14"/>
      <c r="O927" s="14">
        <f t="shared" si="71"/>
        <v>2.0000000000000001E-4</v>
      </c>
      <c r="P927" s="14">
        <f t="shared" si="72"/>
        <v>4.0000000000000002E-4</v>
      </c>
    </row>
    <row r="928" spans="3:16" x14ac:dyDescent="0.3">
      <c r="C928">
        <v>15</v>
      </c>
      <c r="D928" s="36">
        <v>20.25</v>
      </c>
      <c r="K928" s="14">
        <f t="shared" si="73"/>
        <v>1E-3</v>
      </c>
      <c r="L928" s="14"/>
      <c r="O928" s="14">
        <f t="shared" si="71"/>
        <v>4.0000000000000002E-4</v>
      </c>
      <c r="P928" s="14">
        <f t="shared" si="72"/>
        <v>1.5E-3</v>
      </c>
    </row>
    <row r="929" spans="3:16" x14ac:dyDescent="0.3">
      <c r="C929">
        <v>12</v>
      </c>
      <c r="D929" s="36">
        <v>27.36</v>
      </c>
      <c r="K929" s="14">
        <f t="shared" si="73"/>
        <v>1E-3</v>
      </c>
      <c r="L929" s="14"/>
      <c r="O929" s="14">
        <f t="shared" si="71"/>
        <v>3.0000000000000001E-3</v>
      </c>
      <c r="P929" s="14">
        <f t="shared" si="72"/>
        <v>7.8587786259546764E-4</v>
      </c>
    </row>
    <row r="930" spans="3:16" x14ac:dyDescent="0.3">
      <c r="C930">
        <v>12</v>
      </c>
      <c r="D930" s="36">
        <v>23.26</v>
      </c>
      <c r="K930" s="14">
        <f t="shared" si="73"/>
        <v>1E-3</v>
      </c>
      <c r="L930" s="14"/>
      <c r="O930" s="14">
        <f t="shared" si="71"/>
        <v>3.0000000000000001E-3</v>
      </c>
      <c r="P930" s="14">
        <f t="shared" si="72"/>
        <v>1.5E-3</v>
      </c>
    </row>
    <row r="931" spans="3:16" x14ac:dyDescent="0.3">
      <c r="C931">
        <v>16</v>
      </c>
      <c r="D931" s="36">
        <v>35.380000000000003</v>
      </c>
      <c r="K931" s="14">
        <f t="shared" si="73"/>
        <v>1E-3</v>
      </c>
      <c r="L931" s="14"/>
      <c r="O931" s="14">
        <f t="shared" si="71"/>
        <v>2.0000000000000001E-4</v>
      </c>
      <c r="P931" s="14">
        <f t="shared" si="72"/>
        <v>1E-4</v>
      </c>
    </row>
    <row r="932" spans="3:16" x14ac:dyDescent="0.3">
      <c r="C932">
        <v>13</v>
      </c>
      <c r="D932" s="36">
        <v>25.01</v>
      </c>
      <c r="K932" s="14">
        <f t="shared" si="73"/>
        <v>1E-3</v>
      </c>
      <c r="L932" s="14"/>
      <c r="O932" s="14">
        <f t="shared" si="71"/>
        <v>1E-3</v>
      </c>
      <c r="P932" s="14">
        <f t="shared" si="72"/>
        <v>7.8587786259546764E-4</v>
      </c>
    </row>
    <row r="933" spans="3:16" x14ac:dyDescent="0.3">
      <c r="C933">
        <v>14</v>
      </c>
      <c r="D933" s="36">
        <v>21.23</v>
      </c>
      <c r="K933" s="14">
        <f t="shared" si="73"/>
        <v>1E-3</v>
      </c>
      <c r="L933" s="14"/>
      <c r="O933" s="14">
        <f t="shared" si="71"/>
        <v>4.7156372549026095E-4</v>
      </c>
      <c r="P933" s="14">
        <f t="shared" si="72"/>
        <v>1.5E-3</v>
      </c>
    </row>
    <row r="934" spans="3:16" x14ac:dyDescent="0.3">
      <c r="C934">
        <v>16</v>
      </c>
      <c r="D934" s="36">
        <v>28.25</v>
      </c>
      <c r="K934" s="14">
        <f t="shared" si="73"/>
        <v>1E-3</v>
      </c>
      <c r="L934" s="14"/>
      <c r="O934" s="14">
        <f t="shared" si="71"/>
        <v>2.0000000000000001E-4</v>
      </c>
      <c r="P934" s="14">
        <f t="shared" si="72"/>
        <v>4.0000000000000002E-4</v>
      </c>
    </row>
    <row r="935" spans="3:16" x14ac:dyDescent="0.3">
      <c r="C935">
        <v>13</v>
      </c>
      <c r="D935" s="36">
        <v>22.73</v>
      </c>
      <c r="K935" s="14">
        <f t="shared" si="73"/>
        <v>1E-3</v>
      </c>
      <c r="L935" s="14"/>
      <c r="O935" s="14">
        <f t="shared" si="71"/>
        <v>1E-3</v>
      </c>
      <c r="P935" s="14">
        <f t="shared" si="72"/>
        <v>1.5E-3</v>
      </c>
    </row>
    <row r="936" spans="3:16" x14ac:dyDescent="0.3">
      <c r="C936">
        <v>12</v>
      </c>
      <c r="D936" s="36">
        <v>26.4</v>
      </c>
      <c r="K936" s="14">
        <f t="shared" si="73"/>
        <v>1E-3</v>
      </c>
      <c r="L936" s="14"/>
      <c r="O936" s="14">
        <f t="shared" si="71"/>
        <v>3.0000000000000001E-3</v>
      </c>
      <c r="P936" s="14">
        <f t="shared" si="72"/>
        <v>7.8587786259546764E-4</v>
      </c>
    </row>
    <row r="937" spans="3:16" x14ac:dyDescent="0.3">
      <c r="C937">
        <v>16</v>
      </c>
      <c r="D937" s="36">
        <v>28.93</v>
      </c>
      <c r="K937" s="14">
        <f t="shared" si="73"/>
        <v>1E-3</v>
      </c>
      <c r="L937" s="14"/>
      <c r="O937" s="14">
        <f t="shared" si="71"/>
        <v>2.0000000000000001E-4</v>
      </c>
      <c r="P937" s="14">
        <f t="shared" si="72"/>
        <v>4.0000000000000002E-4</v>
      </c>
    </row>
    <row r="938" spans="3:16" x14ac:dyDescent="0.3">
      <c r="C938">
        <v>12</v>
      </c>
      <c r="D938" s="36">
        <v>20.29</v>
      </c>
      <c r="K938" s="14">
        <f t="shared" si="73"/>
        <v>1E-3</v>
      </c>
      <c r="L938" s="14"/>
      <c r="O938" s="14">
        <f t="shared" si="71"/>
        <v>3.0000000000000001E-3</v>
      </c>
      <c r="P938" s="14">
        <f t="shared" si="72"/>
        <v>1.5E-3</v>
      </c>
    </row>
    <row r="939" spans="3:16" x14ac:dyDescent="0.3">
      <c r="C939">
        <v>12</v>
      </c>
      <c r="D939" s="36">
        <v>27.52</v>
      </c>
      <c r="K939" s="14">
        <f t="shared" si="73"/>
        <v>1E-3</v>
      </c>
      <c r="L939" s="14"/>
      <c r="O939" s="14">
        <f t="shared" si="71"/>
        <v>3.0000000000000001E-3</v>
      </c>
      <c r="P939" s="14">
        <f t="shared" si="72"/>
        <v>7.8587786259546764E-4</v>
      </c>
    </row>
    <row r="940" spans="3:16" x14ac:dyDescent="0.3">
      <c r="C940">
        <v>13</v>
      </c>
      <c r="D940" s="36">
        <v>26.98</v>
      </c>
      <c r="K940" s="14">
        <f t="shared" si="73"/>
        <v>1E-3</v>
      </c>
      <c r="L940" s="14"/>
      <c r="O940" s="14">
        <f t="shared" si="71"/>
        <v>1E-3</v>
      </c>
      <c r="P940" s="14">
        <f t="shared" si="72"/>
        <v>7.8587786259546764E-4</v>
      </c>
    </row>
    <row r="941" spans="3:16" x14ac:dyDescent="0.3">
      <c r="C941">
        <v>14</v>
      </c>
      <c r="D941" s="36">
        <v>15.05</v>
      </c>
      <c r="K941" s="14">
        <f t="shared" si="73"/>
        <v>1E-3</v>
      </c>
      <c r="L941" s="14"/>
      <c r="O941" s="14">
        <f t="shared" si="71"/>
        <v>4.7156372549026095E-4</v>
      </c>
      <c r="P941" s="14">
        <f t="shared" si="72"/>
        <v>5.0000000000000001E-3</v>
      </c>
    </row>
    <row r="942" spans="3:16" x14ac:dyDescent="0.3">
      <c r="C942">
        <v>16</v>
      </c>
      <c r="D942" s="36">
        <v>29.36</v>
      </c>
      <c r="K942" s="14">
        <f t="shared" si="73"/>
        <v>1E-3</v>
      </c>
      <c r="L942" s="14"/>
      <c r="O942" s="14">
        <f t="shared" si="71"/>
        <v>2.0000000000000001E-4</v>
      </c>
      <c r="P942" s="14">
        <f t="shared" si="72"/>
        <v>4.0000000000000002E-4</v>
      </c>
    </row>
    <row r="943" spans="3:16" x14ac:dyDescent="0.3">
      <c r="C943">
        <v>13</v>
      </c>
      <c r="D943" s="36">
        <v>31.17</v>
      </c>
      <c r="K943" s="14">
        <f t="shared" si="73"/>
        <v>1E-3</v>
      </c>
      <c r="L943" s="14"/>
      <c r="O943" s="14">
        <f t="shared" si="71"/>
        <v>1E-3</v>
      </c>
      <c r="P943" s="14">
        <f t="shared" si="72"/>
        <v>4.0000000000000002E-4</v>
      </c>
    </row>
    <row r="944" spans="3:16" x14ac:dyDescent="0.3">
      <c r="C944">
        <v>14</v>
      </c>
      <c r="D944" s="36">
        <v>30.77</v>
      </c>
      <c r="K944" s="14">
        <f t="shared" si="73"/>
        <v>1E-3</v>
      </c>
      <c r="L944" s="14"/>
      <c r="O944" s="14">
        <f t="shared" si="71"/>
        <v>4.7156372549026095E-4</v>
      </c>
      <c r="P944" s="14">
        <f t="shared" si="72"/>
        <v>4.0000000000000002E-4</v>
      </c>
    </row>
    <row r="945" spans="3:16" x14ac:dyDescent="0.3">
      <c r="C945">
        <v>16</v>
      </c>
      <c r="D945" s="36">
        <v>36.450000000000003</v>
      </c>
      <c r="K945" s="14">
        <f t="shared" si="73"/>
        <v>1E-3</v>
      </c>
      <c r="L945" s="14"/>
      <c r="O945" s="14">
        <f t="shared" si="71"/>
        <v>2.0000000000000001E-4</v>
      </c>
      <c r="P945" s="14">
        <f t="shared" si="72"/>
        <v>1E-4</v>
      </c>
    </row>
    <row r="946" spans="3:16" x14ac:dyDescent="0.3">
      <c r="C946">
        <v>13</v>
      </c>
      <c r="D946" s="36">
        <v>24.54</v>
      </c>
      <c r="K946" s="14">
        <f t="shared" si="73"/>
        <v>1E-3</v>
      </c>
      <c r="L946" s="14"/>
      <c r="O946" s="14">
        <f t="shared" si="71"/>
        <v>1E-3</v>
      </c>
      <c r="P946" s="14">
        <f t="shared" si="72"/>
        <v>7.8587786259546764E-4</v>
      </c>
    </row>
    <row r="947" spans="3:16" x14ac:dyDescent="0.3">
      <c r="C947">
        <v>15</v>
      </c>
      <c r="D947" s="36">
        <v>26.45</v>
      </c>
      <c r="K947" s="14">
        <f t="shared" si="73"/>
        <v>1E-3</v>
      </c>
      <c r="L947" s="14"/>
      <c r="O947" s="14">
        <f t="shared" si="71"/>
        <v>4.0000000000000002E-4</v>
      </c>
      <c r="P947" s="14">
        <f t="shared" si="72"/>
        <v>7.8587786259546764E-4</v>
      </c>
    </row>
    <row r="948" spans="3:16" x14ac:dyDescent="0.3">
      <c r="C948">
        <v>13</v>
      </c>
      <c r="D948" s="36">
        <v>33.1</v>
      </c>
      <c r="K948" s="14">
        <f t="shared" si="73"/>
        <v>1E-3</v>
      </c>
      <c r="L948" s="14"/>
      <c r="O948" s="14">
        <f t="shared" si="71"/>
        <v>1E-3</v>
      </c>
      <c r="P948" s="14">
        <f t="shared" si="72"/>
        <v>1E-4</v>
      </c>
    </row>
    <row r="949" spans="3:16" x14ac:dyDescent="0.3">
      <c r="C949">
        <v>12</v>
      </c>
      <c r="D949" s="36">
        <v>22.18</v>
      </c>
      <c r="K949" s="14">
        <f t="shared" si="73"/>
        <v>1E-3</v>
      </c>
      <c r="L949" s="14"/>
      <c r="O949" s="14">
        <f t="shared" si="71"/>
        <v>3.0000000000000001E-3</v>
      </c>
      <c r="P949" s="14">
        <f t="shared" si="72"/>
        <v>1.5E-3</v>
      </c>
    </row>
    <row r="950" spans="3:16" x14ac:dyDescent="0.3">
      <c r="C950">
        <v>14</v>
      </c>
      <c r="D950" s="36">
        <v>25.61</v>
      </c>
      <c r="K950" s="14">
        <f t="shared" si="73"/>
        <v>1E-3</v>
      </c>
      <c r="L950" s="14"/>
      <c r="O950" s="14">
        <f t="shared" si="71"/>
        <v>4.7156372549026095E-4</v>
      </c>
      <c r="P950" s="14">
        <f t="shared" si="72"/>
        <v>7.8587786259546764E-4</v>
      </c>
    </row>
    <row r="951" spans="3:16" x14ac:dyDescent="0.3">
      <c r="C951">
        <v>16</v>
      </c>
      <c r="D951" s="36">
        <v>36.35</v>
      </c>
      <c r="K951" s="14">
        <f t="shared" si="73"/>
        <v>1E-3</v>
      </c>
      <c r="L951" s="14"/>
      <c r="O951" s="14">
        <f t="shared" si="71"/>
        <v>2.0000000000000001E-4</v>
      </c>
      <c r="P951" s="14">
        <f t="shared" si="72"/>
        <v>1E-4</v>
      </c>
    </row>
    <row r="952" spans="3:16" x14ac:dyDescent="0.3">
      <c r="C952">
        <v>16</v>
      </c>
      <c r="D952" s="36">
        <v>37.119999999999997</v>
      </c>
      <c r="K952" s="14">
        <f t="shared" si="73"/>
        <v>1E-3</v>
      </c>
      <c r="L952" s="14"/>
      <c r="O952" s="14">
        <f t="shared" si="71"/>
        <v>2.0000000000000001E-4</v>
      </c>
      <c r="P952" s="14">
        <f t="shared" si="72"/>
        <v>1E-4</v>
      </c>
    </row>
    <row r="953" spans="3:16" x14ac:dyDescent="0.3">
      <c r="C953">
        <v>16</v>
      </c>
      <c r="D953" s="36">
        <v>33.659999999999997</v>
      </c>
      <c r="K953" s="14">
        <f t="shared" si="73"/>
        <v>1E-3</v>
      </c>
      <c r="L953" s="14"/>
      <c r="O953" s="14">
        <f t="shared" si="71"/>
        <v>2.0000000000000001E-4</v>
      </c>
      <c r="P953" s="14">
        <f t="shared" si="72"/>
        <v>1E-4</v>
      </c>
    </row>
    <row r="954" spans="3:16" x14ac:dyDescent="0.3">
      <c r="C954">
        <v>12</v>
      </c>
      <c r="D954" s="36">
        <v>24.84</v>
      </c>
      <c r="K954" s="14">
        <f t="shared" si="73"/>
        <v>1E-3</v>
      </c>
      <c r="L954" s="14"/>
      <c r="O954" s="14">
        <f t="shared" si="71"/>
        <v>3.0000000000000001E-3</v>
      </c>
      <c r="P954" s="14">
        <f t="shared" si="72"/>
        <v>7.8587786259546764E-4</v>
      </c>
    </row>
    <row r="955" spans="3:16" x14ac:dyDescent="0.3">
      <c r="C955">
        <v>12</v>
      </c>
      <c r="D955" s="36">
        <v>17.059999999999999</v>
      </c>
      <c r="K955" s="14">
        <f t="shared" si="73"/>
        <v>1E-3</v>
      </c>
      <c r="L955" s="14"/>
      <c r="O955" s="14">
        <f t="shared" si="71"/>
        <v>3.0000000000000001E-3</v>
      </c>
      <c r="P955" s="14">
        <f t="shared" si="72"/>
        <v>5.0000000000000001E-3</v>
      </c>
    </row>
    <row r="956" spans="3:16" x14ac:dyDescent="0.3">
      <c r="C956">
        <v>12</v>
      </c>
      <c r="D956" s="36">
        <v>19.09</v>
      </c>
      <c r="K956" s="14">
        <f t="shared" si="73"/>
        <v>1E-3</v>
      </c>
      <c r="L956" s="14"/>
      <c r="O956" s="14">
        <f t="shared" si="71"/>
        <v>3.0000000000000001E-3</v>
      </c>
      <c r="P956" s="14">
        <f t="shared" si="72"/>
        <v>5.0000000000000001E-3</v>
      </c>
    </row>
    <row r="957" spans="3:16" x14ac:dyDescent="0.3">
      <c r="C957">
        <v>16</v>
      </c>
      <c r="D957" s="36">
        <v>35.89</v>
      </c>
      <c r="K957" s="14">
        <f t="shared" si="73"/>
        <v>1E-3</v>
      </c>
      <c r="L957" s="14"/>
      <c r="O957" s="14">
        <f t="shared" si="71"/>
        <v>2.0000000000000001E-4</v>
      </c>
      <c r="P957" s="14">
        <f t="shared" si="72"/>
        <v>1E-4</v>
      </c>
    </row>
    <row r="958" spans="3:16" x14ac:dyDescent="0.3">
      <c r="C958">
        <v>13</v>
      </c>
      <c r="D958" s="36">
        <v>29</v>
      </c>
      <c r="K958" s="14">
        <f t="shared" si="73"/>
        <v>1E-3</v>
      </c>
      <c r="L958" s="14"/>
      <c r="O958" s="14">
        <f t="shared" si="71"/>
        <v>1E-3</v>
      </c>
      <c r="P958" s="14">
        <f t="shared" si="72"/>
        <v>4.0000000000000002E-4</v>
      </c>
    </row>
    <row r="959" spans="3:16" x14ac:dyDescent="0.3">
      <c r="C959">
        <v>13</v>
      </c>
      <c r="D959" s="36">
        <v>24.08</v>
      </c>
      <c r="K959" s="14">
        <f t="shared" si="73"/>
        <v>1E-3</v>
      </c>
      <c r="L959" s="14"/>
      <c r="O959" s="14">
        <f t="shared" si="71"/>
        <v>1E-3</v>
      </c>
      <c r="P959" s="14">
        <f t="shared" si="72"/>
        <v>7.8587786259546764E-4</v>
      </c>
    </row>
    <row r="960" spans="3:16" x14ac:dyDescent="0.3">
      <c r="C960">
        <v>15</v>
      </c>
      <c r="D960" s="36">
        <v>31.77</v>
      </c>
      <c r="K960" s="14">
        <f t="shared" si="73"/>
        <v>1E-3</v>
      </c>
      <c r="L960" s="14"/>
      <c r="O960" s="14">
        <f t="shared" si="71"/>
        <v>4.0000000000000002E-4</v>
      </c>
      <c r="P960" s="14">
        <f t="shared" si="72"/>
        <v>4.0000000000000002E-4</v>
      </c>
    </row>
    <row r="961" spans="3:16" x14ac:dyDescent="0.3">
      <c r="C961">
        <v>14</v>
      </c>
      <c r="D961" s="36">
        <v>20.57</v>
      </c>
      <c r="K961" s="14">
        <f t="shared" si="73"/>
        <v>1E-3</v>
      </c>
      <c r="L961" s="14"/>
      <c r="O961" s="14">
        <f t="shared" si="71"/>
        <v>4.7156372549026095E-4</v>
      </c>
      <c r="P961" s="14">
        <f t="shared" si="72"/>
        <v>1.5E-3</v>
      </c>
    </row>
    <row r="962" spans="3:16" x14ac:dyDescent="0.3">
      <c r="C962">
        <v>12</v>
      </c>
      <c r="D962" s="36">
        <v>27.94</v>
      </c>
      <c r="K962" s="14">
        <f t="shared" si="73"/>
        <v>1E-3</v>
      </c>
      <c r="L962" s="14"/>
      <c r="O962" s="14">
        <f t="shared" ref="O962:O1001" si="74">IF(C962=12,$M$4,IF(C962=13,$M$5,IF(C962=14,$M$6,IF(C962=15,$M$7,$M$8))))</f>
        <v>3.0000000000000001E-3</v>
      </c>
      <c r="P962" s="14">
        <f t="shared" ref="P962:P1001" si="75">IF(D962&lt;20,$M$14,IF(D962&lt;24,$M$15,IF(D962&lt;28,$M$16,IF(D962&lt;32,$M$17,$M$18))))</f>
        <v>7.8587786259546764E-4</v>
      </c>
    </row>
    <row r="963" spans="3:16" x14ac:dyDescent="0.3">
      <c r="C963">
        <v>15</v>
      </c>
      <c r="D963" s="36">
        <v>26.5</v>
      </c>
      <c r="K963" s="14">
        <f t="shared" ref="K963:K1001" si="76">1/1000</f>
        <v>1E-3</v>
      </c>
      <c r="L963" s="14"/>
      <c r="O963" s="14">
        <f t="shared" si="74"/>
        <v>4.0000000000000002E-4</v>
      </c>
      <c r="P963" s="14">
        <f t="shared" si="75"/>
        <v>7.8587786259546764E-4</v>
      </c>
    </row>
    <row r="964" spans="3:16" x14ac:dyDescent="0.3">
      <c r="C964">
        <v>16</v>
      </c>
      <c r="D964" s="36">
        <v>23</v>
      </c>
      <c r="K964" s="14">
        <f t="shared" si="76"/>
        <v>1E-3</v>
      </c>
      <c r="L964" s="14"/>
      <c r="O964" s="14">
        <f t="shared" si="74"/>
        <v>2.0000000000000001E-4</v>
      </c>
      <c r="P964" s="14">
        <f t="shared" si="75"/>
        <v>1.5E-3</v>
      </c>
    </row>
    <row r="965" spans="3:16" x14ac:dyDescent="0.3">
      <c r="C965">
        <v>12</v>
      </c>
      <c r="D965" s="36">
        <v>20.89</v>
      </c>
      <c r="K965" s="14">
        <f t="shared" si="76"/>
        <v>1E-3</v>
      </c>
      <c r="L965" s="14"/>
      <c r="O965" s="14">
        <f t="shared" si="74"/>
        <v>3.0000000000000001E-3</v>
      </c>
      <c r="P965" s="14">
        <f t="shared" si="75"/>
        <v>1.5E-3</v>
      </c>
    </row>
    <row r="966" spans="3:16" x14ac:dyDescent="0.3">
      <c r="C966">
        <v>14</v>
      </c>
      <c r="D966" s="36">
        <v>34.19</v>
      </c>
      <c r="K966" s="14">
        <f t="shared" si="76"/>
        <v>1E-3</v>
      </c>
      <c r="L966" s="14"/>
      <c r="O966" s="14">
        <f t="shared" si="74"/>
        <v>4.7156372549026095E-4</v>
      </c>
      <c r="P966" s="14">
        <f t="shared" si="75"/>
        <v>1E-4</v>
      </c>
    </row>
    <row r="967" spans="3:16" x14ac:dyDescent="0.3">
      <c r="C967">
        <v>16</v>
      </c>
      <c r="D967" s="36">
        <v>32.54</v>
      </c>
      <c r="K967" s="14">
        <f t="shared" si="76"/>
        <v>1E-3</v>
      </c>
      <c r="L967" s="14"/>
      <c r="O967" s="14">
        <f t="shared" si="74"/>
        <v>2.0000000000000001E-4</v>
      </c>
      <c r="P967" s="14">
        <f t="shared" si="75"/>
        <v>1E-4</v>
      </c>
    </row>
    <row r="968" spans="3:16" x14ac:dyDescent="0.3">
      <c r="C968">
        <v>12</v>
      </c>
      <c r="D968" s="36">
        <v>33.380000000000003</v>
      </c>
      <c r="K968" s="14">
        <f t="shared" si="76"/>
        <v>1E-3</v>
      </c>
      <c r="L968" s="14"/>
      <c r="O968" s="14">
        <f t="shared" si="74"/>
        <v>3.0000000000000001E-3</v>
      </c>
      <c r="P968" s="14">
        <f t="shared" si="75"/>
        <v>1E-4</v>
      </c>
    </row>
    <row r="969" spans="3:16" x14ac:dyDescent="0.3">
      <c r="C969">
        <v>16</v>
      </c>
      <c r="D969" s="36">
        <v>30.26</v>
      </c>
      <c r="K969" s="14">
        <f t="shared" si="76"/>
        <v>1E-3</v>
      </c>
      <c r="L969" s="14"/>
      <c r="O969" s="14">
        <f t="shared" si="74"/>
        <v>2.0000000000000001E-4</v>
      </c>
      <c r="P969" s="14">
        <f t="shared" si="75"/>
        <v>4.0000000000000002E-4</v>
      </c>
    </row>
    <row r="970" spans="3:16" x14ac:dyDescent="0.3">
      <c r="C970">
        <v>12</v>
      </c>
      <c r="D970" s="36">
        <v>20.18</v>
      </c>
      <c r="K970" s="14">
        <f t="shared" si="76"/>
        <v>1E-3</v>
      </c>
      <c r="L970" s="14"/>
      <c r="O970" s="14">
        <f t="shared" si="74"/>
        <v>3.0000000000000001E-3</v>
      </c>
      <c r="P970" s="14">
        <f t="shared" si="75"/>
        <v>1.5E-3</v>
      </c>
    </row>
    <row r="971" spans="3:16" x14ac:dyDescent="0.3">
      <c r="C971">
        <v>12</v>
      </c>
      <c r="D971" s="36">
        <v>27.78</v>
      </c>
      <c r="K971" s="14">
        <f t="shared" si="76"/>
        <v>1E-3</v>
      </c>
      <c r="L971" s="14"/>
      <c r="O971" s="14">
        <f t="shared" si="74"/>
        <v>3.0000000000000001E-3</v>
      </c>
      <c r="P971" s="14">
        <f t="shared" si="75"/>
        <v>7.8587786259546764E-4</v>
      </c>
    </row>
    <row r="972" spans="3:16" x14ac:dyDescent="0.3">
      <c r="C972">
        <v>16</v>
      </c>
      <c r="D972" s="36">
        <v>24.36</v>
      </c>
      <c r="K972" s="14">
        <f t="shared" si="76"/>
        <v>1E-3</v>
      </c>
      <c r="L972" s="14"/>
      <c r="O972" s="14">
        <f t="shared" si="74"/>
        <v>2.0000000000000001E-4</v>
      </c>
      <c r="P972" s="14">
        <f t="shared" si="75"/>
        <v>7.8587786259546764E-4</v>
      </c>
    </row>
    <row r="973" spans="3:16" x14ac:dyDescent="0.3">
      <c r="C973">
        <v>14</v>
      </c>
      <c r="D973" s="36">
        <v>19.54</v>
      </c>
      <c r="K973" s="14">
        <f t="shared" si="76"/>
        <v>1E-3</v>
      </c>
      <c r="L973" s="14"/>
      <c r="O973" s="14">
        <f t="shared" si="74"/>
        <v>4.7156372549026095E-4</v>
      </c>
      <c r="P973" s="14">
        <f t="shared" si="75"/>
        <v>5.0000000000000001E-3</v>
      </c>
    </row>
    <row r="974" spans="3:16" x14ac:dyDescent="0.3">
      <c r="C974">
        <v>14</v>
      </c>
      <c r="D974" s="36">
        <v>30.43</v>
      </c>
      <c r="K974" s="14">
        <f t="shared" si="76"/>
        <v>1E-3</v>
      </c>
      <c r="L974" s="14"/>
      <c r="O974" s="14">
        <f t="shared" si="74"/>
        <v>4.7156372549026095E-4</v>
      </c>
      <c r="P974" s="14">
        <f t="shared" si="75"/>
        <v>4.0000000000000002E-4</v>
      </c>
    </row>
    <row r="975" spans="3:16" x14ac:dyDescent="0.3">
      <c r="C975">
        <v>15</v>
      </c>
      <c r="D975" s="36">
        <v>31.23</v>
      </c>
      <c r="K975" s="14">
        <f t="shared" si="76"/>
        <v>1E-3</v>
      </c>
      <c r="L975" s="14"/>
      <c r="O975" s="14">
        <f t="shared" si="74"/>
        <v>4.0000000000000002E-4</v>
      </c>
      <c r="P975" s="14">
        <f t="shared" si="75"/>
        <v>4.0000000000000002E-4</v>
      </c>
    </row>
    <row r="976" spans="3:16" x14ac:dyDescent="0.3">
      <c r="C976">
        <v>12</v>
      </c>
      <c r="D976" s="36">
        <v>24.17</v>
      </c>
      <c r="K976" s="14">
        <f t="shared" si="76"/>
        <v>1E-3</v>
      </c>
      <c r="L976" s="14"/>
      <c r="O976" s="14">
        <f t="shared" si="74"/>
        <v>3.0000000000000001E-3</v>
      </c>
      <c r="P976" s="14">
        <f t="shared" si="75"/>
        <v>7.8587786259546764E-4</v>
      </c>
    </row>
    <row r="977" spans="3:16" x14ac:dyDescent="0.3">
      <c r="C977">
        <v>15</v>
      </c>
      <c r="D977" s="36">
        <v>28.93</v>
      </c>
      <c r="K977" s="14">
        <f t="shared" si="76"/>
        <v>1E-3</v>
      </c>
      <c r="L977" s="14"/>
      <c r="O977" s="14">
        <f t="shared" si="74"/>
        <v>4.0000000000000002E-4</v>
      </c>
      <c r="P977" s="14">
        <f t="shared" si="75"/>
        <v>4.0000000000000002E-4</v>
      </c>
    </row>
    <row r="978" spans="3:16" x14ac:dyDescent="0.3">
      <c r="C978">
        <v>15</v>
      </c>
      <c r="D978" s="36">
        <v>29.73</v>
      </c>
      <c r="K978" s="14">
        <f t="shared" si="76"/>
        <v>1E-3</v>
      </c>
      <c r="L978" s="14"/>
      <c r="O978" s="14">
        <f t="shared" si="74"/>
        <v>4.0000000000000002E-4</v>
      </c>
      <c r="P978" s="14">
        <f t="shared" si="75"/>
        <v>4.0000000000000002E-4</v>
      </c>
    </row>
    <row r="979" spans="3:16" x14ac:dyDescent="0.3">
      <c r="C979">
        <v>13</v>
      </c>
      <c r="D979" s="36">
        <v>22.76</v>
      </c>
      <c r="K979" s="14">
        <f t="shared" si="76"/>
        <v>1E-3</v>
      </c>
      <c r="L979" s="14"/>
      <c r="O979" s="14">
        <f t="shared" si="74"/>
        <v>1E-3</v>
      </c>
      <c r="P979" s="14">
        <f t="shared" si="75"/>
        <v>1.5E-3</v>
      </c>
    </row>
    <row r="980" spans="3:16" x14ac:dyDescent="0.3">
      <c r="C980">
        <v>16</v>
      </c>
      <c r="D980" s="36">
        <v>34.57</v>
      </c>
      <c r="K980" s="14">
        <f t="shared" si="76"/>
        <v>1E-3</v>
      </c>
      <c r="L980" s="14"/>
      <c r="O980" s="14">
        <f t="shared" si="74"/>
        <v>2.0000000000000001E-4</v>
      </c>
      <c r="P980" s="14">
        <f t="shared" si="75"/>
        <v>1E-4</v>
      </c>
    </row>
    <row r="981" spans="3:16" x14ac:dyDescent="0.3">
      <c r="C981">
        <v>16</v>
      </c>
      <c r="D981" s="36">
        <v>41.29</v>
      </c>
      <c r="K981" s="14">
        <f t="shared" si="76"/>
        <v>1E-3</v>
      </c>
      <c r="L981" s="14"/>
      <c r="O981" s="14">
        <f t="shared" si="74"/>
        <v>2.0000000000000001E-4</v>
      </c>
      <c r="P981" s="14">
        <f t="shared" si="75"/>
        <v>1E-4</v>
      </c>
    </row>
    <row r="982" spans="3:16" x14ac:dyDescent="0.3">
      <c r="C982">
        <v>12</v>
      </c>
      <c r="D982" s="36">
        <v>22.92</v>
      </c>
      <c r="K982" s="14">
        <f t="shared" si="76"/>
        <v>1E-3</v>
      </c>
      <c r="L982" s="14"/>
      <c r="O982" s="14">
        <f t="shared" si="74"/>
        <v>3.0000000000000001E-3</v>
      </c>
      <c r="P982" s="14">
        <f t="shared" si="75"/>
        <v>1.5E-3</v>
      </c>
    </row>
    <row r="983" spans="3:16" x14ac:dyDescent="0.3">
      <c r="C983">
        <v>15</v>
      </c>
      <c r="D983" s="36">
        <v>26.42</v>
      </c>
      <c r="K983" s="14">
        <f t="shared" si="76"/>
        <v>1E-3</v>
      </c>
      <c r="L983" s="14"/>
      <c r="O983" s="14">
        <f t="shared" si="74"/>
        <v>4.0000000000000002E-4</v>
      </c>
      <c r="P983" s="14">
        <f t="shared" si="75"/>
        <v>7.8587786259546764E-4</v>
      </c>
    </row>
    <row r="984" spans="3:16" x14ac:dyDescent="0.3">
      <c r="C984">
        <v>12</v>
      </c>
      <c r="D984" s="36">
        <v>23.41</v>
      </c>
      <c r="K984" s="14">
        <f t="shared" si="76"/>
        <v>1E-3</v>
      </c>
      <c r="L984" s="14"/>
      <c r="O984" s="14">
        <f t="shared" si="74"/>
        <v>3.0000000000000001E-3</v>
      </c>
      <c r="P984" s="14">
        <f t="shared" si="75"/>
        <v>1.5E-3</v>
      </c>
    </row>
    <row r="985" spans="3:16" x14ac:dyDescent="0.3">
      <c r="C985">
        <v>13</v>
      </c>
      <c r="D985" s="36">
        <v>24.11</v>
      </c>
      <c r="K985" s="14">
        <f t="shared" si="76"/>
        <v>1E-3</v>
      </c>
      <c r="L985" s="14"/>
      <c r="O985" s="14">
        <f t="shared" si="74"/>
        <v>1E-3</v>
      </c>
      <c r="P985" s="14">
        <f t="shared" si="75"/>
        <v>7.8587786259546764E-4</v>
      </c>
    </row>
    <row r="986" spans="3:16" x14ac:dyDescent="0.3">
      <c r="C986">
        <v>12</v>
      </c>
      <c r="D986" s="36">
        <v>25.28</v>
      </c>
      <c r="K986" s="14">
        <f t="shared" si="76"/>
        <v>1E-3</v>
      </c>
      <c r="L986" s="14"/>
      <c r="O986" s="14">
        <f t="shared" si="74"/>
        <v>3.0000000000000001E-3</v>
      </c>
      <c r="P986" s="14">
        <f t="shared" si="75"/>
        <v>7.8587786259546764E-4</v>
      </c>
    </row>
    <row r="987" spans="3:16" x14ac:dyDescent="0.3">
      <c r="C987">
        <v>16</v>
      </c>
      <c r="D987" s="36">
        <v>31.01</v>
      </c>
      <c r="K987" s="14">
        <f t="shared" si="76"/>
        <v>1E-3</v>
      </c>
      <c r="L987" s="14"/>
      <c r="O987" s="14">
        <f t="shared" si="74"/>
        <v>2.0000000000000001E-4</v>
      </c>
      <c r="P987" s="14">
        <f t="shared" si="75"/>
        <v>4.0000000000000002E-4</v>
      </c>
    </row>
    <row r="988" spans="3:16" x14ac:dyDescent="0.3">
      <c r="C988">
        <v>15</v>
      </c>
      <c r="D988" s="36">
        <v>31.34</v>
      </c>
      <c r="K988" s="14">
        <f t="shared" si="76"/>
        <v>1E-3</v>
      </c>
      <c r="L988" s="14"/>
      <c r="O988" s="14">
        <f t="shared" si="74"/>
        <v>4.0000000000000002E-4</v>
      </c>
      <c r="P988" s="14">
        <f t="shared" si="75"/>
        <v>4.0000000000000002E-4</v>
      </c>
    </row>
    <row r="989" spans="3:16" x14ac:dyDescent="0.3">
      <c r="C989">
        <v>16</v>
      </c>
      <c r="D989" s="36">
        <v>41.55</v>
      </c>
      <c r="K989" s="14">
        <f t="shared" si="76"/>
        <v>1E-3</v>
      </c>
      <c r="L989" s="14"/>
      <c r="O989" s="14">
        <f t="shared" si="74"/>
        <v>2.0000000000000001E-4</v>
      </c>
      <c r="P989" s="14">
        <f t="shared" si="75"/>
        <v>1E-4</v>
      </c>
    </row>
    <row r="990" spans="3:16" x14ac:dyDescent="0.3">
      <c r="C990">
        <v>14</v>
      </c>
      <c r="D990" s="36">
        <v>18.48</v>
      </c>
      <c r="K990" s="14">
        <f t="shared" si="76"/>
        <v>1E-3</v>
      </c>
      <c r="L990" s="14"/>
      <c r="O990" s="14">
        <f t="shared" si="74"/>
        <v>4.7156372549026095E-4</v>
      </c>
      <c r="P990" s="14">
        <f t="shared" si="75"/>
        <v>5.0000000000000001E-3</v>
      </c>
    </row>
    <row r="991" spans="3:16" x14ac:dyDescent="0.3">
      <c r="C991">
        <v>13</v>
      </c>
      <c r="D991" s="36">
        <v>17.829999999999998</v>
      </c>
      <c r="K991" s="14">
        <f t="shared" si="76"/>
        <v>1E-3</v>
      </c>
      <c r="L991" s="14"/>
      <c r="O991" s="14">
        <f t="shared" si="74"/>
        <v>1E-3</v>
      </c>
      <c r="P991" s="14">
        <f t="shared" si="75"/>
        <v>5.0000000000000001E-3</v>
      </c>
    </row>
    <row r="992" spans="3:16" x14ac:dyDescent="0.3">
      <c r="C992">
        <v>12</v>
      </c>
      <c r="D992" s="36">
        <v>20.61</v>
      </c>
      <c r="K992" s="14">
        <f t="shared" si="76"/>
        <v>1E-3</v>
      </c>
      <c r="L992" s="14"/>
      <c r="O992" s="14">
        <f t="shared" si="74"/>
        <v>3.0000000000000001E-3</v>
      </c>
      <c r="P992" s="14">
        <f t="shared" si="75"/>
        <v>1.5E-3</v>
      </c>
    </row>
    <row r="993" spans="3:16" x14ac:dyDescent="0.3">
      <c r="C993">
        <v>14</v>
      </c>
      <c r="D993" s="36">
        <v>27.22</v>
      </c>
      <c r="K993" s="14">
        <f t="shared" si="76"/>
        <v>1E-3</v>
      </c>
      <c r="L993" s="14"/>
      <c r="O993" s="14">
        <f t="shared" si="74"/>
        <v>4.7156372549026095E-4</v>
      </c>
      <c r="P993" s="14">
        <f t="shared" si="75"/>
        <v>7.8587786259546764E-4</v>
      </c>
    </row>
    <row r="994" spans="3:16" x14ac:dyDescent="0.3">
      <c r="C994">
        <v>13</v>
      </c>
      <c r="D994" s="36">
        <v>32.71</v>
      </c>
      <c r="K994" s="14">
        <f t="shared" si="76"/>
        <v>1E-3</v>
      </c>
      <c r="L994" s="14"/>
      <c r="O994" s="14">
        <f t="shared" si="74"/>
        <v>1E-3</v>
      </c>
      <c r="P994" s="14">
        <f t="shared" si="75"/>
        <v>1E-4</v>
      </c>
    </row>
    <row r="995" spans="3:16" x14ac:dyDescent="0.3">
      <c r="C995">
        <v>15</v>
      </c>
      <c r="D995" s="36">
        <v>32.700000000000003</v>
      </c>
      <c r="K995" s="14">
        <f t="shared" si="76"/>
        <v>1E-3</v>
      </c>
      <c r="L995" s="14"/>
      <c r="O995" s="14">
        <f t="shared" si="74"/>
        <v>4.0000000000000002E-4</v>
      </c>
      <c r="P995" s="14">
        <f t="shared" si="75"/>
        <v>1E-4</v>
      </c>
    </row>
    <row r="996" spans="3:16" x14ac:dyDescent="0.3">
      <c r="C996">
        <v>16</v>
      </c>
      <c r="D996" s="36">
        <v>27.28</v>
      </c>
      <c r="K996" s="14">
        <f t="shared" si="76"/>
        <v>1E-3</v>
      </c>
      <c r="L996" s="14"/>
      <c r="O996" s="14">
        <f t="shared" si="74"/>
        <v>2.0000000000000001E-4</v>
      </c>
      <c r="P996" s="14">
        <f t="shared" si="75"/>
        <v>7.8587786259546764E-4</v>
      </c>
    </row>
    <row r="997" spans="3:16" x14ac:dyDescent="0.3">
      <c r="C997">
        <v>16</v>
      </c>
      <c r="D997" s="36">
        <v>34.630000000000003</v>
      </c>
      <c r="K997" s="14">
        <f t="shared" si="76"/>
        <v>1E-3</v>
      </c>
      <c r="L997" s="14"/>
      <c r="O997" s="14">
        <f t="shared" si="74"/>
        <v>2.0000000000000001E-4</v>
      </c>
      <c r="P997" s="14">
        <f t="shared" si="75"/>
        <v>1E-4</v>
      </c>
    </row>
    <row r="998" spans="3:16" x14ac:dyDescent="0.3">
      <c r="C998">
        <v>16</v>
      </c>
      <c r="D998" s="36">
        <v>40.85</v>
      </c>
      <c r="K998" s="14">
        <f t="shared" si="76"/>
        <v>1E-3</v>
      </c>
      <c r="L998" s="14"/>
      <c r="O998" s="14">
        <f t="shared" si="74"/>
        <v>2.0000000000000001E-4</v>
      </c>
      <c r="P998" s="14">
        <f t="shared" si="75"/>
        <v>1E-4</v>
      </c>
    </row>
    <row r="999" spans="3:16" x14ac:dyDescent="0.3">
      <c r="C999">
        <v>16</v>
      </c>
      <c r="D999" s="36">
        <v>37.68</v>
      </c>
      <c r="K999" s="14">
        <f t="shared" si="76"/>
        <v>1E-3</v>
      </c>
      <c r="L999" s="14"/>
      <c r="O999" s="14">
        <f t="shared" si="74"/>
        <v>2.0000000000000001E-4</v>
      </c>
      <c r="P999" s="14">
        <f t="shared" si="75"/>
        <v>1E-4</v>
      </c>
    </row>
    <row r="1000" spans="3:16" x14ac:dyDescent="0.3">
      <c r="C1000">
        <v>13</v>
      </c>
      <c r="D1000" s="36">
        <v>23.19</v>
      </c>
      <c r="K1000" s="14">
        <f t="shared" si="76"/>
        <v>1E-3</v>
      </c>
      <c r="L1000" s="14"/>
      <c r="O1000" s="14">
        <f t="shared" si="74"/>
        <v>1E-3</v>
      </c>
      <c r="P1000" s="14">
        <f t="shared" si="75"/>
        <v>1.5E-3</v>
      </c>
    </row>
    <row r="1001" spans="3:16" ht="15" thickBot="1" x14ac:dyDescent="0.35">
      <c r="C1001">
        <v>13</v>
      </c>
      <c r="D1001" s="36">
        <v>26.33</v>
      </c>
      <c r="K1001" s="34">
        <f t="shared" si="76"/>
        <v>1E-3</v>
      </c>
      <c r="L1001" s="44"/>
      <c r="O1001" s="34">
        <f t="shared" si="74"/>
        <v>1E-3</v>
      </c>
      <c r="P1001" s="34">
        <f t="shared" si="75"/>
        <v>7.8587786259546764E-4</v>
      </c>
    </row>
    <row r="1002" spans="3:16" ht="15" thickTop="1" x14ac:dyDescent="0.3">
      <c r="K1002" s="35">
        <f>SUM(K2:K1001)</f>
        <v>1.0000000000000007</v>
      </c>
      <c r="L1002" s="35"/>
      <c r="O1002" s="35">
        <f>SUM(O2:O1001)</f>
        <v>0.99999900000000996</v>
      </c>
      <c r="P1002" s="35">
        <f>SUM(P2:P1001)</f>
        <v>0.99999999999999722</v>
      </c>
    </row>
  </sheetData>
  <mergeCells count="4">
    <mergeCell ref="A1:B1"/>
    <mergeCell ref="L1:N1"/>
    <mergeCell ref="F1:H1"/>
    <mergeCell ref="V1:AB1"/>
  </mergeCells>
  <conditionalFormatting sqref="R2:U101">
    <cfRule type="expression" dxfId="0" priority="1" stopIfTrue="1">
      <formula>AND($S2=12,$T2=20.11)</formula>
    </cfRule>
  </conditionalFormatting>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54445" r:id="rId6" name="ButtonWLS">
              <controlPr defaultSize="0" print="0" autoFill="0" autoPict="0" macro="[0]!ShowHideWLS">
                <anchor moveWithCells="1" sizeWithCells="1">
                  <from>
                    <xdr:col>28</xdr:col>
                    <xdr:colOff>716280</xdr:colOff>
                    <xdr:row>10</xdr:row>
                    <xdr:rowOff>121920</xdr:rowOff>
                  </from>
                  <to>
                    <xdr:col>30</xdr:col>
                    <xdr:colOff>121920</xdr:colOff>
                    <xdr:row>13</xdr:row>
                    <xdr:rowOff>7620</xdr:rowOff>
                  </to>
                </anchor>
              </controlPr>
            </control>
          </mc:Choice>
        </mc:AlternateContent>
        <mc:AlternateContent xmlns:mc="http://schemas.openxmlformats.org/markup-compatibility/2006">
          <mc:Choice Requires="x14">
            <control shapeId="954458" r:id="rId7" name="ButtonOLS">
              <controlPr defaultSize="0" print="0" autoFill="0" autoPict="0" macro="[0]!ShowHideOLS">
                <anchor moveWithCells="1" sizeWithCells="1">
                  <from>
                    <xdr:col>28</xdr:col>
                    <xdr:colOff>693420</xdr:colOff>
                    <xdr:row>7</xdr:row>
                    <xdr:rowOff>167640</xdr:rowOff>
                  </from>
                  <to>
                    <xdr:col>30</xdr:col>
                    <xdr:colOff>83820</xdr:colOff>
                    <xdr:row>10</xdr:row>
                    <xdr:rowOff>30480</xdr:rowOff>
                  </to>
                </anchor>
              </controlPr>
            </control>
          </mc:Choice>
        </mc:AlternateContent>
        <mc:AlternateContent xmlns:mc="http://schemas.openxmlformats.org/markup-compatibility/2006">
          <mc:Choice Requires="x14">
            <control shapeId="954481" r:id="rId8" name="Button 113">
              <controlPr defaultSize="0" print="0" autoFill="0" autoPict="0" macro="[0]!Refresh">
                <anchor moveWithCells="1" sizeWithCells="1">
                  <from>
                    <xdr:col>25</xdr:col>
                    <xdr:colOff>594360</xdr:colOff>
                    <xdr:row>15</xdr:row>
                    <xdr:rowOff>182880</xdr:rowOff>
                  </from>
                  <to>
                    <xdr:col>26</xdr:col>
                    <xdr:colOff>685800</xdr:colOff>
                    <xdr:row>17</xdr:row>
                    <xdr:rowOff>121920</xdr:rowOff>
                  </to>
                </anchor>
              </controlPr>
            </control>
          </mc:Choice>
        </mc:AlternateContent>
        <mc:AlternateContent xmlns:mc="http://schemas.openxmlformats.org/markup-compatibility/2006">
          <mc:Choice Requires="x14">
            <control shapeId="954566" r:id="rId9" name="Group Box 198">
              <controlPr defaultSize="0" autoFill="0" autoPict="0">
                <anchor moveWithCells="1" sizeWithCells="1">
                  <from>
                    <xdr:col>26</xdr:col>
                    <xdr:colOff>0</xdr:colOff>
                    <xdr:row>23</xdr:row>
                    <xdr:rowOff>0</xdr:rowOff>
                  </from>
                  <to>
                    <xdr:col>28</xdr:col>
                    <xdr:colOff>0</xdr:colOff>
                    <xdr:row>29</xdr:row>
                    <xdr:rowOff>0</xdr:rowOff>
                  </to>
                </anchor>
              </controlPr>
            </control>
          </mc:Choice>
        </mc:AlternateContent>
        <mc:AlternateContent xmlns:mc="http://schemas.openxmlformats.org/markup-compatibility/2006">
          <mc:Choice Requires="x14">
            <control shapeId="954567" r:id="rId10" name="Option Button 199">
              <controlPr defaultSize="0" autoFill="0" autoLine="0" autoPict="0" macro="[0]!SetProb">
                <anchor moveWithCells="1" sizeWithCells="1">
                  <from>
                    <xdr:col>26</xdr:col>
                    <xdr:colOff>38100</xdr:colOff>
                    <xdr:row>24</xdr:row>
                    <xdr:rowOff>7620</xdr:rowOff>
                  </from>
                  <to>
                    <xdr:col>28</xdr:col>
                    <xdr:colOff>0</xdr:colOff>
                    <xdr:row>25</xdr:row>
                    <xdr:rowOff>129540</xdr:rowOff>
                  </to>
                </anchor>
              </controlPr>
            </control>
          </mc:Choice>
        </mc:AlternateContent>
        <mc:AlternateContent xmlns:mc="http://schemas.openxmlformats.org/markup-compatibility/2006">
          <mc:Choice Requires="x14">
            <control shapeId="954568" r:id="rId11" name="Option Button 200">
              <controlPr defaultSize="0" autoFill="0" autoLine="0" autoPict="0" macro="[0]!SetProb">
                <anchor moveWithCells="1" sizeWithCells="1">
                  <from>
                    <xdr:col>26</xdr:col>
                    <xdr:colOff>38100</xdr:colOff>
                    <xdr:row>25</xdr:row>
                    <xdr:rowOff>121920</xdr:rowOff>
                  </from>
                  <to>
                    <xdr:col>27</xdr:col>
                    <xdr:colOff>754380</xdr:colOff>
                    <xdr:row>27</xdr:row>
                    <xdr:rowOff>76200</xdr:rowOff>
                  </to>
                </anchor>
              </controlPr>
            </control>
          </mc:Choice>
        </mc:AlternateContent>
        <mc:AlternateContent xmlns:mc="http://schemas.openxmlformats.org/markup-compatibility/2006">
          <mc:Choice Requires="x14">
            <control shapeId="954569" r:id="rId12" name="Option Button 201">
              <controlPr defaultSize="0" autoFill="0" autoLine="0" autoPict="0" macro="[0]!SetProb">
                <anchor moveWithCells="1" sizeWithCells="1">
                  <from>
                    <xdr:col>26</xdr:col>
                    <xdr:colOff>38100</xdr:colOff>
                    <xdr:row>27</xdr:row>
                    <xdr:rowOff>60960</xdr:rowOff>
                  </from>
                  <to>
                    <xdr:col>27</xdr:col>
                    <xdr:colOff>754380</xdr:colOff>
                    <xdr:row>29</xdr:row>
                    <xdr:rowOff>0</xdr:rowOff>
                  </to>
                </anchor>
              </controlPr>
            </control>
          </mc:Choice>
        </mc:AlternateContent>
        <mc:AlternateContent xmlns:mc="http://schemas.openxmlformats.org/markup-compatibility/2006">
          <mc:Choice Requires="x14">
            <control shapeId="954797" r:id="rId13" name="Button 429">
              <controlPr defaultSize="0" print="0" autoFill="0" autoPict="0" macro="[1]!ShowMCForm">
                <anchor moveWithCells="1" sizeWithCells="1">
                  <from>
                    <xdr:col>28</xdr:col>
                    <xdr:colOff>708660</xdr:colOff>
                    <xdr:row>13</xdr:row>
                    <xdr:rowOff>129540</xdr:rowOff>
                  </from>
                  <to>
                    <xdr:col>30</xdr:col>
                    <xdr:colOff>99060</xdr:colOff>
                    <xdr:row>16</xdr:row>
                    <xdr:rowOff>22860</xdr:rowOff>
                  </to>
                </anchor>
              </controlPr>
            </control>
          </mc:Choice>
        </mc:AlternateContent>
        <mc:AlternateContent xmlns:mc="http://schemas.openxmlformats.org/markup-compatibility/2006">
          <mc:Choice Requires="x14">
            <control shapeId="954974" r:id="rId14" name="Button9thObs">
              <controlPr defaultSize="0" print="0" autoFill="0" autoPict="0" macro="[0]!ShowHide9thObs">
                <anchor moveWithCells="1" sizeWithCells="1">
                  <from>
                    <xdr:col>13</xdr:col>
                    <xdr:colOff>510540</xdr:colOff>
                    <xdr:row>8</xdr:row>
                    <xdr:rowOff>144780</xdr:rowOff>
                  </from>
                  <to>
                    <xdr:col>14</xdr:col>
                    <xdr:colOff>198120</xdr:colOff>
                    <xdr:row>11</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O33"/>
  <sheetViews>
    <sheetView showGridLines="0" workbookViewId="0">
      <selection activeCell="O1" sqref="O1"/>
    </sheetView>
  </sheetViews>
  <sheetFormatPr defaultRowHeight="14.4" x14ac:dyDescent="0.3"/>
  <sheetData>
    <row r="33" spans="15:15" x14ac:dyDescent="0.3">
      <c r="O33" t="s">
        <v>139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T51"/>
  <sheetViews>
    <sheetView showGridLines="0" workbookViewId="0">
      <selection activeCell="A2" sqref="A2"/>
    </sheetView>
  </sheetViews>
  <sheetFormatPr defaultColWidth="9.21875" defaultRowHeight="14.4" x14ac:dyDescent="0.3"/>
  <cols>
    <col min="1" max="1" width="9.21875" style="125"/>
    <col min="2" max="2" width="39.77734375" style="125" customWidth="1"/>
    <col min="3" max="16384" width="9.21875" style="125"/>
  </cols>
  <sheetData>
    <row r="1" spans="1:20" x14ac:dyDescent="0.3">
      <c r="A1" s="12" t="s">
        <v>124</v>
      </c>
      <c r="I1" s="53" t="s">
        <v>125</v>
      </c>
      <c r="L1" s="125" t="s">
        <v>98</v>
      </c>
    </row>
    <row r="2" spans="1:20" x14ac:dyDescent="0.3">
      <c r="L2" s="125" t="s">
        <v>79</v>
      </c>
    </row>
    <row r="3" spans="1:20" x14ac:dyDescent="0.3">
      <c r="A3" s="125" t="s">
        <v>52</v>
      </c>
      <c r="L3" s="125" t="s">
        <v>82</v>
      </c>
    </row>
    <row r="4" spans="1:20" x14ac:dyDescent="0.3">
      <c r="L4" s="125" t="s">
        <v>85</v>
      </c>
    </row>
    <row r="5" spans="1:20" x14ac:dyDescent="0.3">
      <c r="I5" s="12" t="s">
        <v>80</v>
      </c>
    </row>
    <row r="6" spans="1:20" x14ac:dyDescent="0.3">
      <c r="A6" s="125" t="s">
        <v>51</v>
      </c>
      <c r="I6" s="12" t="s">
        <v>81</v>
      </c>
    </row>
    <row r="7" spans="1:20" x14ac:dyDescent="0.3">
      <c r="B7" s="131">
        <f ca="1">RAND()</f>
        <v>0.2113526450568064</v>
      </c>
      <c r="C7" s="12" t="s">
        <v>33</v>
      </c>
      <c r="E7" s="125" t="s">
        <v>37</v>
      </c>
      <c r="G7" s="126" t="s">
        <v>16</v>
      </c>
      <c r="I7" s="125" t="s">
        <v>40</v>
      </c>
      <c r="M7" s="125" t="s">
        <v>41</v>
      </c>
      <c r="R7" s="125" t="s">
        <v>60</v>
      </c>
    </row>
    <row r="8" spans="1:20" x14ac:dyDescent="0.3">
      <c r="B8" s="125" t="s">
        <v>53</v>
      </c>
      <c r="E8" s="126" t="s">
        <v>38</v>
      </c>
      <c r="F8" s="126" t="s">
        <v>39</v>
      </c>
      <c r="G8" s="126" t="s">
        <v>97</v>
      </c>
      <c r="H8" s="126"/>
      <c r="I8" s="126" t="s">
        <v>16</v>
      </c>
      <c r="J8" s="126" t="s">
        <v>38</v>
      </c>
      <c r="K8" s="126" t="s">
        <v>39</v>
      </c>
      <c r="L8" s="126"/>
      <c r="M8" s="126" t="s">
        <v>16</v>
      </c>
      <c r="N8" s="126" t="s">
        <v>38</v>
      </c>
      <c r="O8" s="126" t="s">
        <v>39</v>
      </c>
      <c r="R8" s="126" t="s">
        <v>16</v>
      </c>
      <c r="S8" s="126" t="s">
        <v>38</v>
      </c>
      <c r="T8" s="126" t="s">
        <v>39</v>
      </c>
    </row>
    <row r="9" spans="1:20" x14ac:dyDescent="0.3">
      <c r="B9" s="125" t="s">
        <v>54</v>
      </c>
      <c r="E9" s="126">
        <v>10</v>
      </c>
      <c r="F9" s="126">
        <v>56</v>
      </c>
      <c r="G9" s="126">
        <v>0.4</v>
      </c>
      <c r="I9" s="126">
        <f t="array" aca="1" ref="I9:K10" ca="1">[1]!sample(E9:F12,G9:G12,2,1)</f>
        <v>0.3</v>
      </c>
      <c r="J9" s="126">
        <f ca="1"/>
        <v>10.3</v>
      </c>
      <c r="K9" s="126">
        <f ca="1"/>
        <v>57</v>
      </c>
      <c r="M9" s="126">
        <f t="array" aca="1" ref="M9:O10" ca="1">[1]!sample(E9:F12,G9:G12,2,0)</f>
        <v>0.2</v>
      </c>
      <c r="N9" s="126">
        <f ca="1"/>
        <v>9.9</v>
      </c>
      <c r="O9" s="126">
        <f ca="1"/>
        <v>58</v>
      </c>
      <c r="R9" s="126">
        <f t="array" aca="1" ref="R9:T11" ca="1">[1]!sample(E9:F12,G9:G12,3,0)</f>
        <v>0.3</v>
      </c>
      <c r="S9" s="126">
        <f ca="1"/>
        <v>10.3</v>
      </c>
      <c r="T9" s="126">
        <f ca="1"/>
        <v>57</v>
      </c>
    </row>
    <row r="10" spans="1:20" x14ac:dyDescent="0.3">
      <c r="E10" s="126">
        <v>10.3</v>
      </c>
      <c r="F10" s="126">
        <v>57</v>
      </c>
      <c r="G10" s="126">
        <v>0.3</v>
      </c>
      <c r="I10" s="126">
        <f ca="1"/>
        <v>0.3</v>
      </c>
      <c r="J10" s="126">
        <f ca="1"/>
        <v>10.3</v>
      </c>
      <c r="K10" s="126">
        <f ca="1"/>
        <v>57</v>
      </c>
      <c r="M10" s="126">
        <f ca="1"/>
        <v>0.4</v>
      </c>
      <c r="N10" s="126">
        <f ca="1"/>
        <v>10</v>
      </c>
      <c r="O10" s="126">
        <f ca="1"/>
        <v>56</v>
      </c>
      <c r="R10" s="126">
        <f ca="1"/>
        <v>0.2</v>
      </c>
      <c r="S10" s="126">
        <f ca="1"/>
        <v>9.9</v>
      </c>
      <c r="T10" s="126">
        <f ca="1"/>
        <v>58</v>
      </c>
    </row>
    <row r="11" spans="1:20" x14ac:dyDescent="0.3">
      <c r="E11" s="126">
        <v>9.9</v>
      </c>
      <c r="F11" s="126">
        <v>58</v>
      </c>
      <c r="G11" s="126">
        <v>0.2</v>
      </c>
      <c r="R11" s="126">
        <f ca="1"/>
        <v>0.4</v>
      </c>
      <c r="S11" s="126">
        <f ca="1"/>
        <v>10</v>
      </c>
      <c r="T11" s="126">
        <f ca="1"/>
        <v>56</v>
      </c>
    </row>
    <row r="12" spans="1:20" ht="15" thickBot="1" x14ac:dyDescent="0.35">
      <c r="E12" s="126">
        <v>10.199999999999999</v>
      </c>
      <c r="F12" s="126">
        <v>58</v>
      </c>
      <c r="G12" s="127">
        <v>0.1</v>
      </c>
      <c r="I12" s="125" t="s">
        <v>42</v>
      </c>
      <c r="M12" s="125" t="s">
        <v>42</v>
      </c>
      <c r="R12" s="125" t="s">
        <v>42</v>
      </c>
    </row>
    <row r="13" spans="1:20" ht="15" thickTop="1" x14ac:dyDescent="0.3">
      <c r="G13" s="128">
        <f>SUM(G9:G12)</f>
        <v>0.99999999999999989</v>
      </c>
      <c r="I13" s="125">
        <f ca="1">IF(OR(I9=0.4,I10=0.4),1,0)</f>
        <v>0</v>
      </c>
      <c r="M13" s="125">
        <f ca="1">IF(OR(M9=0.4,M10=0.4),1,0)</f>
        <v>1</v>
      </c>
      <c r="R13" s="125">
        <f ca="1">IF(OR(R9=0.4,R10=0.4,R11=0.4),1,0)</f>
        <v>1</v>
      </c>
    </row>
    <row r="14" spans="1:20" x14ac:dyDescent="0.3">
      <c r="G14" s="126" t="s">
        <v>94</v>
      </c>
      <c r="M14" s="53" t="s">
        <v>123</v>
      </c>
    </row>
    <row r="15" spans="1:20" x14ac:dyDescent="0.3">
      <c r="M15" s="125" t="s">
        <v>111</v>
      </c>
    </row>
    <row r="16" spans="1:20" x14ac:dyDescent="0.3">
      <c r="M16" t="s">
        <v>126</v>
      </c>
    </row>
    <row r="17" spans="1:17" ht="15" thickBot="1" x14ac:dyDescent="0.35">
      <c r="M17" s="125" t="s">
        <v>59</v>
      </c>
    </row>
    <row r="18" spans="1:17" x14ac:dyDescent="0.3">
      <c r="A18" s="53" t="s">
        <v>133</v>
      </c>
      <c r="M18" s="202" t="s">
        <v>56</v>
      </c>
      <c r="N18" s="203"/>
      <c r="O18" s="204" t="s">
        <v>57</v>
      </c>
      <c r="P18" s="205"/>
    </row>
    <row r="19" spans="1:17" x14ac:dyDescent="0.3">
      <c r="M19" s="132" t="s">
        <v>0</v>
      </c>
      <c r="N19" s="133">
        <v>0.63739999999999997</v>
      </c>
      <c r="O19" s="134" t="s">
        <v>0</v>
      </c>
      <c r="P19" s="135">
        <v>0.72140000000000004</v>
      </c>
      <c r="Q19" s="129" t="s">
        <v>84</v>
      </c>
    </row>
    <row r="20" spans="1:17" x14ac:dyDescent="0.3">
      <c r="M20" s="132" t="s">
        <v>1</v>
      </c>
      <c r="N20" s="136">
        <v>0.48077474396586284</v>
      </c>
      <c r="O20" s="134" t="s">
        <v>1</v>
      </c>
      <c r="P20" s="137">
        <v>0.44833262229512755</v>
      </c>
    </row>
    <row r="21" spans="1:17" x14ac:dyDescent="0.3">
      <c r="I21" s="154"/>
      <c r="M21" s="132" t="s">
        <v>2</v>
      </c>
      <c r="N21" s="133">
        <v>1</v>
      </c>
      <c r="O21" s="134" t="s">
        <v>2</v>
      </c>
      <c r="P21" s="135">
        <v>1</v>
      </c>
    </row>
    <row r="22" spans="1:17" ht="15" thickBot="1" x14ac:dyDescent="0.35">
      <c r="M22" s="138" t="s">
        <v>3</v>
      </c>
      <c r="N22" s="139">
        <v>0</v>
      </c>
      <c r="O22" s="140" t="s">
        <v>3</v>
      </c>
      <c r="P22" s="141">
        <v>0</v>
      </c>
    </row>
    <row r="23" spans="1:17" x14ac:dyDescent="0.3">
      <c r="M23" s="125" t="s">
        <v>117</v>
      </c>
    </row>
    <row r="24" spans="1:17" x14ac:dyDescent="0.3">
      <c r="M24" s="125">
        <f>1-0.6*0.6</f>
        <v>0.64</v>
      </c>
      <c r="N24" s="129" t="s">
        <v>62</v>
      </c>
    </row>
    <row r="25" spans="1:17" x14ac:dyDescent="0.3">
      <c r="M25" s="142" t="s">
        <v>68</v>
      </c>
    </row>
    <row r="26" spans="1:17" x14ac:dyDescent="0.3">
      <c r="M26" s="125" t="s">
        <v>61</v>
      </c>
    </row>
    <row r="27" spans="1:17" x14ac:dyDescent="0.3">
      <c r="M27" s="125">
        <v>0.4</v>
      </c>
      <c r="N27" s="125" t="s">
        <v>63</v>
      </c>
    </row>
    <row r="28" spans="1:17" x14ac:dyDescent="0.3">
      <c r="M28" s="125">
        <f>0.3*(0.4/0.7)</f>
        <v>0.17142857142857146</v>
      </c>
      <c r="N28" s="125" t="s">
        <v>64</v>
      </c>
    </row>
    <row r="29" spans="1:17" x14ac:dyDescent="0.3">
      <c r="M29" s="125">
        <f>0.2*(0.4/0.8)</f>
        <v>0.1</v>
      </c>
      <c r="N29" s="125" t="s">
        <v>65</v>
      </c>
    </row>
    <row r="30" spans="1:17" ht="15" thickBot="1" x14ac:dyDescent="0.35">
      <c r="M30" s="130">
        <f>0.1*(0.4/0.9)</f>
        <v>4.4444444444444453E-2</v>
      </c>
      <c r="N30" s="125" t="s">
        <v>66</v>
      </c>
    </row>
    <row r="31" spans="1:17" ht="15" thickTop="1" x14ac:dyDescent="0.3">
      <c r="M31" s="125">
        <f>SUM(M27:M30)</f>
        <v>0.71587301587301599</v>
      </c>
    </row>
    <row r="32" spans="1:17" x14ac:dyDescent="0.3">
      <c r="M32" s="143" t="s">
        <v>67</v>
      </c>
    </row>
    <row r="34" spans="1:16" ht="15" thickBot="1" x14ac:dyDescent="0.35">
      <c r="M34" s="125" t="s">
        <v>69</v>
      </c>
    </row>
    <row r="35" spans="1:16" ht="15" thickBot="1" x14ac:dyDescent="0.35">
      <c r="M35" s="206" t="s">
        <v>58</v>
      </c>
      <c r="N35" s="207"/>
      <c r="O35" s="208"/>
    </row>
    <row r="36" spans="1:16" x14ac:dyDescent="0.3">
      <c r="M36" s="144" t="s">
        <v>0</v>
      </c>
      <c r="N36" s="145">
        <v>0.92320000000000002</v>
      </c>
      <c r="O36" s="146"/>
      <c r="P36" s="129" t="s">
        <v>83</v>
      </c>
    </row>
    <row r="37" spans="1:16" x14ac:dyDescent="0.3">
      <c r="M37" s="147" t="s">
        <v>1</v>
      </c>
      <c r="N37" s="148">
        <v>0.26628715869355268</v>
      </c>
      <c r="O37" s="146"/>
    </row>
    <row r="38" spans="1:16" x14ac:dyDescent="0.3">
      <c r="M38" s="147" t="s">
        <v>2</v>
      </c>
      <c r="N38" s="149">
        <v>1</v>
      </c>
      <c r="O38" s="146"/>
    </row>
    <row r="39" spans="1:16" ht="15" thickBot="1" x14ac:dyDescent="0.35">
      <c r="M39" s="150" t="s">
        <v>3</v>
      </c>
      <c r="N39" s="151">
        <v>0</v>
      </c>
      <c r="O39" s="152"/>
    </row>
    <row r="40" spans="1:16" x14ac:dyDescent="0.3">
      <c r="M40" s="153" t="s">
        <v>70</v>
      </c>
    </row>
    <row r="41" spans="1:16" x14ac:dyDescent="0.3">
      <c r="M41" s="153">
        <f>0.7+2/9</f>
        <v>0.92222222222222217</v>
      </c>
    </row>
    <row r="42" spans="1:16" x14ac:dyDescent="0.3">
      <c r="M42" s="153" t="s">
        <v>71</v>
      </c>
    </row>
    <row r="43" spans="1:16" x14ac:dyDescent="0.3">
      <c r="M43" s="153" t="s">
        <v>117</v>
      </c>
    </row>
    <row r="44" spans="1:16" ht="16.2" x14ac:dyDescent="0.3">
      <c r="A44" s="125" t="s">
        <v>55</v>
      </c>
      <c r="M44" s="125">
        <f>1-0.6^3</f>
        <v>0.78400000000000003</v>
      </c>
      <c r="N44" s="129" t="s">
        <v>116</v>
      </c>
    </row>
    <row r="45" spans="1:16" x14ac:dyDescent="0.3">
      <c r="A45" s="125" t="s">
        <v>86</v>
      </c>
      <c r="M45" s="153" t="s">
        <v>118</v>
      </c>
    </row>
    <row r="46" spans="1:16" x14ac:dyDescent="0.3">
      <c r="B46" s="52" t="s">
        <v>49</v>
      </c>
      <c r="M46" s="153" t="s">
        <v>119</v>
      </c>
    </row>
    <row r="47" spans="1:16" x14ac:dyDescent="0.3">
      <c r="M47" s="153" t="s">
        <v>120</v>
      </c>
    </row>
    <row r="48" spans="1:16" x14ac:dyDescent="0.3">
      <c r="M48" s="153" t="s">
        <v>121</v>
      </c>
    </row>
    <row r="49" spans="13:15" x14ac:dyDescent="0.3">
      <c r="M49" s="153" t="s">
        <v>122</v>
      </c>
    </row>
    <row r="50" spans="13:15" x14ac:dyDescent="0.3">
      <c r="M50" s="153" t="s">
        <v>128</v>
      </c>
    </row>
    <row r="51" spans="13:15" x14ac:dyDescent="0.3">
      <c r="M51" s="43" t="s">
        <v>127</v>
      </c>
      <c r="N51" s="43"/>
      <c r="O51" s="43"/>
    </row>
  </sheetData>
  <mergeCells count="3">
    <mergeCell ref="M18:N18"/>
    <mergeCell ref="O18:P18"/>
    <mergeCell ref="M35:O35"/>
  </mergeCells>
  <hyperlinks>
    <hyperlink ref="M51:O51" r:id="rId1" display="www.depauw.edu/learn/stata" xr:uid="{00000000-0004-0000-0500-00000000000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5270" r:id="rId4" name="ButtonOLS">
              <controlPr defaultSize="0" print="0" autoFill="0" autoPict="0" macro="[1]!ShowMCForm">
                <anchor moveWithCells="1" sizeWithCells="1">
                  <from>
                    <xdr:col>10</xdr:col>
                    <xdr:colOff>556260</xdr:colOff>
                    <xdr:row>13</xdr:row>
                    <xdr:rowOff>121920</xdr:rowOff>
                  </from>
                  <to>
                    <xdr:col>11</xdr:col>
                    <xdr:colOff>731520</xdr:colOff>
                    <xdr:row>15</xdr:row>
                    <xdr:rowOff>121920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OneVarMCSim</vt:lpstr>
      <vt:lpstr>TwoVarMCSim</vt:lpstr>
      <vt:lpstr>Intro</vt:lpstr>
      <vt:lpstr>ChatGPT</vt:lpstr>
      <vt:lpstr>DGP</vt:lpstr>
      <vt:lpstr>Doc</vt:lpstr>
      <vt:lpstr>SampleFn</vt:lpstr>
      <vt:lpstr>SD</vt:lpstr>
      <vt:lpstr>slope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hb</dc:creator>
  <cp:lastModifiedBy>Humberto Barreto</cp:lastModifiedBy>
  <dcterms:created xsi:type="dcterms:W3CDTF">2010-03-24T13:28:11Z</dcterms:created>
  <dcterms:modified xsi:type="dcterms:W3CDTF">2026-04-27T13:14:35Z</dcterms:modified>
</cp:coreProperties>
</file>