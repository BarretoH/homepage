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DePauwCoursesTeaching\BUS305\Exams\S2025\"/>
    </mc:Choice>
  </mc:AlternateContent>
  <xr:revisionPtr revIDLastSave="0" documentId="13_ncr:1_{9D71608A-21C1-4D26-A7E2-3F97A90D619C}" xr6:coauthVersionLast="36" xr6:coauthVersionMax="36" xr10:uidLastSave="{00000000-0000-0000-0000-000000000000}"/>
  <bookViews>
    <workbookView xWindow="0" yWindow="0" windowWidth="20496" windowHeight="7308" xr2:uid="{00000000-000D-0000-FFFF-FFFF00000000}"/>
  </bookViews>
  <sheets>
    <sheet name="MCSim8" sheetId="89" r:id="rId1"/>
    <sheet name="Live" sheetId="6" r:id="rId2"/>
    <sheet name="MCSim7" sheetId="87" r:id="rId3"/>
    <sheet name="Dead" sheetId="19" r:id="rId4"/>
    <sheet name="Q1" sheetId="76" r:id="rId5"/>
    <sheet name="Q3" sheetId="70" r:id="rId6"/>
    <sheet name="Q6" sheetId="78" r:id="rId7"/>
    <sheet name="Q8" sheetId="84" r:id="rId8"/>
  </sheets>
  <functionGroups builtInGroupCount="19"/>
  <definedNames>
    <definedName name="alpha" localSheetId="3">Dead!$D$8</definedName>
    <definedName name="alpha">Live!$D$8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87" l="1"/>
  <c r="C28" i="19"/>
  <c r="C27" i="19"/>
  <c r="K2" i="70"/>
  <c r="G5" i="19" l="1"/>
  <c r="C12" i="6" l="1"/>
  <c r="E12" i="6" s="1"/>
  <c r="D12" i="6"/>
  <c r="C13" i="6"/>
  <c r="E13" i="6" s="1"/>
  <c r="D13" i="6"/>
  <c r="C14" i="6"/>
  <c r="E14" i="6" s="1"/>
  <c r="D14" i="6"/>
  <c r="C15" i="6"/>
  <c r="E15" i="6" s="1"/>
  <c r="D15" i="6"/>
  <c r="D11" i="6"/>
  <c r="C11" i="6"/>
  <c r="E12" i="19"/>
  <c r="E13" i="19"/>
  <c r="E14" i="19"/>
  <c r="E15" i="19"/>
  <c r="E11" i="19"/>
  <c r="E11" i="6" l="1"/>
  <c r="F15" i="19"/>
  <c r="F13" i="19"/>
  <c r="C21" i="19" a="1"/>
  <c r="D22" i="19" s="1"/>
  <c r="F14" i="19"/>
  <c r="D17" i="19"/>
  <c r="F12" i="19"/>
  <c r="F11" i="19"/>
  <c r="K2" i="19" a="1"/>
  <c r="N2" i="19" a="1"/>
  <c r="D17" i="6" l="1"/>
  <c r="H11" i="19" a="1"/>
  <c r="H11" i="19" s="1"/>
  <c r="O2" i="19"/>
  <c r="O4" i="19"/>
  <c r="O6" i="19"/>
  <c r="O8" i="19"/>
  <c r="Q4" i="19"/>
  <c r="Q6" i="19"/>
  <c r="N3" i="19"/>
  <c r="N5" i="19"/>
  <c r="O5" i="19"/>
  <c r="P3" i="19"/>
  <c r="P7" i="19"/>
  <c r="P2" i="19"/>
  <c r="P4" i="19"/>
  <c r="P6" i="19"/>
  <c r="P8" i="19"/>
  <c r="Q2" i="19"/>
  <c r="Q8" i="19"/>
  <c r="N7" i="19"/>
  <c r="O3" i="19"/>
  <c r="O7" i="19"/>
  <c r="P5" i="19"/>
  <c r="Q3" i="19"/>
  <c r="Q5" i="19"/>
  <c r="Q7" i="19"/>
  <c r="N2" i="19"/>
  <c r="N4" i="19"/>
  <c r="N6" i="19"/>
  <c r="N8" i="19"/>
  <c r="K2" i="19"/>
  <c r="K3" i="19"/>
  <c r="K4" i="19"/>
  <c r="H3" i="19" a="1"/>
  <c r="I3" i="19" s="1"/>
  <c r="C24" i="19"/>
  <c r="D24" i="19"/>
  <c r="C25" i="19"/>
  <c r="C22" i="19"/>
  <c r="C21" i="19"/>
  <c r="D18" i="19"/>
  <c r="C23" i="19"/>
  <c r="D21" i="19"/>
  <c r="D23" i="19"/>
  <c r="D25" i="19"/>
  <c r="L14" i="19"/>
  <c r="L13" i="19"/>
  <c r="N11" i="19" a="1"/>
  <c r="L11" i="19"/>
  <c r="L15" i="19"/>
  <c r="L12" i="19"/>
  <c r="H23" i="19" l="1"/>
  <c r="H22" i="19"/>
  <c r="J14" i="19"/>
  <c r="I13" i="19"/>
  <c r="J15" i="19"/>
  <c r="H12" i="19"/>
  <c r="H13" i="19"/>
  <c r="I14" i="19"/>
  <c r="J11" i="19"/>
  <c r="I15" i="19"/>
  <c r="H14" i="19"/>
  <c r="H18" i="19" s="1"/>
  <c r="H19" i="19" s="1"/>
  <c r="J12" i="19"/>
  <c r="I11" i="19"/>
  <c r="H15" i="19"/>
  <c r="J13" i="19"/>
  <c r="I12" i="19"/>
  <c r="H7" i="19"/>
  <c r="I6" i="19"/>
  <c r="H6" i="19"/>
  <c r="I5" i="19"/>
  <c r="G4" i="19" s="1"/>
  <c r="H5" i="19"/>
  <c r="I4" i="19"/>
  <c r="H4" i="19"/>
  <c r="I7" i="19"/>
  <c r="H3" i="19"/>
  <c r="L17" i="19"/>
  <c r="N12" i="19"/>
  <c r="O15" i="19"/>
  <c r="O11" i="19"/>
  <c r="N15" i="19"/>
  <c r="N11" i="19"/>
  <c r="N13" i="19"/>
  <c r="O14" i="19"/>
  <c r="N14" i="19"/>
  <c r="O13" i="19"/>
  <c r="O12" i="19"/>
  <c r="F13" i="6"/>
  <c r="F14" i="6"/>
  <c r="F12" i="6"/>
  <c r="F15" i="6"/>
  <c r="F11" i="6"/>
  <c r="H3" i="6" l="1" a="1"/>
  <c r="P22" i="19"/>
  <c r="P23" i="19"/>
  <c r="I7" i="6" l="1"/>
  <c r="I3" i="6"/>
  <c r="H7" i="6"/>
  <c r="H3" i="6"/>
  <c r="I6" i="6"/>
  <c r="H6" i="6"/>
  <c r="H5" i="6"/>
  <c r="I4" i="6"/>
  <c r="H4" i="6"/>
  <c r="I5" i="6"/>
  <c r="P24" i="19"/>
  <c r="P25" i="19" s="1"/>
</calcChain>
</file>

<file path=xl/sharedStrings.xml><?xml version="1.0" encoding="utf-8"?>
<sst xmlns="http://schemas.openxmlformats.org/spreadsheetml/2006/main" count="157" uniqueCount="56">
  <si>
    <t>beta0</t>
  </si>
  <si>
    <t>beta1</t>
  </si>
  <si>
    <t>beta2</t>
  </si>
  <si>
    <t>SD errors</t>
  </si>
  <si>
    <t>X1</t>
  </si>
  <si>
    <t>X2</t>
  </si>
  <si>
    <t>epsilon</t>
  </si>
  <si>
    <t>Y</t>
  </si>
  <si>
    <t>Intercept</t>
  </si>
  <si>
    <t>alpha</t>
  </si>
  <si>
    <t>Reject at 5% level</t>
  </si>
  <si>
    <t>r</t>
  </si>
  <si>
    <t>r^2</t>
  </si>
  <si>
    <t>Pred X1 = b0 + b1X2</t>
  </si>
  <si>
    <t>Parameters</t>
  </si>
  <si>
    <t>F stat numerator</t>
  </si>
  <si>
    <t>F stat denominator</t>
  </si>
  <si>
    <t>F stat</t>
  </si>
  <si>
    <t>(Yi - avg Y)^2</t>
  </si>
  <si>
    <t>Pred Y = b0</t>
  </si>
  <si>
    <t>Whole-model F stat</t>
  </si>
  <si>
    <t>Whole Model F P-value</t>
  </si>
  <si>
    <t>Results of Monte Carlo Simulation</t>
  </si>
  <si>
    <t>Sample Number</t>
  </si>
  <si>
    <t>Simulation Stats</t>
  </si>
  <si>
    <t>repetitions</t>
  </si>
  <si>
    <t>seconds</t>
  </si>
  <si>
    <t>Summary Statistics</t>
  </si>
  <si>
    <t>Notes</t>
  </si>
  <si>
    <t>Average</t>
  </si>
  <si>
    <t>SD</t>
  </si>
  <si>
    <t>Max</t>
  </si>
  <si>
    <t>Min</t>
  </si>
  <si>
    <t>Only the first 100 repetitions are displayed on this worksheet.</t>
  </si>
  <si>
    <t>$H$3</t>
  </si>
  <si>
    <t>secs</t>
  </si>
  <si>
    <t>Dead!$H$4</t>
  </si>
  <si>
    <t>exact SE of b1</t>
  </si>
  <si>
    <t>Pred Y = b0 + b1 X1 + b2X2</t>
  </si>
  <si>
    <t>Pred Y = b0 + b1X1</t>
  </si>
  <si>
    <t>Exact SE of b1</t>
  </si>
  <si>
    <t>Exact SE of b2</t>
  </si>
  <si>
    <t>$H$19</t>
  </si>
  <si>
    <t>OLS</t>
  </si>
  <si>
    <t>OLSREG Function</t>
  </si>
  <si>
    <t>LMS Function</t>
  </si>
  <si>
    <t>b0</t>
  </si>
  <si>
    <t>b1</t>
  </si>
  <si>
    <t>MinMedSR</t>
  </si>
  <si>
    <t>Dead!$K$3</t>
  </si>
  <si>
    <t>Y on X1 and X2 Exact SEs</t>
  </si>
  <si>
    <t>Same fill color means cells values are equal.</t>
  </si>
  <si>
    <t>Whole Model F P Value</t>
  </si>
  <si>
    <t>estimated SE of b1</t>
  </si>
  <si>
    <t>THERE IS HET</t>
  </si>
  <si>
    <t>miss by est 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</si>
</sst>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%"/>
  </numFmts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0"/>
      <name val="Arial"/>
      <family val="2"/>
    </font>
    <font>
      <sz val="24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b/>
      <sz val="12"/>
      <color indexed="56"/>
      <name val="Times New Roman"/>
      <family val="1"/>
    </font>
    <font>
      <b/>
      <sz val="12"/>
      <color indexed="10"/>
      <name val="Times New Roman"/>
      <family val="1"/>
    </font>
    <font>
      <sz val="12"/>
      <color indexed="10"/>
      <name val="Times New Roman"/>
      <family val="1"/>
    </font>
    <font>
      <sz val="12"/>
      <color indexed="14"/>
      <name val="Times New Roman"/>
      <family val="1"/>
    </font>
    <font>
      <sz val="12"/>
      <color indexed="12"/>
      <name val="Times New Roman"/>
      <family val="1"/>
    </font>
    <font>
      <b/>
      <sz val="12"/>
      <color indexed="14"/>
      <name val="Times New Roman"/>
      <family val="1"/>
    </font>
    <font>
      <b/>
      <sz val="12"/>
      <color indexed="12"/>
      <name val="Times New Roman"/>
      <family val="1"/>
    </font>
    <font>
      <sz val="12"/>
      <color indexed="9"/>
      <name val="Times New Roman"/>
      <family val="1"/>
    </font>
    <font>
      <b/>
      <sz val="12"/>
      <name val="Times New Roman"/>
      <family val="1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3" fillId="0" borderId="0"/>
    <xf numFmtId="0" fontId="5" fillId="0" borderId="0"/>
    <xf numFmtId="9" fontId="16" fillId="0" borderId="0" applyFont="0" applyFill="0" applyBorder="0" applyAlignment="0" applyProtection="0"/>
  </cellStyleXfs>
  <cellXfs count="9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0" borderId="0" xfId="3" applyFont="1" applyAlignment="1">
      <alignment horizontal="left"/>
    </xf>
    <xf numFmtId="0" fontId="2" fillId="0" borderId="0" xfId="1" applyNumberFormat="1" applyAlignment="1">
      <alignment horizontal="center"/>
    </xf>
    <xf numFmtId="0" fontId="3" fillId="0" borderId="0" xfId="4"/>
    <xf numFmtId="0" fontId="2" fillId="0" borderId="0" xfId="3"/>
    <xf numFmtId="1" fontId="2" fillId="0" borderId="0" xfId="3" applyNumberFormat="1" applyFont="1"/>
    <xf numFmtId="0" fontId="2" fillId="0" borderId="1" xfId="3" applyBorder="1" applyAlignment="1">
      <alignment horizontal="center" wrapText="1"/>
    </xf>
    <xf numFmtId="9" fontId="2" fillId="0" borderId="1" xfId="1" applyFont="1" applyBorder="1" applyAlignment="1">
      <alignment horizontal="center" wrapText="1"/>
    </xf>
    <xf numFmtId="0" fontId="2" fillId="0" borderId="0" xfId="3" applyBorder="1" applyAlignment="1">
      <alignment wrapText="1"/>
    </xf>
    <xf numFmtId="0" fontId="2" fillId="0" borderId="0" xfId="3" applyAlignment="1">
      <alignment wrapText="1"/>
    </xf>
    <xf numFmtId="0" fontId="3" fillId="0" borderId="0" xfId="4" applyAlignment="1">
      <alignment wrapText="1"/>
    </xf>
    <xf numFmtId="0" fontId="2" fillId="0" borderId="0" xfId="3" applyAlignment="1">
      <alignment horizontal="center"/>
    </xf>
    <xf numFmtId="164" fontId="2" fillId="0" borderId="0" xfId="1" applyNumberFormat="1" applyAlignment="1">
      <alignment horizontal="center"/>
    </xf>
    <xf numFmtId="0" fontId="2" fillId="0" borderId="0" xfId="3" applyFont="1" applyBorder="1"/>
    <xf numFmtId="1" fontId="2" fillId="0" borderId="4" xfId="3" applyNumberFormat="1" applyFont="1" applyBorder="1"/>
    <xf numFmtId="0" fontId="2" fillId="0" borderId="5" xfId="3" applyFont="1" applyBorder="1"/>
    <xf numFmtId="1" fontId="2" fillId="0" borderId="6" xfId="3" applyNumberFormat="1" applyFont="1" applyBorder="1"/>
    <xf numFmtId="0" fontId="2" fillId="0" borderId="7" xfId="3" applyFont="1" applyBorder="1"/>
    <xf numFmtId="0" fontId="2" fillId="0" borderId="0" xfId="3" applyBorder="1"/>
    <xf numFmtId="1" fontId="2" fillId="0" borderId="0" xfId="3" applyNumberFormat="1" applyFont="1" applyBorder="1"/>
    <xf numFmtId="0" fontId="2" fillId="0" borderId="11" xfId="3" applyBorder="1"/>
    <xf numFmtId="164" fontId="2" fillId="0" borderId="12" xfId="1" applyNumberFormat="1" applyBorder="1"/>
    <xf numFmtId="0" fontId="2" fillId="0" borderId="13" xfId="3" applyBorder="1"/>
    <xf numFmtId="0" fontId="8" fillId="0" borderId="14" xfId="3" applyFont="1" applyBorder="1"/>
    <xf numFmtId="0" fontId="8" fillId="0" borderId="15" xfId="3" applyFont="1" applyBorder="1"/>
    <xf numFmtId="0" fontId="2" fillId="0" borderId="16" xfId="3" applyFont="1" applyBorder="1"/>
    <xf numFmtId="0" fontId="2" fillId="0" borderId="4" xfId="3" applyFont="1" applyBorder="1"/>
    <xf numFmtId="165" fontId="2" fillId="0" borderId="17" xfId="1" applyNumberFormat="1" applyFont="1" applyBorder="1"/>
    <xf numFmtId="0" fontId="2" fillId="0" borderId="13" xfId="3" applyFont="1" applyBorder="1"/>
    <xf numFmtId="0" fontId="2" fillId="0" borderId="18" xfId="4" applyFont="1" applyBorder="1"/>
    <xf numFmtId="0" fontId="2" fillId="0" borderId="0" xfId="4" applyFont="1" applyBorder="1"/>
    <xf numFmtId="1" fontId="2" fillId="0" borderId="0" xfId="1" applyNumberFormat="1" applyFont="1"/>
    <xf numFmtId="0" fontId="2" fillId="0" borderId="4" xfId="3" applyBorder="1"/>
    <xf numFmtId="164" fontId="2" fillId="0" borderId="17" xfId="1" applyNumberFormat="1" applyBorder="1"/>
    <xf numFmtId="0" fontId="2" fillId="0" borderId="18" xfId="3" applyFont="1" applyBorder="1"/>
    <xf numFmtId="0" fontId="2" fillId="0" borderId="6" xfId="3" applyBorder="1"/>
    <xf numFmtId="164" fontId="2" fillId="0" borderId="19" xfId="1" applyNumberFormat="1" applyBorder="1"/>
    <xf numFmtId="0" fontId="2" fillId="0" borderId="20" xfId="3" applyBorder="1"/>
    <xf numFmtId="0" fontId="2" fillId="0" borderId="21" xfId="3" applyFont="1" applyBorder="1"/>
    <xf numFmtId="0" fontId="2" fillId="0" borderId="1" xfId="3" applyFont="1" applyBorder="1"/>
    <xf numFmtId="0" fontId="2" fillId="0" borderId="20" xfId="3" applyFont="1" applyBorder="1"/>
    <xf numFmtId="0" fontId="3" fillId="0" borderId="0" xfId="4" applyBorder="1"/>
    <xf numFmtId="0" fontId="9" fillId="0" borderId="0" xfId="3" applyFont="1" applyAlignment="1">
      <alignment horizontal="left"/>
    </xf>
    <xf numFmtId="0" fontId="10" fillId="0" borderId="0" xfId="1" applyNumberFormat="1" applyFont="1" applyAlignment="1">
      <alignment horizontal="center"/>
    </xf>
    <xf numFmtId="0" fontId="11" fillId="0" borderId="0" xfId="3" applyFont="1"/>
    <xf numFmtId="1" fontId="2" fillId="0" borderId="0" xfId="3" applyNumberFormat="1"/>
    <xf numFmtId="9" fontId="10" fillId="0" borderId="1" xfId="1" applyFont="1" applyBorder="1" applyAlignment="1">
      <alignment horizontal="center" wrapText="1"/>
    </xf>
    <xf numFmtId="9" fontId="11" fillId="0" borderId="1" xfId="1" applyFont="1" applyBorder="1" applyAlignment="1">
      <alignment horizontal="center" wrapText="1"/>
    </xf>
    <xf numFmtId="164" fontId="10" fillId="0" borderId="0" xfId="1" applyNumberFormat="1" applyFont="1" applyAlignment="1">
      <alignment horizontal="center"/>
    </xf>
    <xf numFmtId="164" fontId="11" fillId="0" borderId="0" xfId="3" applyNumberFormat="1" applyFont="1"/>
    <xf numFmtId="0" fontId="2" fillId="0" borderId="7" xfId="3" applyBorder="1"/>
    <xf numFmtId="0" fontId="10" fillId="0" borderId="4" xfId="3" applyFont="1" applyBorder="1"/>
    <xf numFmtId="164" fontId="10" fillId="0" borderId="5" xfId="1" applyNumberFormat="1" applyFont="1" applyBorder="1"/>
    <xf numFmtId="0" fontId="11" fillId="0" borderId="4" xfId="3" applyFont="1" applyBorder="1"/>
    <xf numFmtId="164" fontId="11" fillId="0" borderId="5" xfId="1" applyNumberFormat="1" applyFont="1" applyBorder="1"/>
    <xf numFmtId="0" fontId="8" fillId="0" borderId="16" xfId="3" applyFont="1" applyBorder="1"/>
    <xf numFmtId="165" fontId="10" fillId="0" borderId="5" xfId="1" applyNumberFormat="1" applyFont="1" applyBorder="1"/>
    <xf numFmtId="165" fontId="11" fillId="0" borderId="5" xfId="1" applyNumberFormat="1" applyFont="1" applyBorder="1"/>
    <xf numFmtId="0" fontId="8" fillId="0" borderId="0" xfId="3" applyFont="1" applyBorder="1"/>
    <xf numFmtId="0" fontId="8" fillId="0" borderId="13" xfId="3" applyFont="1" applyBorder="1"/>
    <xf numFmtId="1" fontId="2" fillId="0" borderId="0" xfId="1" applyNumberFormat="1"/>
    <xf numFmtId="0" fontId="10" fillId="0" borderId="6" xfId="3" applyFont="1" applyBorder="1"/>
    <xf numFmtId="164" fontId="10" fillId="0" borderId="7" xfId="1" applyNumberFormat="1" applyFont="1" applyBorder="1"/>
    <xf numFmtId="0" fontId="11" fillId="0" borderId="6" xfId="3" applyFont="1" applyBorder="1"/>
    <xf numFmtId="164" fontId="11" fillId="0" borderId="7" xfId="1" applyNumberFormat="1" applyFont="1" applyBorder="1"/>
    <xf numFmtId="1" fontId="14" fillId="0" borderId="0" xfId="3" applyNumberFormat="1" applyFont="1"/>
    <xf numFmtId="0" fontId="2" fillId="0" borderId="0" xfId="3" applyFont="1"/>
    <xf numFmtId="0" fontId="1" fillId="0" borderId="0" xfId="0" applyFont="1" applyAlignment="1">
      <alignment horizontal="right"/>
    </xf>
    <xf numFmtId="0" fontId="2" fillId="0" borderId="0" xfId="2"/>
    <xf numFmtId="0" fontId="15" fillId="0" borderId="0" xfId="3" applyFont="1" applyAlignment="1">
      <alignment horizontal="center"/>
    </xf>
    <xf numFmtId="0" fontId="15" fillId="0" borderId="0" xfId="3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0" borderId="0" xfId="0" applyAlignment="1">
      <alignment horizontal="right"/>
    </xf>
    <xf numFmtId="0" fontId="6" fillId="0" borderId="2" xfId="3" applyFont="1" applyBorder="1" applyAlignment="1">
      <alignment horizontal="center" wrapText="1"/>
    </xf>
    <xf numFmtId="0" fontId="2" fillId="0" borderId="3" xfId="2" applyBorder="1" applyAlignment="1">
      <alignment horizontal="center" wrapText="1"/>
    </xf>
    <xf numFmtId="0" fontId="7" fillId="0" borderId="8" xfId="3" applyFont="1" applyBorder="1" applyAlignment="1">
      <alignment horizontal="center"/>
    </xf>
    <xf numFmtId="0" fontId="7" fillId="0" borderId="9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8" fillId="0" borderId="9" xfId="3" applyFont="1" applyBorder="1" applyAlignment="1">
      <alignment horizontal="center"/>
    </xf>
    <xf numFmtId="0" fontId="8" fillId="0" borderId="10" xfId="3" applyFont="1" applyBorder="1" applyAlignment="1">
      <alignment horizontal="center"/>
    </xf>
    <xf numFmtId="0" fontId="6" fillId="0" borderId="3" xfId="3" applyFont="1" applyBorder="1" applyAlignment="1">
      <alignment horizontal="center" wrapText="1"/>
    </xf>
    <xf numFmtId="0" fontId="12" fillId="0" borderId="14" xfId="3" applyFont="1" applyBorder="1" applyAlignment="1">
      <alignment horizontal="center"/>
    </xf>
    <xf numFmtId="0" fontId="12" fillId="0" borderId="16" xfId="3" applyFont="1" applyBorder="1" applyAlignment="1">
      <alignment horizontal="center"/>
    </xf>
    <xf numFmtId="0" fontId="13" fillId="0" borderId="14" xfId="3" applyFont="1" applyBorder="1" applyAlignment="1">
      <alignment horizontal="center"/>
    </xf>
    <xf numFmtId="0" fontId="13" fillId="0" borderId="16" xfId="3" applyFont="1" applyBorder="1" applyAlignment="1">
      <alignment horizontal="center"/>
    </xf>
    <xf numFmtId="166" fontId="3" fillId="0" borderId="0" xfId="6" applyNumberFormat="1" applyFont="1" applyAlignment="1">
      <alignment wrapText="1"/>
    </xf>
    <xf numFmtId="9" fontId="8" fillId="0" borderId="15" xfId="6" applyNumberFormat="1" applyFont="1" applyBorder="1"/>
  </cellXfs>
  <cellStyles count="7">
    <cellStyle name="Normal" xfId="0" builtinId="0"/>
    <cellStyle name="Normal 2" xfId="2" xr:uid="{00000000-0005-0000-0000-000001000000}"/>
    <cellStyle name="Normal 3" xfId="5" xr:uid="{093C1FCF-71AB-4799-9948-51FB657D8B5C}"/>
    <cellStyle name="Normal_AutoCorr" xfId="4" xr:uid="{99BB71DB-E5E8-44ED-9D3D-3A89575ADBC5}"/>
    <cellStyle name="Normal_MonteCarlo" xfId="3" xr:uid="{85E05235-E6BA-4215-BC0F-C4BCF87123B3}"/>
    <cellStyle name="Percent" xfId="6" builtinId="5"/>
    <cellStyle name="Percent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MCSim8!$AL$1</c:f>
              <c:strCache>
                <c:ptCount val="1"/>
                <c:pt idx="0">
                  <c:v>$H$3</c:v>
                </c:pt>
              </c:strCache>
            </c:strRef>
          </c:tx>
          <c:marker>
            <c:symbol val="none"/>
          </c:marker>
          <c:xVal>
            <c:numRef>
              <c:f>MCSim8!$AK$2:$AK$183</c:f>
              <c:numCache>
                <c:formatCode>General</c:formatCode>
                <c:ptCount val="182"/>
                <c:pt idx="0">
                  <c:v>-1200</c:v>
                </c:pt>
                <c:pt idx="1">
                  <c:v>-1200</c:v>
                </c:pt>
                <c:pt idx="2">
                  <c:v>-1175</c:v>
                </c:pt>
                <c:pt idx="3">
                  <c:v>-1175</c:v>
                </c:pt>
                <c:pt idx="4">
                  <c:v>-1150</c:v>
                </c:pt>
                <c:pt idx="5">
                  <c:v>-1150</c:v>
                </c:pt>
                <c:pt idx="6">
                  <c:v>-1125</c:v>
                </c:pt>
                <c:pt idx="7">
                  <c:v>-1125</c:v>
                </c:pt>
                <c:pt idx="8">
                  <c:v>-1100</c:v>
                </c:pt>
                <c:pt idx="9">
                  <c:v>-1100</c:v>
                </c:pt>
                <c:pt idx="10">
                  <c:v>-1075</c:v>
                </c:pt>
                <c:pt idx="11">
                  <c:v>-1075</c:v>
                </c:pt>
                <c:pt idx="12">
                  <c:v>-1050</c:v>
                </c:pt>
                <c:pt idx="13">
                  <c:v>-1050</c:v>
                </c:pt>
                <c:pt idx="14">
                  <c:v>-1025</c:v>
                </c:pt>
                <c:pt idx="15">
                  <c:v>-1025</c:v>
                </c:pt>
                <c:pt idx="16">
                  <c:v>-1000</c:v>
                </c:pt>
                <c:pt idx="17">
                  <c:v>-1000</c:v>
                </c:pt>
                <c:pt idx="18">
                  <c:v>-975</c:v>
                </c:pt>
                <c:pt idx="19">
                  <c:v>-975</c:v>
                </c:pt>
                <c:pt idx="20">
                  <c:v>-950</c:v>
                </c:pt>
                <c:pt idx="21">
                  <c:v>-950</c:v>
                </c:pt>
                <c:pt idx="22">
                  <c:v>-925</c:v>
                </c:pt>
                <c:pt idx="23">
                  <c:v>-925</c:v>
                </c:pt>
                <c:pt idx="24">
                  <c:v>-900</c:v>
                </c:pt>
                <c:pt idx="25">
                  <c:v>-900</c:v>
                </c:pt>
                <c:pt idx="26">
                  <c:v>-875</c:v>
                </c:pt>
                <c:pt idx="27">
                  <c:v>-875</c:v>
                </c:pt>
                <c:pt idx="28">
                  <c:v>-850</c:v>
                </c:pt>
                <c:pt idx="29">
                  <c:v>-850</c:v>
                </c:pt>
                <c:pt idx="30">
                  <c:v>-825</c:v>
                </c:pt>
                <c:pt idx="31">
                  <c:v>-825</c:v>
                </c:pt>
                <c:pt idx="32">
                  <c:v>-800</c:v>
                </c:pt>
                <c:pt idx="33">
                  <c:v>-800</c:v>
                </c:pt>
                <c:pt idx="34">
                  <c:v>-775</c:v>
                </c:pt>
                <c:pt idx="35">
                  <c:v>-775</c:v>
                </c:pt>
                <c:pt idx="36">
                  <c:v>-750</c:v>
                </c:pt>
                <c:pt idx="37">
                  <c:v>-750</c:v>
                </c:pt>
                <c:pt idx="38">
                  <c:v>-725</c:v>
                </c:pt>
                <c:pt idx="39">
                  <c:v>-725</c:v>
                </c:pt>
                <c:pt idx="40">
                  <c:v>-700</c:v>
                </c:pt>
                <c:pt idx="41">
                  <c:v>-700</c:v>
                </c:pt>
                <c:pt idx="42">
                  <c:v>-675</c:v>
                </c:pt>
                <c:pt idx="43">
                  <c:v>-675</c:v>
                </c:pt>
                <c:pt idx="44">
                  <c:v>-650</c:v>
                </c:pt>
                <c:pt idx="45">
                  <c:v>-650</c:v>
                </c:pt>
                <c:pt idx="46">
                  <c:v>-625</c:v>
                </c:pt>
                <c:pt idx="47">
                  <c:v>-625</c:v>
                </c:pt>
                <c:pt idx="48">
                  <c:v>-600</c:v>
                </c:pt>
                <c:pt idx="49">
                  <c:v>-600</c:v>
                </c:pt>
                <c:pt idx="50">
                  <c:v>-575</c:v>
                </c:pt>
                <c:pt idx="51">
                  <c:v>-575</c:v>
                </c:pt>
                <c:pt idx="52">
                  <c:v>-550</c:v>
                </c:pt>
                <c:pt idx="53">
                  <c:v>-550</c:v>
                </c:pt>
                <c:pt idx="54">
                  <c:v>-525</c:v>
                </c:pt>
                <c:pt idx="55">
                  <c:v>-525</c:v>
                </c:pt>
                <c:pt idx="56">
                  <c:v>-500</c:v>
                </c:pt>
                <c:pt idx="57">
                  <c:v>-500</c:v>
                </c:pt>
                <c:pt idx="58">
                  <c:v>-475</c:v>
                </c:pt>
                <c:pt idx="59">
                  <c:v>-475</c:v>
                </c:pt>
                <c:pt idx="60">
                  <c:v>-450</c:v>
                </c:pt>
                <c:pt idx="61">
                  <c:v>-450</c:v>
                </c:pt>
                <c:pt idx="62">
                  <c:v>-425</c:v>
                </c:pt>
                <c:pt idx="63">
                  <c:v>-425</c:v>
                </c:pt>
                <c:pt idx="64">
                  <c:v>-400</c:v>
                </c:pt>
                <c:pt idx="65">
                  <c:v>-400</c:v>
                </c:pt>
                <c:pt idx="66">
                  <c:v>-375</c:v>
                </c:pt>
                <c:pt idx="67">
                  <c:v>-375</c:v>
                </c:pt>
                <c:pt idx="68">
                  <c:v>-350</c:v>
                </c:pt>
                <c:pt idx="69">
                  <c:v>-350</c:v>
                </c:pt>
                <c:pt idx="70">
                  <c:v>-325</c:v>
                </c:pt>
                <c:pt idx="71">
                  <c:v>-325</c:v>
                </c:pt>
                <c:pt idx="72">
                  <c:v>-300</c:v>
                </c:pt>
                <c:pt idx="73">
                  <c:v>-300</c:v>
                </c:pt>
                <c:pt idx="74">
                  <c:v>-275</c:v>
                </c:pt>
                <c:pt idx="75">
                  <c:v>-275</c:v>
                </c:pt>
                <c:pt idx="76">
                  <c:v>-250</c:v>
                </c:pt>
                <c:pt idx="77">
                  <c:v>-250</c:v>
                </c:pt>
                <c:pt idx="78">
                  <c:v>-225</c:v>
                </c:pt>
                <c:pt idx="79">
                  <c:v>-225</c:v>
                </c:pt>
                <c:pt idx="80">
                  <c:v>-200</c:v>
                </c:pt>
                <c:pt idx="81">
                  <c:v>-200</c:v>
                </c:pt>
                <c:pt idx="82">
                  <c:v>-175</c:v>
                </c:pt>
                <c:pt idx="83">
                  <c:v>-175</c:v>
                </c:pt>
                <c:pt idx="84">
                  <c:v>-150</c:v>
                </c:pt>
                <c:pt idx="85">
                  <c:v>-150</c:v>
                </c:pt>
                <c:pt idx="86">
                  <c:v>-125</c:v>
                </c:pt>
                <c:pt idx="87">
                  <c:v>-125</c:v>
                </c:pt>
                <c:pt idx="88">
                  <c:v>-100</c:v>
                </c:pt>
                <c:pt idx="89">
                  <c:v>-100</c:v>
                </c:pt>
                <c:pt idx="90">
                  <c:v>-75</c:v>
                </c:pt>
                <c:pt idx="91">
                  <c:v>-75</c:v>
                </c:pt>
                <c:pt idx="92">
                  <c:v>-50</c:v>
                </c:pt>
                <c:pt idx="93">
                  <c:v>-50</c:v>
                </c:pt>
                <c:pt idx="94">
                  <c:v>-25</c:v>
                </c:pt>
                <c:pt idx="95">
                  <c:v>-25</c:v>
                </c:pt>
                <c:pt idx="96">
                  <c:v>0</c:v>
                </c:pt>
                <c:pt idx="97">
                  <c:v>0</c:v>
                </c:pt>
                <c:pt idx="98">
                  <c:v>25</c:v>
                </c:pt>
                <c:pt idx="99">
                  <c:v>25</c:v>
                </c:pt>
                <c:pt idx="100">
                  <c:v>50</c:v>
                </c:pt>
                <c:pt idx="101">
                  <c:v>50</c:v>
                </c:pt>
                <c:pt idx="102">
                  <c:v>75</c:v>
                </c:pt>
                <c:pt idx="103">
                  <c:v>75</c:v>
                </c:pt>
                <c:pt idx="104">
                  <c:v>100</c:v>
                </c:pt>
                <c:pt idx="105">
                  <c:v>100</c:v>
                </c:pt>
                <c:pt idx="106">
                  <c:v>125</c:v>
                </c:pt>
                <c:pt idx="107">
                  <c:v>125</c:v>
                </c:pt>
                <c:pt idx="108">
                  <c:v>150</c:v>
                </c:pt>
                <c:pt idx="109">
                  <c:v>150</c:v>
                </c:pt>
                <c:pt idx="110">
                  <c:v>175</c:v>
                </c:pt>
                <c:pt idx="111">
                  <c:v>175</c:v>
                </c:pt>
                <c:pt idx="112">
                  <c:v>200</c:v>
                </c:pt>
                <c:pt idx="113">
                  <c:v>200</c:v>
                </c:pt>
                <c:pt idx="114">
                  <c:v>225</c:v>
                </c:pt>
                <c:pt idx="115">
                  <c:v>225</c:v>
                </c:pt>
                <c:pt idx="116">
                  <c:v>250</c:v>
                </c:pt>
                <c:pt idx="117">
                  <c:v>250</c:v>
                </c:pt>
                <c:pt idx="118">
                  <c:v>275</c:v>
                </c:pt>
                <c:pt idx="119">
                  <c:v>275</c:v>
                </c:pt>
                <c:pt idx="120">
                  <c:v>300</c:v>
                </c:pt>
                <c:pt idx="121">
                  <c:v>300</c:v>
                </c:pt>
                <c:pt idx="122">
                  <c:v>325</c:v>
                </c:pt>
                <c:pt idx="123">
                  <c:v>325</c:v>
                </c:pt>
                <c:pt idx="124">
                  <c:v>350</c:v>
                </c:pt>
                <c:pt idx="125">
                  <c:v>350</c:v>
                </c:pt>
                <c:pt idx="126">
                  <c:v>375</c:v>
                </c:pt>
                <c:pt idx="127">
                  <c:v>375</c:v>
                </c:pt>
                <c:pt idx="128">
                  <c:v>400</c:v>
                </c:pt>
                <c:pt idx="129">
                  <c:v>400</c:v>
                </c:pt>
                <c:pt idx="130">
                  <c:v>425</c:v>
                </c:pt>
                <c:pt idx="131">
                  <c:v>425</c:v>
                </c:pt>
                <c:pt idx="132">
                  <c:v>450</c:v>
                </c:pt>
                <c:pt idx="133">
                  <c:v>450</c:v>
                </c:pt>
                <c:pt idx="134">
                  <c:v>475</c:v>
                </c:pt>
                <c:pt idx="135">
                  <c:v>475</c:v>
                </c:pt>
                <c:pt idx="136">
                  <c:v>500</c:v>
                </c:pt>
                <c:pt idx="137">
                  <c:v>500</c:v>
                </c:pt>
                <c:pt idx="138">
                  <c:v>525</c:v>
                </c:pt>
                <c:pt idx="139">
                  <c:v>525</c:v>
                </c:pt>
                <c:pt idx="140">
                  <c:v>550</c:v>
                </c:pt>
                <c:pt idx="141">
                  <c:v>550</c:v>
                </c:pt>
                <c:pt idx="142">
                  <c:v>575</c:v>
                </c:pt>
                <c:pt idx="143">
                  <c:v>575</c:v>
                </c:pt>
                <c:pt idx="144">
                  <c:v>600</c:v>
                </c:pt>
                <c:pt idx="145">
                  <c:v>600</c:v>
                </c:pt>
                <c:pt idx="146">
                  <c:v>625</c:v>
                </c:pt>
                <c:pt idx="147">
                  <c:v>625</c:v>
                </c:pt>
                <c:pt idx="148">
                  <c:v>650</c:v>
                </c:pt>
                <c:pt idx="149">
                  <c:v>650</c:v>
                </c:pt>
                <c:pt idx="150">
                  <c:v>675</c:v>
                </c:pt>
                <c:pt idx="151">
                  <c:v>675</c:v>
                </c:pt>
                <c:pt idx="152">
                  <c:v>700</c:v>
                </c:pt>
                <c:pt idx="153">
                  <c:v>700</c:v>
                </c:pt>
                <c:pt idx="154">
                  <c:v>725</c:v>
                </c:pt>
                <c:pt idx="155">
                  <c:v>725</c:v>
                </c:pt>
                <c:pt idx="156">
                  <c:v>750</c:v>
                </c:pt>
                <c:pt idx="157">
                  <c:v>750</c:v>
                </c:pt>
                <c:pt idx="158">
                  <c:v>775</c:v>
                </c:pt>
                <c:pt idx="159">
                  <c:v>775</c:v>
                </c:pt>
                <c:pt idx="160">
                  <c:v>800</c:v>
                </c:pt>
                <c:pt idx="161">
                  <c:v>800</c:v>
                </c:pt>
                <c:pt idx="162">
                  <c:v>825</c:v>
                </c:pt>
                <c:pt idx="163">
                  <c:v>825</c:v>
                </c:pt>
                <c:pt idx="164">
                  <c:v>850</c:v>
                </c:pt>
                <c:pt idx="165">
                  <c:v>850</c:v>
                </c:pt>
                <c:pt idx="166">
                  <c:v>875</c:v>
                </c:pt>
                <c:pt idx="167">
                  <c:v>875</c:v>
                </c:pt>
                <c:pt idx="168">
                  <c:v>900</c:v>
                </c:pt>
                <c:pt idx="169">
                  <c:v>900</c:v>
                </c:pt>
                <c:pt idx="170">
                  <c:v>925</c:v>
                </c:pt>
                <c:pt idx="171">
                  <c:v>925</c:v>
                </c:pt>
                <c:pt idx="172">
                  <c:v>950</c:v>
                </c:pt>
                <c:pt idx="173">
                  <c:v>950</c:v>
                </c:pt>
                <c:pt idx="174">
                  <c:v>975</c:v>
                </c:pt>
                <c:pt idx="175">
                  <c:v>975</c:v>
                </c:pt>
                <c:pt idx="176">
                  <c:v>1000</c:v>
                </c:pt>
                <c:pt idx="177">
                  <c:v>1000</c:v>
                </c:pt>
                <c:pt idx="178">
                  <c:v>1025</c:v>
                </c:pt>
                <c:pt idx="179">
                  <c:v>1025</c:v>
                </c:pt>
                <c:pt idx="180">
                  <c:v>1050</c:v>
                </c:pt>
                <c:pt idx="181">
                  <c:v>1050</c:v>
                </c:pt>
              </c:numCache>
            </c:numRef>
          </c:xVal>
          <c:yVal>
            <c:numRef>
              <c:f>MCSim8!$AL$2:$AL$183</c:f>
              <c:numCache>
                <c:formatCode>General</c:formatCode>
                <c:ptCount val="18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4</c:v>
                </c:pt>
                <c:pt idx="86">
                  <c:v>4</c:v>
                </c:pt>
                <c:pt idx="87">
                  <c:v>7</c:v>
                </c:pt>
                <c:pt idx="88">
                  <c:v>7</c:v>
                </c:pt>
                <c:pt idx="89">
                  <c:v>8</c:v>
                </c:pt>
                <c:pt idx="90">
                  <c:v>8</c:v>
                </c:pt>
                <c:pt idx="91">
                  <c:v>15</c:v>
                </c:pt>
                <c:pt idx="92">
                  <c:v>15</c:v>
                </c:pt>
                <c:pt idx="93">
                  <c:v>26</c:v>
                </c:pt>
                <c:pt idx="94">
                  <c:v>26</c:v>
                </c:pt>
                <c:pt idx="95">
                  <c:v>47</c:v>
                </c:pt>
                <c:pt idx="96">
                  <c:v>47</c:v>
                </c:pt>
                <c:pt idx="97">
                  <c:v>96</c:v>
                </c:pt>
                <c:pt idx="98">
                  <c:v>96</c:v>
                </c:pt>
                <c:pt idx="99">
                  <c:v>160</c:v>
                </c:pt>
                <c:pt idx="100">
                  <c:v>160</c:v>
                </c:pt>
                <c:pt idx="101">
                  <c:v>345</c:v>
                </c:pt>
                <c:pt idx="102">
                  <c:v>345</c:v>
                </c:pt>
                <c:pt idx="103">
                  <c:v>834</c:v>
                </c:pt>
                <c:pt idx="104">
                  <c:v>834</c:v>
                </c:pt>
                <c:pt idx="105">
                  <c:v>2213</c:v>
                </c:pt>
                <c:pt idx="106">
                  <c:v>2213</c:v>
                </c:pt>
                <c:pt idx="107">
                  <c:v>6077</c:v>
                </c:pt>
                <c:pt idx="108">
                  <c:v>6077</c:v>
                </c:pt>
                <c:pt idx="109">
                  <c:v>14971</c:v>
                </c:pt>
                <c:pt idx="110">
                  <c:v>14971</c:v>
                </c:pt>
                <c:pt idx="111">
                  <c:v>25387</c:v>
                </c:pt>
                <c:pt idx="112">
                  <c:v>25387</c:v>
                </c:pt>
                <c:pt idx="113">
                  <c:v>25100</c:v>
                </c:pt>
                <c:pt idx="114">
                  <c:v>25100</c:v>
                </c:pt>
                <c:pt idx="115">
                  <c:v>14971</c:v>
                </c:pt>
                <c:pt idx="116">
                  <c:v>14971</c:v>
                </c:pt>
                <c:pt idx="117">
                  <c:v>6101</c:v>
                </c:pt>
                <c:pt idx="118">
                  <c:v>6101</c:v>
                </c:pt>
                <c:pt idx="119">
                  <c:v>2149</c:v>
                </c:pt>
                <c:pt idx="120">
                  <c:v>2149</c:v>
                </c:pt>
                <c:pt idx="121">
                  <c:v>810</c:v>
                </c:pt>
                <c:pt idx="122">
                  <c:v>810</c:v>
                </c:pt>
                <c:pt idx="123">
                  <c:v>331</c:v>
                </c:pt>
                <c:pt idx="124">
                  <c:v>331</c:v>
                </c:pt>
                <c:pt idx="125">
                  <c:v>146</c:v>
                </c:pt>
                <c:pt idx="126">
                  <c:v>146</c:v>
                </c:pt>
                <c:pt idx="127">
                  <c:v>75</c:v>
                </c:pt>
                <c:pt idx="128">
                  <c:v>75</c:v>
                </c:pt>
                <c:pt idx="129">
                  <c:v>33</c:v>
                </c:pt>
                <c:pt idx="130">
                  <c:v>33</c:v>
                </c:pt>
                <c:pt idx="131">
                  <c:v>31</c:v>
                </c:pt>
                <c:pt idx="132">
                  <c:v>31</c:v>
                </c:pt>
                <c:pt idx="133">
                  <c:v>20</c:v>
                </c:pt>
                <c:pt idx="134">
                  <c:v>20</c:v>
                </c:pt>
                <c:pt idx="135">
                  <c:v>8</c:v>
                </c:pt>
                <c:pt idx="136">
                  <c:v>8</c:v>
                </c:pt>
                <c:pt idx="137">
                  <c:v>10</c:v>
                </c:pt>
                <c:pt idx="138">
                  <c:v>10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</c:v>
                </c:pt>
                <c:pt idx="180">
                  <c:v>1</c:v>
                </c:pt>
                <c:pt idx="1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AE-4410-87A0-D2E0C6385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5360"/>
        <c:axId val="1702080416"/>
      </c:scatterChart>
      <c:valAx>
        <c:axId val="16475360"/>
        <c:scaling>
          <c:orientation val="minMax"/>
          <c:max val="1050"/>
          <c:min val="-1200"/>
        </c:scaling>
        <c:delete val="0"/>
        <c:axPos val="b"/>
        <c:numFmt formatCode="General" sourceLinked="1"/>
        <c:majorTickMark val="out"/>
        <c:minorTickMark val="none"/>
        <c:tickLblPos val="nextTo"/>
        <c:crossAx val="1702080416"/>
        <c:crosses val="autoZero"/>
        <c:crossBetween val="midCat"/>
      </c:valAx>
      <c:valAx>
        <c:axId val="1702080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164753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$H$3 And Dead!$H$4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MCSim7!$AL$1</c:f>
              <c:strCache>
                <c:ptCount val="1"/>
                <c:pt idx="0">
                  <c:v>$H$3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MCSim7!$AK$2:$AK$137</c:f>
              <c:numCache>
                <c:formatCode>General</c:formatCode>
                <c:ptCount val="136"/>
                <c:pt idx="0">
                  <c:v>-8250</c:v>
                </c:pt>
                <c:pt idx="1">
                  <c:v>-8250</c:v>
                </c:pt>
                <c:pt idx="2">
                  <c:v>-8000</c:v>
                </c:pt>
                <c:pt idx="3">
                  <c:v>-8000</c:v>
                </c:pt>
                <c:pt idx="4">
                  <c:v>-7750</c:v>
                </c:pt>
                <c:pt idx="5">
                  <c:v>-7750</c:v>
                </c:pt>
                <c:pt idx="6">
                  <c:v>-7500</c:v>
                </c:pt>
                <c:pt idx="7">
                  <c:v>-7500</c:v>
                </c:pt>
                <c:pt idx="8">
                  <c:v>-7250</c:v>
                </c:pt>
                <c:pt idx="9">
                  <c:v>-7250</c:v>
                </c:pt>
                <c:pt idx="10">
                  <c:v>-7000</c:v>
                </c:pt>
                <c:pt idx="11">
                  <c:v>-7000</c:v>
                </c:pt>
                <c:pt idx="12">
                  <c:v>-6750</c:v>
                </c:pt>
                <c:pt idx="13">
                  <c:v>-6750</c:v>
                </c:pt>
                <c:pt idx="14">
                  <c:v>-6500</c:v>
                </c:pt>
                <c:pt idx="15">
                  <c:v>-6500</c:v>
                </c:pt>
                <c:pt idx="16">
                  <c:v>-6250</c:v>
                </c:pt>
                <c:pt idx="17">
                  <c:v>-6250</c:v>
                </c:pt>
                <c:pt idx="18">
                  <c:v>-6000</c:v>
                </c:pt>
                <c:pt idx="19">
                  <c:v>-6000</c:v>
                </c:pt>
                <c:pt idx="20">
                  <c:v>-5750</c:v>
                </c:pt>
                <c:pt idx="21">
                  <c:v>-5750</c:v>
                </c:pt>
                <c:pt idx="22">
                  <c:v>-5500</c:v>
                </c:pt>
                <c:pt idx="23">
                  <c:v>-5500</c:v>
                </c:pt>
                <c:pt idx="24">
                  <c:v>-5250</c:v>
                </c:pt>
                <c:pt idx="25">
                  <c:v>-5250</c:v>
                </c:pt>
                <c:pt idx="26">
                  <c:v>-5000</c:v>
                </c:pt>
                <c:pt idx="27">
                  <c:v>-5000</c:v>
                </c:pt>
                <c:pt idx="28">
                  <c:v>-4750</c:v>
                </c:pt>
                <c:pt idx="29">
                  <c:v>-4750</c:v>
                </c:pt>
                <c:pt idx="30">
                  <c:v>-4500</c:v>
                </c:pt>
                <c:pt idx="31">
                  <c:v>-4500</c:v>
                </c:pt>
                <c:pt idx="32">
                  <c:v>-4250</c:v>
                </c:pt>
                <c:pt idx="33">
                  <c:v>-4250</c:v>
                </c:pt>
                <c:pt idx="34">
                  <c:v>-4000</c:v>
                </c:pt>
                <c:pt idx="35">
                  <c:v>-4000</c:v>
                </c:pt>
                <c:pt idx="36">
                  <c:v>-3750</c:v>
                </c:pt>
                <c:pt idx="37">
                  <c:v>-3750</c:v>
                </c:pt>
                <c:pt idx="38">
                  <c:v>-3500</c:v>
                </c:pt>
                <c:pt idx="39">
                  <c:v>-3500</c:v>
                </c:pt>
                <c:pt idx="40">
                  <c:v>-3250</c:v>
                </c:pt>
                <c:pt idx="41">
                  <c:v>-3250</c:v>
                </c:pt>
                <c:pt idx="42">
                  <c:v>-3000</c:v>
                </c:pt>
                <c:pt idx="43">
                  <c:v>-3000</c:v>
                </c:pt>
                <c:pt idx="44">
                  <c:v>-2750</c:v>
                </c:pt>
                <c:pt idx="45">
                  <c:v>-2750</c:v>
                </c:pt>
                <c:pt idx="46">
                  <c:v>-2500</c:v>
                </c:pt>
                <c:pt idx="47">
                  <c:v>-2500</c:v>
                </c:pt>
                <c:pt idx="48">
                  <c:v>-2250</c:v>
                </c:pt>
                <c:pt idx="49">
                  <c:v>-2250</c:v>
                </c:pt>
                <c:pt idx="50">
                  <c:v>-2000</c:v>
                </c:pt>
                <c:pt idx="51">
                  <c:v>-2000</c:v>
                </c:pt>
                <c:pt idx="52">
                  <c:v>-1750</c:v>
                </c:pt>
                <c:pt idx="53">
                  <c:v>-1750</c:v>
                </c:pt>
                <c:pt idx="54">
                  <c:v>-1500</c:v>
                </c:pt>
                <c:pt idx="55">
                  <c:v>-1500</c:v>
                </c:pt>
                <c:pt idx="56">
                  <c:v>-1250</c:v>
                </c:pt>
                <c:pt idx="57">
                  <c:v>-1250</c:v>
                </c:pt>
                <c:pt idx="58">
                  <c:v>-1000</c:v>
                </c:pt>
                <c:pt idx="59">
                  <c:v>-1000</c:v>
                </c:pt>
                <c:pt idx="60">
                  <c:v>-750</c:v>
                </c:pt>
                <c:pt idx="61">
                  <c:v>-750</c:v>
                </c:pt>
                <c:pt idx="62">
                  <c:v>-500</c:v>
                </c:pt>
                <c:pt idx="63">
                  <c:v>-500</c:v>
                </c:pt>
                <c:pt idx="64">
                  <c:v>-250</c:v>
                </c:pt>
                <c:pt idx="65">
                  <c:v>-250</c:v>
                </c:pt>
                <c:pt idx="66">
                  <c:v>0</c:v>
                </c:pt>
                <c:pt idx="67">
                  <c:v>0</c:v>
                </c:pt>
                <c:pt idx="68">
                  <c:v>250</c:v>
                </c:pt>
                <c:pt idx="69">
                  <c:v>250</c:v>
                </c:pt>
                <c:pt idx="70">
                  <c:v>500</c:v>
                </c:pt>
                <c:pt idx="71">
                  <c:v>500</c:v>
                </c:pt>
                <c:pt idx="72">
                  <c:v>750</c:v>
                </c:pt>
                <c:pt idx="73">
                  <c:v>750</c:v>
                </c:pt>
                <c:pt idx="74">
                  <c:v>1000</c:v>
                </c:pt>
                <c:pt idx="75">
                  <c:v>1000</c:v>
                </c:pt>
                <c:pt idx="76">
                  <c:v>1250</c:v>
                </c:pt>
                <c:pt idx="77">
                  <c:v>1250</c:v>
                </c:pt>
                <c:pt idx="78">
                  <c:v>1500</c:v>
                </c:pt>
                <c:pt idx="79">
                  <c:v>1500</c:v>
                </c:pt>
                <c:pt idx="80">
                  <c:v>1750</c:v>
                </c:pt>
                <c:pt idx="81">
                  <c:v>1750</c:v>
                </c:pt>
                <c:pt idx="82">
                  <c:v>2000</c:v>
                </c:pt>
                <c:pt idx="83">
                  <c:v>2000</c:v>
                </c:pt>
                <c:pt idx="84">
                  <c:v>2250</c:v>
                </c:pt>
                <c:pt idx="85">
                  <c:v>2250</c:v>
                </c:pt>
                <c:pt idx="86">
                  <c:v>2500</c:v>
                </c:pt>
                <c:pt idx="87">
                  <c:v>2500</c:v>
                </c:pt>
                <c:pt idx="88">
                  <c:v>2750</c:v>
                </c:pt>
                <c:pt idx="89">
                  <c:v>2750</c:v>
                </c:pt>
                <c:pt idx="90">
                  <c:v>3000</c:v>
                </c:pt>
                <c:pt idx="91">
                  <c:v>3000</c:v>
                </c:pt>
                <c:pt idx="92">
                  <c:v>3250</c:v>
                </c:pt>
                <c:pt idx="93">
                  <c:v>3250</c:v>
                </c:pt>
                <c:pt idx="94">
                  <c:v>3500</c:v>
                </c:pt>
                <c:pt idx="95">
                  <c:v>3500</c:v>
                </c:pt>
                <c:pt idx="96">
                  <c:v>3750</c:v>
                </c:pt>
                <c:pt idx="97">
                  <c:v>3750</c:v>
                </c:pt>
                <c:pt idx="98">
                  <c:v>4000</c:v>
                </c:pt>
                <c:pt idx="99">
                  <c:v>4000</c:v>
                </c:pt>
                <c:pt idx="100">
                  <c:v>4250</c:v>
                </c:pt>
                <c:pt idx="101">
                  <c:v>4250</c:v>
                </c:pt>
                <c:pt idx="102">
                  <c:v>4500</c:v>
                </c:pt>
                <c:pt idx="103">
                  <c:v>4500</c:v>
                </c:pt>
                <c:pt idx="104">
                  <c:v>4750</c:v>
                </c:pt>
                <c:pt idx="105">
                  <c:v>4750</c:v>
                </c:pt>
                <c:pt idx="106">
                  <c:v>5000</c:v>
                </c:pt>
                <c:pt idx="107">
                  <c:v>5000</c:v>
                </c:pt>
                <c:pt idx="108">
                  <c:v>5250</c:v>
                </c:pt>
                <c:pt idx="109">
                  <c:v>5250</c:v>
                </c:pt>
                <c:pt idx="110">
                  <c:v>5500</c:v>
                </c:pt>
                <c:pt idx="111">
                  <c:v>5500</c:v>
                </c:pt>
                <c:pt idx="112">
                  <c:v>5750</c:v>
                </c:pt>
                <c:pt idx="113">
                  <c:v>5750</c:v>
                </c:pt>
                <c:pt idx="114">
                  <c:v>6000</c:v>
                </c:pt>
                <c:pt idx="115">
                  <c:v>6000</c:v>
                </c:pt>
                <c:pt idx="116">
                  <c:v>6250</c:v>
                </c:pt>
                <c:pt idx="117">
                  <c:v>6250</c:v>
                </c:pt>
                <c:pt idx="118">
                  <c:v>6500</c:v>
                </c:pt>
                <c:pt idx="119">
                  <c:v>6500</c:v>
                </c:pt>
                <c:pt idx="120">
                  <c:v>6750</c:v>
                </c:pt>
                <c:pt idx="121">
                  <c:v>6750</c:v>
                </c:pt>
                <c:pt idx="122">
                  <c:v>7000</c:v>
                </c:pt>
                <c:pt idx="123">
                  <c:v>7000</c:v>
                </c:pt>
                <c:pt idx="124">
                  <c:v>7250</c:v>
                </c:pt>
                <c:pt idx="125">
                  <c:v>7250</c:v>
                </c:pt>
                <c:pt idx="126">
                  <c:v>7500</c:v>
                </c:pt>
                <c:pt idx="127">
                  <c:v>7500</c:v>
                </c:pt>
                <c:pt idx="128">
                  <c:v>7750</c:v>
                </c:pt>
                <c:pt idx="129">
                  <c:v>7750</c:v>
                </c:pt>
                <c:pt idx="130">
                  <c:v>8000</c:v>
                </c:pt>
                <c:pt idx="131">
                  <c:v>8000</c:v>
                </c:pt>
                <c:pt idx="132">
                  <c:v>8250</c:v>
                </c:pt>
                <c:pt idx="133">
                  <c:v>8250</c:v>
                </c:pt>
                <c:pt idx="134">
                  <c:v>8500</c:v>
                </c:pt>
                <c:pt idx="135">
                  <c:v>8500</c:v>
                </c:pt>
              </c:numCache>
            </c:numRef>
          </c:xVal>
          <c:yVal>
            <c:numRef>
              <c:f>MCSim7!$AL$2:$AL$137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6</c:v>
                </c:pt>
                <c:pt idx="15">
                  <c:v>12</c:v>
                </c:pt>
                <c:pt idx="16">
                  <c:v>12</c:v>
                </c:pt>
                <c:pt idx="17">
                  <c:v>21</c:v>
                </c:pt>
                <c:pt idx="18">
                  <c:v>21</c:v>
                </c:pt>
                <c:pt idx="19">
                  <c:v>35</c:v>
                </c:pt>
                <c:pt idx="20">
                  <c:v>35</c:v>
                </c:pt>
                <c:pt idx="21">
                  <c:v>34</c:v>
                </c:pt>
                <c:pt idx="22">
                  <c:v>34</c:v>
                </c:pt>
                <c:pt idx="23">
                  <c:v>89</c:v>
                </c:pt>
                <c:pt idx="24">
                  <c:v>89</c:v>
                </c:pt>
                <c:pt idx="25">
                  <c:v>98</c:v>
                </c:pt>
                <c:pt idx="26">
                  <c:v>98</c:v>
                </c:pt>
                <c:pt idx="27">
                  <c:v>130</c:v>
                </c:pt>
                <c:pt idx="28">
                  <c:v>130</c:v>
                </c:pt>
                <c:pt idx="29">
                  <c:v>207</c:v>
                </c:pt>
                <c:pt idx="30">
                  <c:v>207</c:v>
                </c:pt>
                <c:pt idx="31">
                  <c:v>263</c:v>
                </c:pt>
                <c:pt idx="32">
                  <c:v>263</c:v>
                </c:pt>
                <c:pt idx="33">
                  <c:v>364</c:v>
                </c:pt>
                <c:pt idx="34">
                  <c:v>364</c:v>
                </c:pt>
                <c:pt idx="35">
                  <c:v>544</c:v>
                </c:pt>
                <c:pt idx="36">
                  <c:v>544</c:v>
                </c:pt>
                <c:pt idx="37">
                  <c:v>681</c:v>
                </c:pt>
                <c:pt idx="38">
                  <c:v>681</c:v>
                </c:pt>
                <c:pt idx="39">
                  <c:v>887</c:v>
                </c:pt>
                <c:pt idx="40">
                  <c:v>887</c:v>
                </c:pt>
                <c:pt idx="41">
                  <c:v>1177</c:v>
                </c:pt>
                <c:pt idx="42">
                  <c:v>1177</c:v>
                </c:pt>
                <c:pt idx="43">
                  <c:v>1439</c:v>
                </c:pt>
                <c:pt idx="44">
                  <c:v>1439</c:v>
                </c:pt>
                <c:pt idx="45">
                  <c:v>1694</c:v>
                </c:pt>
                <c:pt idx="46">
                  <c:v>1694</c:v>
                </c:pt>
                <c:pt idx="47">
                  <c:v>2089</c:v>
                </c:pt>
                <c:pt idx="48">
                  <c:v>2089</c:v>
                </c:pt>
                <c:pt idx="49">
                  <c:v>2571</c:v>
                </c:pt>
                <c:pt idx="50">
                  <c:v>2571</c:v>
                </c:pt>
                <c:pt idx="51">
                  <c:v>2943</c:v>
                </c:pt>
                <c:pt idx="52">
                  <c:v>2943</c:v>
                </c:pt>
                <c:pt idx="53">
                  <c:v>3257</c:v>
                </c:pt>
                <c:pt idx="54">
                  <c:v>3257</c:v>
                </c:pt>
                <c:pt idx="55">
                  <c:v>3667</c:v>
                </c:pt>
                <c:pt idx="56">
                  <c:v>3667</c:v>
                </c:pt>
                <c:pt idx="57">
                  <c:v>4079</c:v>
                </c:pt>
                <c:pt idx="58">
                  <c:v>4079</c:v>
                </c:pt>
                <c:pt idx="59">
                  <c:v>4390</c:v>
                </c:pt>
                <c:pt idx="60">
                  <c:v>4390</c:v>
                </c:pt>
                <c:pt idx="61">
                  <c:v>4792</c:v>
                </c:pt>
                <c:pt idx="62">
                  <c:v>4792</c:v>
                </c:pt>
                <c:pt idx="63">
                  <c:v>4993</c:v>
                </c:pt>
                <c:pt idx="64">
                  <c:v>4993</c:v>
                </c:pt>
                <c:pt idx="65">
                  <c:v>5187</c:v>
                </c:pt>
                <c:pt idx="66">
                  <c:v>5187</c:v>
                </c:pt>
                <c:pt idx="67">
                  <c:v>5261</c:v>
                </c:pt>
                <c:pt idx="68">
                  <c:v>5261</c:v>
                </c:pt>
                <c:pt idx="69">
                  <c:v>5274</c:v>
                </c:pt>
                <c:pt idx="70">
                  <c:v>5274</c:v>
                </c:pt>
                <c:pt idx="71">
                  <c:v>5259</c:v>
                </c:pt>
                <c:pt idx="72">
                  <c:v>5259</c:v>
                </c:pt>
                <c:pt idx="73">
                  <c:v>4914</c:v>
                </c:pt>
                <c:pt idx="74">
                  <c:v>4914</c:v>
                </c:pt>
                <c:pt idx="75">
                  <c:v>4706</c:v>
                </c:pt>
                <c:pt idx="76">
                  <c:v>4706</c:v>
                </c:pt>
                <c:pt idx="77">
                  <c:v>4375</c:v>
                </c:pt>
                <c:pt idx="78">
                  <c:v>4375</c:v>
                </c:pt>
                <c:pt idx="79">
                  <c:v>4062</c:v>
                </c:pt>
                <c:pt idx="80">
                  <c:v>4062</c:v>
                </c:pt>
                <c:pt idx="81">
                  <c:v>3541</c:v>
                </c:pt>
                <c:pt idx="82">
                  <c:v>3541</c:v>
                </c:pt>
                <c:pt idx="83">
                  <c:v>3161</c:v>
                </c:pt>
                <c:pt idx="84">
                  <c:v>3161</c:v>
                </c:pt>
                <c:pt idx="85">
                  <c:v>2785</c:v>
                </c:pt>
                <c:pt idx="86">
                  <c:v>2785</c:v>
                </c:pt>
                <c:pt idx="87">
                  <c:v>2291</c:v>
                </c:pt>
                <c:pt idx="88">
                  <c:v>2291</c:v>
                </c:pt>
                <c:pt idx="89">
                  <c:v>1991</c:v>
                </c:pt>
                <c:pt idx="90">
                  <c:v>1991</c:v>
                </c:pt>
                <c:pt idx="91">
                  <c:v>1544</c:v>
                </c:pt>
                <c:pt idx="92">
                  <c:v>1544</c:v>
                </c:pt>
                <c:pt idx="93">
                  <c:v>1293</c:v>
                </c:pt>
                <c:pt idx="94">
                  <c:v>1293</c:v>
                </c:pt>
                <c:pt idx="95">
                  <c:v>1006</c:v>
                </c:pt>
                <c:pt idx="96">
                  <c:v>1006</c:v>
                </c:pt>
                <c:pt idx="97">
                  <c:v>801</c:v>
                </c:pt>
                <c:pt idx="98">
                  <c:v>801</c:v>
                </c:pt>
                <c:pt idx="99">
                  <c:v>602</c:v>
                </c:pt>
                <c:pt idx="100">
                  <c:v>602</c:v>
                </c:pt>
                <c:pt idx="101">
                  <c:v>430</c:v>
                </c:pt>
                <c:pt idx="102">
                  <c:v>430</c:v>
                </c:pt>
                <c:pt idx="103">
                  <c:v>314</c:v>
                </c:pt>
                <c:pt idx="104">
                  <c:v>314</c:v>
                </c:pt>
                <c:pt idx="105">
                  <c:v>221</c:v>
                </c:pt>
                <c:pt idx="106">
                  <c:v>221</c:v>
                </c:pt>
                <c:pt idx="107">
                  <c:v>147</c:v>
                </c:pt>
                <c:pt idx="108">
                  <c:v>147</c:v>
                </c:pt>
                <c:pt idx="109">
                  <c:v>114</c:v>
                </c:pt>
                <c:pt idx="110">
                  <c:v>114</c:v>
                </c:pt>
                <c:pt idx="111">
                  <c:v>95</c:v>
                </c:pt>
                <c:pt idx="112">
                  <c:v>95</c:v>
                </c:pt>
                <c:pt idx="113">
                  <c:v>67</c:v>
                </c:pt>
                <c:pt idx="114">
                  <c:v>67</c:v>
                </c:pt>
                <c:pt idx="115">
                  <c:v>23</c:v>
                </c:pt>
                <c:pt idx="116">
                  <c:v>23</c:v>
                </c:pt>
                <c:pt idx="117">
                  <c:v>21</c:v>
                </c:pt>
                <c:pt idx="118">
                  <c:v>21</c:v>
                </c:pt>
                <c:pt idx="119">
                  <c:v>17</c:v>
                </c:pt>
                <c:pt idx="120">
                  <c:v>17</c:v>
                </c:pt>
                <c:pt idx="121">
                  <c:v>9</c:v>
                </c:pt>
                <c:pt idx="122">
                  <c:v>9</c:v>
                </c:pt>
                <c:pt idx="123">
                  <c:v>8</c:v>
                </c:pt>
                <c:pt idx="124">
                  <c:v>8</c:v>
                </c:pt>
                <c:pt idx="125">
                  <c:v>3</c:v>
                </c:pt>
                <c:pt idx="126">
                  <c:v>3</c:v>
                </c:pt>
                <c:pt idx="127">
                  <c:v>6</c:v>
                </c:pt>
                <c:pt idx="128">
                  <c:v>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</c:v>
                </c:pt>
                <c:pt idx="134">
                  <c:v>2</c:v>
                </c:pt>
                <c:pt idx="1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7-4CE5-A840-6E5E35BA2A98}"/>
            </c:ext>
          </c:extLst>
        </c:ser>
        <c:ser>
          <c:idx val="1"/>
          <c:order val="1"/>
          <c:tx>
            <c:strRef>
              <c:f>MCSim7!$AM$1</c:f>
              <c:strCache>
                <c:ptCount val="1"/>
                <c:pt idx="0">
                  <c:v>Dead!$H$4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MCSim7!$AK$2:$AK$137</c:f>
              <c:numCache>
                <c:formatCode>General</c:formatCode>
                <c:ptCount val="136"/>
                <c:pt idx="0">
                  <c:v>-8250</c:v>
                </c:pt>
                <c:pt idx="1">
                  <c:v>-8250</c:v>
                </c:pt>
                <c:pt idx="2">
                  <c:v>-8000</c:v>
                </c:pt>
                <c:pt idx="3">
                  <c:v>-8000</c:v>
                </c:pt>
                <c:pt idx="4">
                  <c:v>-7750</c:v>
                </c:pt>
                <c:pt idx="5">
                  <c:v>-7750</c:v>
                </c:pt>
                <c:pt idx="6">
                  <c:v>-7500</c:v>
                </c:pt>
                <c:pt idx="7">
                  <c:v>-7500</c:v>
                </c:pt>
                <c:pt idx="8">
                  <c:v>-7250</c:v>
                </c:pt>
                <c:pt idx="9">
                  <c:v>-7250</c:v>
                </c:pt>
                <c:pt idx="10">
                  <c:v>-7000</c:v>
                </c:pt>
                <c:pt idx="11">
                  <c:v>-7000</c:v>
                </c:pt>
                <c:pt idx="12">
                  <c:v>-6750</c:v>
                </c:pt>
                <c:pt idx="13">
                  <c:v>-6750</c:v>
                </c:pt>
                <c:pt idx="14">
                  <c:v>-6500</c:v>
                </c:pt>
                <c:pt idx="15">
                  <c:v>-6500</c:v>
                </c:pt>
                <c:pt idx="16">
                  <c:v>-6250</c:v>
                </c:pt>
                <c:pt idx="17">
                  <c:v>-6250</c:v>
                </c:pt>
                <c:pt idx="18">
                  <c:v>-6000</c:v>
                </c:pt>
                <c:pt idx="19">
                  <c:v>-6000</c:v>
                </c:pt>
                <c:pt idx="20">
                  <c:v>-5750</c:v>
                </c:pt>
                <c:pt idx="21">
                  <c:v>-5750</c:v>
                </c:pt>
                <c:pt idx="22">
                  <c:v>-5500</c:v>
                </c:pt>
                <c:pt idx="23">
                  <c:v>-5500</c:v>
                </c:pt>
                <c:pt idx="24">
                  <c:v>-5250</c:v>
                </c:pt>
                <c:pt idx="25">
                  <c:v>-5250</c:v>
                </c:pt>
                <c:pt idx="26">
                  <c:v>-5000</c:v>
                </c:pt>
                <c:pt idx="27">
                  <c:v>-5000</c:v>
                </c:pt>
                <c:pt idx="28">
                  <c:v>-4750</c:v>
                </c:pt>
                <c:pt idx="29">
                  <c:v>-4750</c:v>
                </c:pt>
                <c:pt idx="30">
                  <c:v>-4500</c:v>
                </c:pt>
                <c:pt idx="31">
                  <c:v>-4500</c:v>
                </c:pt>
                <c:pt idx="32">
                  <c:v>-4250</c:v>
                </c:pt>
                <c:pt idx="33">
                  <c:v>-4250</c:v>
                </c:pt>
                <c:pt idx="34">
                  <c:v>-4000</c:v>
                </c:pt>
                <c:pt idx="35">
                  <c:v>-4000</c:v>
                </c:pt>
                <c:pt idx="36">
                  <c:v>-3750</c:v>
                </c:pt>
                <c:pt idx="37">
                  <c:v>-3750</c:v>
                </c:pt>
                <c:pt idx="38">
                  <c:v>-3500</c:v>
                </c:pt>
                <c:pt idx="39">
                  <c:v>-3500</c:v>
                </c:pt>
                <c:pt idx="40">
                  <c:v>-3250</c:v>
                </c:pt>
                <c:pt idx="41">
                  <c:v>-3250</c:v>
                </c:pt>
                <c:pt idx="42">
                  <c:v>-3000</c:v>
                </c:pt>
                <c:pt idx="43">
                  <c:v>-3000</c:v>
                </c:pt>
                <c:pt idx="44">
                  <c:v>-2750</c:v>
                </c:pt>
                <c:pt idx="45">
                  <c:v>-2750</c:v>
                </c:pt>
                <c:pt idx="46">
                  <c:v>-2500</c:v>
                </c:pt>
                <c:pt idx="47">
                  <c:v>-2500</c:v>
                </c:pt>
                <c:pt idx="48">
                  <c:v>-2250</c:v>
                </c:pt>
                <c:pt idx="49">
                  <c:v>-2250</c:v>
                </c:pt>
                <c:pt idx="50">
                  <c:v>-2000</c:v>
                </c:pt>
                <c:pt idx="51">
                  <c:v>-2000</c:v>
                </c:pt>
                <c:pt idx="52">
                  <c:v>-1750</c:v>
                </c:pt>
                <c:pt idx="53">
                  <c:v>-1750</c:v>
                </c:pt>
                <c:pt idx="54">
                  <c:v>-1500</c:v>
                </c:pt>
                <c:pt idx="55">
                  <c:v>-1500</c:v>
                </c:pt>
                <c:pt idx="56">
                  <c:v>-1250</c:v>
                </c:pt>
                <c:pt idx="57">
                  <c:v>-1250</c:v>
                </c:pt>
                <c:pt idx="58">
                  <c:v>-1000</c:v>
                </c:pt>
                <c:pt idx="59">
                  <c:v>-1000</c:v>
                </c:pt>
                <c:pt idx="60">
                  <c:v>-750</c:v>
                </c:pt>
                <c:pt idx="61">
                  <c:v>-750</c:v>
                </c:pt>
                <c:pt idx="62">
                  <c:v>-500</c:v>
                </c:pt>
                <c:pt idx="63">
                  <c:v>-500</c:v>
                </c:pt>
                <c:pt idx="64">
                  <c:v>-250</c:v>
                </c:pt>
                <c:pt idx="65">
                  <c:v>-250</c:v>
                </c:pt>
                <c:pt idx="66">
                  <c:v>0</c:v>
                </c:pt>
                <c:pt idx="67">
                  <c:v>0</c:v>
                </c:pt>
                <c:pt idx="68">
                  <c:v>250</c:v>
                </c:pt>
                <c:pt idx="69">
                  <c:v>250</c:v>
                </c:pt>
                <c:pt idx="70">
                  <c:v>500</c:v>
                </c:pt>
                <c:pt idx="71">
                  <c:v>500</c:v>
                </c:pt>
                <c:pt idx="72">
                  <c:v>750</c:v>
                </c:pt>
                <c:pt idx="73">
                  <c:v>750</c:v>
                </c:pt>
                <c:pt idx="74">
                  <c:v>1000</c:v>
                </c:pt>
                <c:pt idx="75">
                  <c:v>1000</c:v>
                </c:pt>
                <c:pt idx="76">
                  <c:v>1250</c:v>
                </c:pt>
                <c:pt idx="77">
                  <c:v>1250</c:v>
                </c:pt>
                <c:pt idx="78">
                  <c:v>1500</c:v>
                </c:pt>
                <c:pt idx="79">
                  <c:v>1500</c:v>
                </c:pt>
                <c:pt idx="80">
                  <c:v>1750</c:v>
                </c:pt>
                <c:pt idx="81">
                  <c:v>1750</c:v>
                </c:pt>
                <c:pt idx="82">
                  <c:v>2000</c:v>
                </c:pt>
                <c:pt idx="83">
                  <c:v>2000</c:v>
                </c:pt>
                <c:pt idx="84">
                  <c:v>2250</c:v>
                </c:pt>
                <c:pt idx="85">
                  <c:v>2250</c:v>
                </c:pt>
                <c:pt idx="86">
                  <c:v>2500</c:v>
                </c:pt>
                <c:pt idx="87">
                  <c:v>2500</c:v>
                </c:pt>
                <c:pt idx="88">
                  <c:v>2750</c:v>
                </c:pt>
                <c:pt idx="89">
                  <c:v>2750</c:v>
                </c:pt>
                <c:pt idx="90">
                  <c:v>3000</c:v>
                </c:pt>
                <c:pt idx="91">
                  <c:v>3000</c:v>
                </c:pt>
                <c:pt idx="92">
                  <c:v>3250</c:v>
                </c:pt>
                <c:pt idx="93">
                  <c:v>3250</c:v>
                </c:pt>
                <c:pt idx="94">
                  <c:v>3500</c:v>
                </c:pt>
                <c:pt idx="95">
                  <c:v>3500</c:v>
                </c:pt>
                <c:pt idx="96">
                  <c:v>3750</c:v>
                </c:pt>
                <c:pt idx="97">
                  <c:v>3750</c:v>
                </c:pt>
                <c:pt idx="98">
                  <c:v>4000</c:v>
                </c:pt>
                <c:pt idx="99">
                  <c:v>4000</c:v>
                </c:pt>
                <c:pt idx="100">
                  <c:v>4250</c:v>
                </c:pt>
                <c:pt idx="101">
                  <c:v>4250</c:v>
                </c:pt>
                <c:pt idx="102">
                  <c:v>4500</c:v>
                </c:pt>
                <c:pt idx="103">
                  <c:v>4500</c:v>
                </c:pt>
                <c:pt idx="104">
                  <c:v>4750</c:v>
                </c:pt>
                <c:pt idx="105">
                  <c:v>4750</c:v>
                </c:pt>
                <c:pt idx="106">
                  <c:v>5000</c:v>
                </c:pt>
                <c:pt idx="107">
                  <c:v>5000</c:v>
                </c:pt>
                <c:pt idx="108">
                  <c:v>5250</c:v>
                </c:pt>
                <c:pt idx="109">
                  <c:v>5250</c:v>
                </c:pt>
                <c:pt idx="110">
                  <c:v>5500</c:v>
                </c:pt>
                <c:pt idx="111">
                  <c:v>5500</c:v>
                </c:pt>
                <c:pt idx="112">
                  <c:v>5750</c:v>
                </c:pt>
                <c:pt idx="113">
                  <c:v>5750</c:v>
                </c:pt>
                <c:pt idx="114">
                  <c:v>6000</c:v>
                </c:pt>
                <c:pt idx="115">
                  <c:v>6000</c:v>
                </c:pt>
                <c:pt idx="116">
                  <c:v>6250</c:v>
                </c:pt>
                <c:pt idx="117">
                  <c:v>6250</c:v>
                </c:pt>
                <c:pt idx="118">
                  <c:v>6500</c:v>
                </c:pt>
                <c:pt idx="119">
                  <c:v>6500</c:v>
                </c:pt>
                <c:pt idx="120">
                  <c:v>6750</c:v>
                </c:pt>
                <c:pt idx="121">
                  <c:v>6750</c:v>
                </c:pt>
                <c:pt idx="122">
                  <c:v>7000</c:v>
                </c:pt>
                <c:pt idx="123">
                  <c:v>7000</c:v>
                </c:pt>
                <c:pt idx="124">
                  <c:v>7250</c:v>
                </c:pt>
                <c:pt idx="125">
                  <c:v>7250</c:v>
                </c:pt>
                <c:pt idx="126">
                  <c:v>7500</c:v>
                </c:pt>
                <c:pt idx="127">
                  <c:v>7500</c:v>
                </c:pt>
                <c:pt idx="128">
                  <c:v>7750</c:v>
                </c:pt>
                <c:pt idx="129">
                  <c:v>7750</c:v>
                </c:pt>
                <c:pt idx="130">
                  <c:v>8000</c:v>
                </c:pt>
                <c:pt idx="131">
                  <c:v>8000</c:v>
                </c:pt>
                <c:pt idx="132">
                  <c:v>8250</c:v>
                </c:pt>
                <c:pt idx="133">
                  <c:v>8250</c:v>
                </c:pt>
                <c:pt idx="134">
                  <c:v>8500</c:v>
                </c:pt>
                <c:pt idx="135">
                  <c:v>8500</c:v>
                </c:pt>
              </c:numCache>
            </c:numRef>
          </c:xVal>
          <c:yVal>
            <c:numRef>
              <c:f>MCSim7!$AM$2:$AM$137</c:f>
              <c:numCache>
                <c:formatCode>General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2302</c:v>
                </c:pt>
                <c:pt idx="68">
                  <c:v>2302</c:v>
                </c:pt>
                <c:pt idx="69">
                  <c:v>9988</c:v>
                </c:pt>
                <c:pt idx="70">
                  <c:v>9988</c:v>
                </c:pt>
                <c:pt idx="71">
                  <c:v>14800</c:v>
                </c:pt>
                <c:pt idx="72">
                  <c:v>14800</c:v>
                </c:pt>
                <c:pt idx="73">
                  <c:v>15602</c:v>
                </c:pt>
                <c:pt idx="74">
                  <c:v>15602</c:v>
                </c:pt>
                <c:pt idx="75">
                  <c:v>14031</c:v>
                </c:pt>
                <c:pt idx="76">
                  <c:v>14031</c:v>
                </c:pt>
                <c:pt idx="77">
                  <c:v>11744</c:v>
                </c:pt>
                <c:pt idx="78">
                  <c:v>11744</c:v>
                </c:pt>
                <c:pt idx="79">
                  <c:v>9053</c:v>
                </c:pt>
                <c:pt idx="80">
                  <c:v>9053</c:v>
                </c:pt>
                <c:pt idx="81">
                  <c:v>6818</c:v>
                </c:pt>
                <c:pt idx="82">
                  <c:v>6818</c:v>
                </c:pt>
                <c:pt idx="83">
                  <c:v>5023</c:v>
                </c:pt>
                <c:pt idx="84">
                  <c:v>5023</c:v>
                </c:pt>
                <c:pt idx="85">
                  <c:v>3655</c:v>
                </c:pt>
                <c:pt idx="86">
                  <c:v>3655</c:v>
                </c:pt>
                <c:pt idx="87">
                  <c:v>2515</c:v>
                </c:pt>
                <c:pt idx="88">
                  <c:v>2515</c:v>
                </c:pt>
                <c:pt idx="89">
                  <c:v>1726</c:v>
                </c:pt>
                <c:pt idx="90">
                  <c:v>1726</c:v>
                </c:pt>
                <c:pt idx="91">
                  <c:v>1082</c:v>
                </c:pt>
                <c:pt idx="92">
                  <c:v>1082</c:v>
                </c:pt>
                <c:pt idx="93">
                  <c:v>697</c:v>
                </c:pt>
                <c:pt idx="94">
                  <c:v>697</c:v>
                </c:pt>
                <c:pt idx="95">
                  <c:v>432</c:v>
                </c:pt>
                <c:pt idx="96">
                  <c:v>432</c:v>
                </c:pt>
                <c:pt idx="97">
                  <c:v>233</c:v>
                </c:pt>
                <c:pt idx="98">
                  <c:v>233</c:v>
                </c:pt>
                <c:pt idx="99">
                  <c:v>142</c:v>
                </c:pt>
                <c:pt idx="100">
                  <c:v>142</c:v>
                </c:pt>
                <c:pt idx="101">
                  <c:v>75</c:v>
                </c:pt>
                <c:pt idx="102">
                  <c:v>75</c:v>
                </c:pt>
                <c:pt idx="103">
                  <c:v>36</c:v>
                </c:pt>
                <c:pt idx="104">
                  <c:v>36</c:v>
                </c:pt>
                <c:pt idx="105">
                  <c:v>28</c:v>
                </c:pt>
                <c:pt idx="106">
                  <c:v>28</c:v>
                </c:pt>
                <c:pt idx="107">
                  <c:v>12</c:v>
                </c:pt>
                <c:pt idx="108">
                  <c:v>12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3</c:v>
                </c:pt>
                <c:pt idx="1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57-4CE5-A840-6E5E35BA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1244736"/>
        <c:axId val="1709914112"/>
      </c:scatterChart>
      <c:valAx>
        <c:axId val="731244736"/>
        <c:scaling>
          <c:orientation val="minMax"/>
          <c:max val="8500"/>
          <c:min val="-8250"/>
        </c:scaling>
        <c:delete val="0"/>
        <c:axPos val="b"/>
        <c:numFmt formatCode="General" sourceLinked="1"/>
        <c:majorTickMark val="out"/>
        <c:minorTickMark val="none"/>
        <c:tickLblPos val="nextTo"/>
        <c:crossAx val="1709914112"/>
        <c:crosses val="autoZero"/>
        <c:crossBetween val="midCat"/>
      </c:valAx>
      <c:valAx>
        <c:axId val="1709914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731244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 on X1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Dead!$C$11:$C$15</c:f>
              <c:numCache>
                <c:formatCode>General</c:formatCode>
                <c:ptCount val="5"/>
                <c:pt idx="0">
                  <c:v>7.7864733306865102</c:v>
                </c:pt>
                <c:pt idx="1">
                  <c:v>3.202871671019544</c:v>
                </c:pt>
                <c:pt idx="2">
                  <c:v>5.117138776710382</c:v>
                </c:pt>
                <c:pt idx="3">
                  <c:v>1.8741524578225699</c:v>
                </c:pt>
                <c:pt idx="4">
                  <c:v>9.2410206535959851</c:v>
                </c:pt>
              </c:numCache>
            </c:numRef>
          </c:xVal>
          <c:yVal>
            <c:numRef>
              <c:f>Dead!$F$11:$F$15</c:f>
              <c:numCache>
                <c:formatCode>General</c:formatCode>
                <c:ptCount val="5"/>
                <c:pt idx="0">
                  <c:v>9011.7172861116233</c:v>
                </c:pt>
                <c:pt idx="1">
                  <c:v>969.42436091654042</c:v>
                </c:pt>
                <c:pt idx="2">
                  <c:v>-2063.7320110186947</c:v>
                </c:pt>
                <c:pt idx="3">
                  <c:v>444.03801502583156</c:v>
                </c:pt>
                <c:pt idx="4">
                  <c:v>-15966.239323357866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4-4703-8585-5C44098BC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380943"/>
        <c:axId val="21696960"/>
      </c:scatterChart>
      <c:valAx>
        <c:axId val="82238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6960"/>
        <c:crosses val="autoZero"/>
        <c:crossBetween val="midCat"/>
      </c:valAx>
      <c:valAx>
        <c:axId val="21696960"/>
        <c:scaling>
          <c:orientation val="minMax"/>
          <c:max val="6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380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'Q1'!$AL$1</c:f>
              <c:strCache>
                <c:ptCount val="1"/>
                <c:pt idx="0">
                  <c:v>$H$3</c:v>
                </c:pt>
              </c:strCache>
            </c:strRef>
          </c:tx>
          <c:marker>
            <c:symbol val="none"/>
          </c:marker>
          <c:xVal>
            <c:numRef>
              <c:f>'Q1'!$AK$2:$AK$97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85</c:v>
                </c:pt>
                <c:pt idx="3">
                  <c:v>85</c:v>
                </c:pt>
                <c:pt idx="4">
                  <c:v>90</c:v>
                </c:pt>
                <c:pt idx="5">
                  <c:v>90</c:v>
                </c:pt>
                <c:pt idx="6">
                  <c:v>95</c:v>
                </c:pt>
                <c:pt idx="7">
                  <c:v>95</c:v>
                </c:pt>
                <c:pt idx="8">
                  <c:v>100</c:v>
                </c:pt>
                <c:pt idx="9">
                  <c:v>100</c:v>
                </c:pt>
                <c:pt idx="10">
                  <c:v>105</c:v>
                </c:pt>
                <c:pt idx="11">
                  <c:v>105</c:v>
                </c:pt>
                <c:pt idx="12">
                  <c:v>110</c:v>
                </c:pt>
                <c:pt idx="13">
                  <c:v>110</c:v>
                </c:pt>
                <c:pt idx="14">
                  <c:v>115</c:v>
                </c:pt>
                <c:pt idx="15">
                  <c:v>115</c:v>
                </c:pt>
                <c:pt idx="16">
                  <c:v>120</c:v>
                </c:pt>
                <c:pt idx="17">
                  <c:v>120</c:v>
                </c:pt>
                <c:pt idx="18">
                  <c:v>125</c:v>
                </c:pt>
                <c:pt idx="19">
                  <c:v>125</c:v>
                </c:pt>
                <c:pt idx="20">
                  <c:v>130</c:v>
                </c:pt>
                <c:pt idx="21">
                  <c:v>130</c:v>
                </c:pt>
                <c:pt idx="22">
                  <c:v>135</c:v>
                </c:pt>
                <c:pt idx="23">
                  <c:v>135</c:v>
                </c:pt>
                <c:pt idx="24">
                  <c:v>140</c:v>
                </c:pt>
                <c:pt idx="25">
                  <c:v>140</c:v>
                </c:pt>
                <c:pt idx="26">
                  <c:v>145</c:v>
                </c:pt>
                <c:pt idx="27">
                  <c:v>145</c:v>
                </c:pt>
                <c:pt idx="28">
                  <c:v>150</c:v>
                </c:pt>
                <c:pt idx="29">
                  <c:v>150</c:v>
                </c:pt>
                <c:pt idx="30">
                  <c:v>155</c:v>
                </c:pt>
                <c:pt idx="31">
                  <c:v>155</c:v>
                </c:pt>
                <c:pt idx="32">
                  <c:v>160</c:v>
                </c:pt>
                <c:pt idx="33">
                  <c:v>160</c:v>
                </c:pt>
                <c:pt idx="34">
                  <c:v>165</c:v>
                </c:pt>
                <c:pt idx="35">
                  <c:v>165</c:v>
                </c:pt>
                <c:pt idx="36">
                  <c:v>170</c:v>
                </c:pt>
                <c:pt idx="37">
                  <c:v>170</c:v>
                </c:pt>
                <c:pt idx="38">
                  <c:v>175</c:v>
                </c:pt>
                <c:pt idx="39">
                  <c:v>175</c:v>
                </c:pt>
                <c:pt idx="40">
                  <c:v>180</c:v>
                </c:pt>
                <c:pt idx="41">
                  <c:v>180</c:v>
                </c:pt>
                <c:pt idx="42">
                  <c:v>185</c:v>
                </c:pt>
                <c:pt idx="43">
                  <c:v>185</c:v>
                </c:pt>
                <c:pt idx="44">
                  <c:v>190</c:v>
                </c:pt>
                <c:pt idx="45">
                  <c:v>190</c:v>
                </c:pt>
                <c:pt idx="46">
                  <c:v>195</c:v>
                </c:pt>
                <c:pt idx="47">
                  <c:v>195</c:v>
                </c:pt>
                <c:pt idx="48">
                  <c:v>200</c:v>
                </c:pt>
                <c:pt idx="49">
                  <c:v>200</c:v>
                </c:pt>
                <c:pt idx="50">
                  <c:v>205</c:v>
                </c:pt>
                <c:pt idx="51">
                  <c:v>205</c:v>
                </c:pt>
                <c:pt idx="52">
                  <c:v>210</c:v>
                </c:pt>
                <c:pt idx="53">
                  <c:v>210</c:v>
                </c:pt>
                <c:pt idx="54">
                  <c:v>215</c:v>
                </c:pt>
                <c:pt idx="55">
                  <c:v>215</c:v>
                </c:pt>
                <c:pt idx="56">
                  <c:v>220</c:v>
                </c:pt>
                <c:pt idx="57">
                  <c:v>220</c:v>
                </c:pt>
                <c:pt idx="58">
                  <c:v>225</c:v>
                </c:pt>
                <c:pt idx="59">
                  <c:v>225</c:v>
                </c:pt>
                <c:pt idx="60">
                  <c:v>230</c:v>
                </c:pt>
                <c:pt idx="61">
                  <c:v>230</c:v>
                </c:pt>
                <c:pt idx="62">
                  <c:v>235</c:v>
                </c:pt>
                <c:pt idx="63">
                  <c:v>235</c:v>
                </c:pt>
                <c:pt idx="64">
                  <c:v>240</c:v>
                </c:pt>
                <c:pt idx="65">
                  <c:v>240</c:v>
                </c:pt>
                <c:pt idx="66">
                  <c:v>245</c:v>
                </c:pt>
                <c:pt idx="67">
                  <c:v>245</c:v>
                </c:pt>
                <c:pt idx="68">
                  <c:v>250</c:v>
                </c:pt>
                <c:pt idx="69">
                  <c:v>250</c:v>
                </c:pt>
                <c:pt idx="70">
                  <c:v>255</c:v>
                </c:pt>
                <c:pt idx="71">
                  <c:v>255</c:v>
                </c:pt>
                <c:pt idx="72">
                  <c:v>260</c:v>
                </c:pt>
                <c:pt idx="73">
                  <c:v>260</c:v>
                </c:pt>
                <c:pt idx="74">
                  <c:v>265</c:v>
                </c:pt>
                <c:pt idx="75">
                  <c:v>265</c:v>
                </c:pt>
                <c:pt idx="76">
                  <c:v>270</c:v>
                </c:pt>
                <c:pt idx="77">
                  <c:v>270</c:v>
                </c:pt>
                <c:pt idx="78">
                  <c:v>275</c:v>
                </c:pt>
                <c:pt idx="79">
                  <c:v>275</c:v>
                </c:pt>
                <c:pt idx="80">
                  <c:v>280</c:v>
                </c:pt>
                <c:pt idx="81">
                  <c:v>280</c:v>
                </c:pt>
                <c:pt idx="82">
                  <c:v>285</c:v>
                </c:pt>
                <c:pt idx="83">
                  <c:v>285</c:v>
                </c:pt>
                <c:pt idx="84">
                  <c:v>290</c:v>
                </c:pt>
                <c:pt idx="85">
                  <c:v>290</c:v>
                </c:pt>
                <c:pt idx="86">
                  <c:v>295</c:v>
                </c:pt>
                <c:pt idx="87">
                  <c:v>295</c:v>
                </c:pt>
                <c:pt idx="88">
                  <c:v>300</c:v>
                </c:pt>
                <c:pt idx="89">
                  <c:v>300</c:v>
                </c:pt>
                <c:pt idx="90">
                  <c:v>305</c:v>
                </c:pt>
                <c:pt idx="91">
                  <c:v>305</c:v>
                </c:pt>
                <c:pt idx="92">
                  <c:v>310</c:v>
                </c:pt>
                <c:pt idx="93">
                  <c:v>310</c:v>
                </c:pt>
                <c:pt idx="94">
                  <c:v>315</c:v>
                </c:pt>
                <c:pt idx="95">
                  <c:v>315</c:v>
                </c:pt>
              </c:numCache>
            </c:numRef>
          </c:xVal>
          <c:yVal>
            <c:numRef>
              <c:f>'Q1'!$AL$2:$AL$97</c:f>
              <c:numCache>
                <c:formatCode>General</c:formatCode>
                <c:ptCount val="9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11</c:v>
                </c:pt>
                <c:pt idx="11">
                  <c:v>14</c:v>
                </c:pt>
                <c:pt idx="12">
                  <c:v>14</c:v>
                </c:pt>
                <c:pt idx="13">
                  <c:v>19</c:v>
                </c:pt>
                <c:pt idx="14">
                  <c:v>19</c:v>
                </c:pt>
                <c:pt idx="15">
                  <c:v>18</c:v>
                </c:pt>
                <c:pt idx="16">
                  <c:v>18</c:v>
                </c:pt>
                <c:pt idx="17">
                  <c:v>46</c:v>
                </c:pt>
                <c:pt idx="18">
                  <c:v>46</c:v>
                </c:pt>
                <c:pt idx="19">
                  <c:v>52</c:v>
                </c:pt>
                <c:pt idx="20">
                  <c:v>52</c:v>
                </c:pt>
                <c:pt idx="21">
                  <c:v>54</c:v>
                </c:pt>
                <c:pt idx="22">
                  <c:v>54</c:v>
                </c:pt>
                <c:pt idx="23">
                  <c:v>95</c:v>
                </c:pt>
                <c:pt idx="24">
                  <c:v>95</c:v>
                </c:pt>
                <c:pt idx="25">
                  <c:v>115</c:v>
                </c:pt>
                <c:pt idx="26">
                  <c:v>115</c:v>
                </c:pt>
                <c:pt idx="27">
                  <c:v>159</c:v>
                </c:pt>
                <c:pt idx="28">
                  <c:v>159</c:v>
                </c:pt>
                <c:pt idx="29">
                  <c:v>222</c:v>
                </c:pt>
                <c:pt idx="30">
                  <c:v>222</c:v>
                </c:pt>
                <c:pt idx="31">
                  <c:v>247</c:v>
                </c:pt>
                <c:pt idx="32">
                  <c:v>247</c:v>
                </c:pt>
                <c:pt idx="33">
                  <c:v>329</c:v>
                </c:pt>
                <c:pt idx="34">
                  <c:v>329</c:v>
                </c:pt>
                <c:pt idx="35">
                  <c:v>404</c:v>
                </c:pt>
                <c:pt idx="36">
                  <c:v>404</c:v>
                </c:pt>
                <c:pt idx="37">
                  <c:v>428</c:v>
                </c:pt>
                <c:pt idx="38">
                  <c:v>428</c:v>
                </c:pt>
                <c:pt idx="39">
                  <c:v>503</c:v>
                </c:pt>
                <c:pt idx="40">
                  <c:v>503</c:v>
                </c:pt>
                <c:pt idx="41">
                  <c:v>556</c:v>
                </c:pt>
                <c:pt idx="42">
                  <c:v>556</c:v>
                </c:pt>
                <c:pt idx="43">
                  <c:v>569</c:v>
                </c:pt>
                <c:pt idx="44">
                  <c:v>569</c:v>
                </c:pt>
                <c:pt idx="45">
                  <c:v>555</c:v>
                </c:pt>
                <c:pt idx="46">
                  <c:v>555</c:v>
                </c:pt>
                <c:pt idx="47">
                  <c:v>553</c:v>
                </c:pt>
                <c:pt idx="48">
                  <c:v>553</c:v>
                </c:pt>
                <c:pt idx="49">
                  <c:v>631</c:v>
                </c:pt>
                <c:pt idx="50">
                  <c:v>631</c:v>
                </c:pt>
                <c:pt idx="51">
                  <c:v>589</c:v>
                </c:pt>
                <c:pt idx="52">
                  <c:v>589</c:v>
                </c:pt>
                <c:pt idx="53">
                  <c:v>574</c:v>
                </c:pt>
                <c:pt idx="54">
                  <c:v>574</c:v>
                </c:pt>
                <c:pt idx="55">
                  <c:v>543</c:v>
                </c:pt>
                <c:pt idx="56">
                  <c:v>543</c:v>
                </c:pt>
                <c:pt idx="57">
                  <c:v>492</c:v>
                </c:pt>
                <c:pt idx="58">
                  <c:v>492</c:v>
                </c:pt>
                <c:pt idx="59">
                  <c:v>419</c:v>
                </c:pt>
                <c:pt idx="60">
                  <c:v>419</c:v>
                </c:pt>
                <c:pt idx="61">
                  <c:v>362</c:v>
                </c:pt>
                <c:pt idx="62">
                  <c:v>362</c:v>
                </c:pt>
                <c:pt idx="63">
                  <c:v>320</c:v>
                </c:pt>
                <c:pt idx="64">
                  <c:v>320</c:v>
                </c:pt>
                <c:pt idx="65">
                  <c:v>268</c:v>
                </c:pt>
                <c:pt idx="66">
                  <c:v>268</c:v>
                </c:pt>
                <c:pt idx="67">
                  <c:v>217</c:v>
                </c:pt>
                <c:pt idx="68">
                  <c:v>217</c:v>
                </c:pt>
                <c:pt idx="69">
                  <c:v>177</c:v>
                </c:pt>
                <c:pt idx="70">
                  <c:v>177</c:v>
                </c:pt>
                <c:pt idx="71">
                  <c:v>132</c:v>
                </c:pt>
                <c:pt idx="72">
                  <c:v>132</c:v>
                </c:pt>
                <c:pt idx="73">
                  <c:v>98</c:v>
                </c:pt>
                <c:pt idx="74">
                  <c:v>98</c:v>
                </c:pt>
                <c:pt idx="75">
                  <c:v>61</c:v>
                </c:pt>
                <c:pt idx="76">
                  <c:v>61</c:v>
                </c:pt>
                <c:pt idx="77">
                  <c:v>53</c:v>
                </c:pt>
                <c:pt idx="78">
                  <c:v>53</c:v>
                </c:pt>
                <c:pt idx="79">
                  <c:v>36</c:v>
                </c:pt>
                <c:pt idx="80">
                  <c:v>36</c:v>
                </c:pt>
                <c:pt idx="81">
                  <c:v>23</c:v>
                </c:pt>
                <c:pt idx="82">
                  <c:v>23</c:v>
                </c:pt>
                <c:pt idx="83">
                  <c:v>21</c:v>
                </c:pt>
                <c:pt idx="84">
                  <c:v>21</c:v>
                </c:pt>
                <c:pt idx="85">
                  <c:v>6</c:v>
                </c:pt>
                <c:pt idx="86">
                  <c:v>6</c:v>
                </c:pt>
                <c:pt idx="87">
                  <c:v>7</c:v>
                </c:pt>
                <c:pt idx="88">
                  <c:v>7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E-414C-9BED-0C9E373D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6032"/>
        <c:axId val="80740288"/>
      </c:scatterChart>
      <c:valAx>
        <c:axId val="20466032"/>
        <c:scaling>
          <c:orientation val="minMax"/>
          <c:max val="315"/>
          <c:min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80740288"/>
        <c:crosses val="autoZero"/>
        <c:crossBetween val="midCat"/>
      </c:valAx>
      <c:valAx>
        <c:axId val="807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204660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$H$3 And Dead!$H$4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'Q3'!$AL$1</c:f>
              <c:strCache>
                <c:ptCount val="1"/>
                <c:pt idx="0">
                  <c:v>$H$3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'Q3'!$AK$2:$AK$139</c:f>
              <c:numCache>
                <c:formatCode>General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10</c:v>
                </c:pt>
                <c:pt idx="5">
                  <c:v>10</c:v>
                </c:pt>
                <c:pt idx="6">
                  <c:v>15</c:v>
                </c:pt>
                <c:pt idx="7">
                  <c:v>15</c:v>
                </c:pt>
                <c:pt idx="8">
                  <c:v>20</c:v>
                </c:pt>
                <c:pt idx="9">
                  <c:v>20</c:v>
                </c:pt>
                <c:pt idx="10">
                  <c:v>25</c:v>
                </c:pt>
                <c:pt idx="11">
                  <c:v>25</c:v>
                </c:pt>
                <c:pt idx="12">
                  <c:v>30</c:v>
                </c:pt>
                <c:pt idx="13">
                  <c:v>30</c:v>
                </c:pt>
                <c:pt idx="14">
                  <c:v>35</c:v>
                </c:pt>
                <c:pt idx="15">
                  <c:v>35</c:v>
                </c:pt>
                <c:pt idx="16">
                  <c:v>40</c:v>
                </c:pt>
                <c:pt idx="17">
                  <c:v>40</c:v>
                </c:pt>
                <c:pt idx="18">
                  <c:v>45</c:v>
                </c:pt>
                <c:pt idx="19">
                  <c:v>45</c:v>
                </c:pt>
                <c:pt idx="20">
                  <c:v>50</c:v>
                </c:pt>
                <c:pt idx="21">
                  <c:v>50</c:v>
                </c:pt>
                <c:pt idx="22">
                  <c:v>55</c:v>
                </c:pt>
                <c:pt idx="23">
                  <c:v>55</c:v>
                </c:pt>
                <c:pt idx="24">
                  <c:v>60</c:v>
                </c:pt>
                <c:pt idx="25">
                  <c:v>60</c:v>
                </c:pt>
                <c:pt idx="26">
                  <c:v>65</c:v>
                </c:pt>
                <c:pt idx="27">
                  <c:v>65</c:v>
                </c:pt>
                <c:pt idx="28">
                  <c:v>70</c:v>
                </c:pt>
                <c:pt idx="29">
                  <c:v>70</c:v>
                </c:pt>
                <c:pt idx="30">
                  <c:v>75</c:v>
                </c:pt>
                <c:pt idx="31">
                  <c:v>75</c:v>
                </c:pt>
                <c:pt idx="32">
                  <c:v>80</c:v>
                </c:pt>
                <c:pt idx="33">
                  <c:v>80</c:v>
                </c:pt>
                <c:pt idx="34">
                  <c:v>85</c:v>
                </c:pt>
                <c:pt idx="35">
                  <c:v>85</c:v>
                </c:pt>
                <c:pt idx="36">
                  <c:v>90</c:v>
                </c:pt>
                <c:pt idx="37">
                  <c:v>90</c:v>
                </c:pt>
                <c:pt idx="38">
                  <c:v>95</c:v>
                </c:pt>
                <c:pt idx="39">
                  <c:v>95</c:v>
                </c:pt>
                <c:pt idx="40">
                  <c:v>100</c:v>
                </c:pt>
                <c:pt idx="41">
                  <c:v>100</c:v>
                </c:pt>
                <c:pt idx="42">
                  <c:v>105</c:v>
                </c:pt>
                <c:pt idx="43">
                  <c:v>105</c:v>
                </c:pt>
                <c:pt idx="44">
                  <c:v>110</c:v>
                </c:pt>
                <c:pt idx="45">
                  <c:v>110</c:v>
                </c:pt>
                <c:pt idx="46">
                  <c:v>115</c:v>
                </c:pt>
                <c:pt idx="47">
                  <c:v>115</c:v>
                </c:pt>
                <c:pt idx="48">
                  <c:v>120</c:v>
                </c:pt>
                <c:pt idx="49">
                  <c:v>120</c:v>
                </c:pt>
                <c:pt idx="50">
                  <c:v>125</c:v>
                </c:pt>
                <c:pt idx="51">
                  <c:v>125</c:v>
                </c:pt>
                <c:pt idx="52">
                  <c:v>130</c:v>
                </c:pt>
                <c:pt idx="53">
                  <c:v>130</c:v>
                </c:pt>
                <c:pt idx="54">
                  <c:v>135</c:v>
                </c:pt>
                <c:pt idx="55">
                  <c:v>135</c:v>
                </c:pt>
                <c:pt idx="56">
                  <c:v>140</c:v>
                </c:pt>
                <c:pt idx="57">
                  <c:v>140</c:v>
                </c:pt>
                <c:pt idx="58">
                  <c:v>145</c:v>
                </c:pt>
                <c:pt idx="59">
                  <c:v>145</c:v>
                </c:pt>
                <c:pt idx="60">
                  <c:v>150</c:v>
                </c:pt>
                <c:pt idx="61">
                  <c:v>150</c:v>
                </c:pt>
                <c:pt idx="62">
                  <c:v>155</c:v>
                </c:pt>
                <c:pt idx="63">
                  <c:v>155</c:v>
                </c:pt>
                <c:pt idx="64">
                  <c:v>160</c:v>
                </c:pt>
                <c:pt idx="65">
                  <c:v>160</c:v>
                </c:pt>
                <c:pt idx="66">
                  <c:v>165</c:v>
                </c:pt>
                <c:pt idx="67">
                  <c:v>165</c:v>
                </c:pt>
                <c:pt idx="68">
                  <c:v>170</c:v>
                </c:pt>
                <c:pt idx="69">
                  <c:v>170</c:v>
                </c:pt>
                <c:pt idx="70">
                  <c:v>175</c:v>
                </c:pt>
                <c:pt idx="71">
                  <c:v>175</c:v>
                </c:pt>
                <c:pt idx="72">
                  <c:v>180</c:v>
                </c:pt>
                <c:pt idx="73">
                  <c:v>180</c:v>
                </c:pt>
                <c:pt idx="74">
                  <c:v>185</c:v>
                </c:pt>
                <c:pt idx="75">
                  <c:v>185</c:v>
                </c:pt>
                <c:pt idx="76">
                  <c:v>190</c:v>
                </c:pt>
                <c:pt idx="77">
                  <c:v>190</c:v>
                </c:pt>
                <c:pt idx="78">
                  <c:v>195</c:v>
                </c:pt>
                <c:pt idx="79">
                  <c:v>195</c:v>
                </c:pt>
                <c:pt idx="80">
                  <c:v>200</c:v>
                </c:pt>
                <c:pt idx="81">
                  <c:v>200</c:v>
                </c:pt>
                <c:pt idx="82">
                  <c:v>205</c:v>
                </c:pt>
                <c:pt idx="83">
                  <c:v>205</c:v>
                </c:pt>
                <c:pt idx="84">
                  <c:v>210</c:v>
                </c:pt>
                <c:pt idx="85">
                  <c:v>210</c:v>
                </c:pt>
                <c:pt idx="86">
                  <c:v>215</c:v>
                </c:pt>
                <c:pt idx="87">
                  <c:v>215</c:v>
                </c:pt>
                <c:pt idx="88">
                  <c:v>220</c:v>
                </c:pt>
                <c:pt idx="89">
                  <c:v>220</c:v>
                </c:pt>
                <c:pt idx="90">
                  <c:v>225</c:v>
                </c:pt>
                <c:pt idx="91">
                  <c:v>225</c:v>
                </c:pt>
                <c:pt idx="92">
                  <c:v>230</c:v>
                </c:pt>
                <c:pt idx="93">
                  <c:v>230</c:v>
                </c:pt>
                <c:pt idx="94">
                  <c:v>235</c:v>
                </c:pt>
                <c:pt idx="95">
                  <c:v>235</c:v>
                </c:pt>
                <c:pt idx="96">
                  <c:v>240</c:v>
                </c:pt>
                <c:pt idx="97">
                  <c:v>240</c:v>
                </c:pt>
                <c:pt idx="98">
                  <c:v>245</c:v>
                </c:pt>
                <c:pt idx="99">
                  <c:v>245</c:v>
                </c:pt>
                <c:pt idx="100">
                  <c:v>250</c:v>
                </c:pt>
                <c:pt idx="101">
                  <c:v>250</c:v>
                </c:pt>
                <c:pt idx="102">
                  <c:v>255</c:v>
                </c:pt>
                <c:pt idx="103">
                  <c:v>255</c:v>
                </c:pt>
                <c:pt idx="104">
                  <c:v>260</c:v>
                </c:pt>
                <c:pt idx="105">
                  <c:v>260</c:v>
                </c:pt>
                <c:pt idx="106">
                  <c:v>265</c:v>
                </c:pt>
                <c:pt idx="107">
                  <c:v>265</c:v>
                </c:pt>
                <c:pt idx="108">
                  <c:v>270</c:v>
                </c:pt>
                <c:pt idx="109">
                  <c:v>270</c:v>
                </c:pt>
                <c:pt idx="110">
                  <c:v>275</c:v>
                </c:pt>
                <c:pt idx="111">
                  <c:v>275</c:v>
                </c:pt>
                <c:pt idx="112">
                  <c:v>280</c:v>
                </c:pt>
                <c:pt idx="113">
                  <c:v>280</c:v>
                </c:pt>
                <c:pt idx="114">
                  <c:v>285</c:v>
                </c:pt>
                <c:pt idx="115">
                  <c:v>285</c:v>
                </c:pt>
                <c:pt idx="116">
                  <c:v>290</c:v>
                </c:pt>
                <c:pt idx="117">
                  <c:v>290</c:v>
                </c:pt>
                <c:pt idx="118">
                  <c:v>295</c:v>
                </c:pt>
                <c:pt idx="119">
                  <c:v>295</c:v>
                </c:pt>
                <c:pt idx="120">
                  <c:v>300</c:v>
                </c:pt>
                <c:pt idx="121">
                  <c:v>300</c:v>
                </c:pt>
                <c:pt idx="122">
                  <c:v>305</c:v>
                </c:pt>
                <c:pt idx="123">
                  <c:v>305</c:v>
                </c:pt>
                <c:pt idx="124">
                  <c:v>310</c:v>
                </c:pt>
                <c:pt idx="125">
                  <c:v>310</c:v>
                </c:pt>
                <c:pt idx="126">
                  <c:v>315</c:v>
                </c:pt>
                <c:pt idx="127">
                  <c:v>315</c:v>
                </c:pt>
                <c:pt idx="128">
                  <c:v>320</c:v>
                </c:pt>
                <c:pt idx="129">
                  <c:v>320</c:v>
                </c:pt>
                <c:pt idx="130">
                  <c:v>325</c:v>
                </c:pt>
                <c:pt idx="131">
                  <c:v>325</c:v>
                </c:pt>
                <c:pt idx="132">
                  <c:v>330</c:v>
                </c:pt>
                <c:pt idx="133">
                  <c:v>330</c:v>
                </c:pt>
                <c:pt idx="134">
                  <c:v>335</c:v>
                </c:pt>
                <c:pt idx="135">
                  <c:v>335</c:v>
                </c:pt>
                <c:pt idx="136">
                  <c:v>340</c:v>
                </c:pt>
                <c:pt idx="137">
                  <c:v>340</c:v>
                </c:pt>
              </c:numCache>
            </c:numRef>
          </c:xVal>
          <c:yVal>
            <c:numRef>
              <c:f>'Q3'!$AL$2:$AL$139</c:f>
              <c:numCache>
                <c:formatCode>General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11</c:v>
                </c:pt>
                <c:pt idx="42">
                  <c:v>11</c:v>
                </c:pt>
                <c:pt idx="43">
                  <c:v>9</c:v>
                </c:pt>
                <c:pt idx="44">
                  <c:v>9</c:v>
                </c:pt>
                <c:pt idx="45">
                  <c:v>12</c:v>
                </c:pt>
                <c:pt idx="46">
                  <c:v>12</c:v>
                </c:pt>
                <c:pt idx="47">
                  <c:v>26</c:v>
                </c:pt>
                <c:pt idx="48">
                  <c:v>26</c:v>
                </c:pt>
                <c:pt idx="49">
                  <c:v>34</c:v>
                </c:pt>
                <c:pt idx="50">
                  <c:v>34</c:v>
                </c:pt>
                <c:pt idx="51">
                  <c:v>46</c:v>
                </c:pt>
                <c:pt idx="52">
                  <c:v>46</c:v>
                </c:pt>
                <c:pt idx="53">
                  <c:v>78</c:v>
                </c:pt>
                <c:pt idx="54">
                  <c:v>78</c:v>
                </c:pt>
                <c:pt idx="55">
                  <c:v>96</c:v>
                </c:pt>
                <c:pt idx="56">
                  <c:v>96</c:v>
                </c:pt>
                <c:pt idx="57">
                  <c:v>118</c:v>
                </c:pt>
                <c:pt idx="58">
                  <c:v>118</c:v>
                </c:pt>
                <c:pt idx="59">
                  <c:v>176</c:v>
                </c:pt>
                <c:pt idx="60">
                  <c:v>176</c:v>
                </c:pt>
                <c:pt idx="61">
                  <c:v>260</c:v>
                </c:pt>
                <c:pt idx="62">
                  <c:v>260</c:v>
                </c:pt>
                <c:pt idx="63">
                  <c:v>240</c:v>
                </c:pt>
                <c:pt idx="64">
                  <c:v>240</c:v>
                </c:pt>
                <c:pt idx="65">
                  <c:v>311</c:v>
                </c:pt>
                <c:pt idx="66">
                  <c:v>311</c:v>
                </c:pt>
                <c:pt idx="67">
                  <c:v>361</c:v>
                </c:pt>
                <c:pt idx="68">
                  <c:v>361</c:v>
                </c:pt>
                <c:pt idx="69">
                  <c:v>443</c:v>
                </c:pt>
                <c:pt idx="70">
                  <c:v>443</c:v>
                </c:pt>
                <c:pt idx="71">
                  <c:v>428</c:v>
                </c:pt>
                <c:pt idx="72">
                  <c:v>428</c:v>
                </c:pt>
                <c:pt idx="73">
                  <c:v>522</c:v>
                </c:pt>
                <c:pt idx="74">
                  <c:v>522</c:v>
                </c:pt>
                <c:pt idx="75">
                  <c:v>572</c:v>
                </c:pt>
                <c:pt idx="76">
                  <c:v>572</c:v>
                </c:pt>
                <c:pt idx="77">
                  <c:v>584</c:v>
                </c:pt>
                <c:pt idx="78">
                  <c:v>584</c:v>
                </c:pt>
                <c:pt idx="79">
                  <c:v>641</c:v>
                </c:pt>
                <c:pt idx="80">
                  <c:v>641</c:v>
                </c:pt>
                <c:pt idx="81">
                  <c:v>579</c:v>
                </c:pt>
                <c:pt idx="82">
                  <c:v>579</c:v>
                </c:pt>
                <c:pt idx="83">
                  <c:v>585</c:v>
                </c:pt>
                <c:pt idx="84">
                  <c:v>585</c:v>
                </c:pt>
                <c:pt idx="85">
                  <c:v>575</c:v>
                </c:pt>
                <c:pt idx="86">
                  <c:v>575</c:v>
                </c:pt>
                <c:pt idx="87">
                  <c:v>549</c:v>
                </c:pt>
                <c:pt idx="88">
                  <c:v>549</c:v>
                </c:pt>
                <c:pt idx="89">
                  <c:v>524</c:v>
                </c:pt>
                <c:pt idx="90">
                  <c:v>524</c:v>
                </c:pt>
                <c:pt idx="91">
                  <c:v>439</c:v>
                </c:pt>
                <c:pt idx="92">
                  <c:v>439</c:v>
                </c:pt>
                <c:pt idx="93">
                  <c:v>381</c:v>
                </c:pt>
                <c:pt idx="94">
                  <c:v>381</c:v>
                </c:pt>
                <c:pt idx="95">
                  <c:v>326</c:v>
                </c:pt>
                <c:pt idx="96">
                  <c:v>326</c:v>
                </c:pt>
                <c:pt idx="97">
                  <c:v>255</c:v>
                </c:pt>
                <c:pt idx="98">
                  <c:v>255</c:v>
                </c:pt>
                <c:pt idx="99">
                  <c:v>197</c:v>
                </c:pt>
                <c:pt idx="100">
                  <c:v>197</c:v>
                </c:pt>
                <c:pt idx="101">
                  <c:v>165</c:v>
                </c:pt>
                <c:pt idx="102">
                  <c:v>165</c:v>
                </c:pt>
                <c:pt idx="103">
                  <c:v>118</c:v>
                </c:pt>
                <c:pt idx="104">
                  <c:v>118</c:v>
                </c:pt>
                <c:pt idx="105">
                  <c:v>95</c:v>
                </c:pt>
                <c:pt idx="106">
                  <c:v>95</c:v>
                </c:pt>
                <c:pt idx="107">
                  <c:v>81</c:v>
                </c:pt>
                <c:pt idx="108">
                  <c:v>81</c:v>
                </c:pt>
                <c:pt idx="109">
                  <c:v>46</c:v>
                </c:pt>
                <c:pt idx="110">
                  <c:v>46</c:v>
                </c:pt>
                <c:pt idx="111">
                  <c:v>39</c:v>
                </c:pt>
                <c:pt idx="112">
                  <c:v>39</c:v>
                </c:pt>
                <c:pt idx="113">
                  <c:v>27</c:v>
                </c:pt>
                <c:pt idx="114">
                  <c:v>27</c:v>
                </c:pt>
                <c:pt idx="115">
                  <c:v>14</c:v>
                </c:pt>
                <c:pt idx="116">
                  <c:v>14</c:v>
                </c:pt>
                <c:pt idx="117">
                  <c:v>11</c:v>
                </c:pt>
                <c:pt idx="118">
                  <c:v>11</c:v>
                </c:pt>
                <c:pt idx="119">
                  <c:v>6</c:v>
                </c:pt>
                <c:pt idx="120">
                  <c:v>6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54-4530-8926-259C2EB9F2D4}"/>
            </c:ext>
          </c:extLst>
        </c:ser>
        <c:ser>
          <c:idx val="1"/>
          <c:order val="1"/>
          <c:tx>
            <c:strRef>
              <c:f>'Q3'!$AM$1</c:f>
              <c:strCache>
                <c:ptCount val="1"/>
                <c:pt idx="0">
                  <c:v>Dead!$H$4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'Q3'!$AK$2:$AK$139</c:f>
              <c:numCache>
                <c:formatCode>General</c:formatCode>
                <c:ptCount val="138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10</c:v>
                </c:pt>
                <c:pt idx="5">
                  <c:v>10</c:v>
                </c:pt>
                <c:pt idx="6">
                  <c:v>15</c:v>
                </c:pt>
                <c:pt idx="7">
                  <c:v>15</c:v>
                </c:pt>
                <c:pt idx="8">
                  <c:v>20</c:v>
                </c:pt>
                <c:pt idx="9">
                  <c:v>20</c:v>
                </c:pt>
                <c:pt idx="10">
                  <c:v>25</c:v>
                </c:pt>
                <c:pt idx="11">
                  <c:v>25</c:v>
                </c:pt>
                <c:pt idx="12">
                  <c:v>30</c:v>
                </c:pt>
                <c:pt idx="13">
                  <c:v>30</c:v>
                </c:pt>
                <c:pt idx="14">
                  <c:v>35</c:v>
                </c:pt>
                <c:pt idx="15">
                  <c:v>35</c:v>
                </c:pt>
                <c:pt idx="16">
                  <c:v>40</c:v>
                </c:pt>
                <c:pt idx="17">
                  <c:v>40</c:v>
                </c:pt>
                <c:pt idx="18">
                  <c:v>45</c:v>
                </c:pt>
                <c:pt idx="19">
                  <c:v>45</c:v>
                </c:pt>
                <c:pt idx="20">
                  <c:v>50</c:v>
                </c:pt>
                <c:pt idx="21">
                  <c:v>50</c:v>
                </c:pt>
                <c:pt idx="22">
                  <c:v>55</c:v>
                </c:pt>
                <c:pt idx="23">
                  <c:v>55</c:v>
                </c:pt>
                <c:pt idx="24">
                  <c:v>60</c:v>
                </c:pt>
                <c:pt idx="25">
                  <c:v>60</c:v>
                </c:pt>
                <c:pt idx="26">
                  <c:v>65</c:v>
                </c:pt>
                <c:pt idx="27">
                  <c:v>65</c:v>
                </c:pt>
                <c:pt idx="28">
                  <c:v>70</c:v>
                </c:pt>
                <c:pt idx="29">
                  <c:v>70</c:v>
                </c:pt>
                <c:pt idx="30">
                  <c:v>75</c:v>
                </c:pt>
                <c:pt idx="31">
                  <c:v>75</c:v>
                </c:pt>
                <c:pt idx="32">
                  <c:v>80</c:v>
                </c:pt>
                <c:pt idx="33">
                  <c:v>80</c:v>
                </c:pt>
                <c:pt idx="34">
                  <c:v>85</c:v>
                </c:pt>
                <c:pt idx="35">
                  <c:v>85</c:v>
                </c:pt>
                <c:pt idx="36">
                  <c:v>90</c:v>
                </c:pt>
                <c:pt idx="37">
                  <c:v>90</c:v>
                </c:pt>
                <c:pt idx="38">
                  <c:v>95</c:v>
                </c:pt>
                <c:pt idx="39">
                  <c:v>95</c:v>
                </c:pt>
                <c:pt idx="40">
                  <c:v>100</c:v>
                </c:pt>
                <c:pt idx="41">
                  <c:v>100</c:v>
                </c:pt>
                <c:pt idx="42">
                  <c:v>105</c:v>
                </c:pt>
                <c:pt idx="43">
                  <c:v>105</c:v>
                </c:pt>
                <c:pt idx="44">
                  <c:v>110</c:v>
                </c:pt>
                <c:pt idx="45">
                  <c:v>110</c:v>
                </c:pt>
                <c:pt idx="46">
                  <c:v>115</c:v>
                </c:pt>
                <c:pt idx="47">
                  <c:v>115</c:v>
                </c:pt>
                <c:pt idx="48">
                  <c:v>120</c:v>
                </c:pt>
                <c:pt idx="49">
                  <c:v>120</c:v>
                </c:pt>
                <c:pt idx="50">
                  <c:v>125</c:v>
                </c:pt>
                <c:pt idx="51">
                  <c:v>125</c:v>
                </c:pt>
                <c:pt idx="52">
                  <c:v>130</c:v>
                </c:pt>
                <c:pt idx="53">
                  <c:v>130</c:v>
                </c:pt>
                <c:pt idx="54">
                  <c:v>135</c:v>
                </c:pt>
                <c:pt idx="55">
                  <c:v>135</c:v>
                </c:pt>
                <c:pt idx="56">
                  <c:v>140</c:v>
                </c:pt>
                <c:pt idx="57">
                  <c:v>140</c:v>
                </c:pt>
                <c:pt idx="58">
                  <c:v>145</c:v>
                </c:pt>
                <c:pt idx="59">
                  <c:v>145</c:v>
                </c:pt>
                <c:pt idx="60">
                  <c:v>150</c:v>
                </c:pt>
                <c:pt idx="61">
                  <c:v>150</c:v>
                </c:pt>
                <c:pt idx="62">
                  <c:v>155</c:v>
                </c:pt>
                <c:pt idx="63">
                  <c:v>155</c:v>
                </c:pt>
                <c:pt idx="64">
                  <c:v>160</c:v>
                </c:pt>
                <c:pt idx="65">
                  <c:v>160</c:v>
                </c:pt>
                <c:pt idx="66">
                  <c:v>165</c:v>
                </c:pt>
                <c:pt idx="67">
                  <c:v>165</c:v>
                </c:pt>
                <c:pt idx="68">
                  <c:v>170</c:v>
                </c:pt>
                <c:pt idx="69">
                  <c:v>170</c:v>
                </c:pt>
                <c:pt idx="70">
                  <c:v>175</c:v>
                </c:pt>
                <c:pt idx="71">
                  <c:v>175</c:v>
                </c:pt>
                <c:pt idx="72">
                  <c:v>180</c:v>
                </c:pt>
                <c:pt idx="73">
                  <c:v>180</c:v>
                </c:pt>
                <c:pt idx="74">
                  <c:v>185</c:v>
                </c:pt>
                <c:pt idx="75">
                  <c:v>185</c:v>
                </c:pt>
                <c:pt idx="76">
                  <c:v>190</c:v>
                </c:pt>
                <c:pt idx="77">
                  <c:v>190</c:v>
                </c:pt>
                <c:pt idx="78">
                  <c:v>195</c:v>
                </c:pt>
                <c:pt idx="79">
                  <c:v>195</c:v>
                </c:pt>
                <c:pt idx="80">
                  <c:v>200</c:v>
                </c:pt>
                <c:pt idx="81">
                  <c:v>200</c:v>
                </c:pt>
                <c:pt idx="82">
                  <c:v>205</c:v>
                </c:pt>
                <c:pt idx="83">
                  <c:v>205</c:v>
                </c:pt>
                <c:pt idx="84">
                  <c:v>210</c:v>
                </c:pt>
                <c:pt idx="85">
                  <c:v>210</c:v>
                </c:pt>
                <c:pt idx="86">
                  <c:v>215</c:v>
                </c:pt>
                <c:pt idx="87">
                  <c:v>215</c:v>
                </c:pt>
                <c:pt idx="88">
                  <c:v>220</c:v>
                </c:pt>
                <c:pt idx="89">
                  <c:v>220</c:v>
                </c:pt>
                <c:pt idx="90">
                  <c:v>225</c:v>
                </c:pt>
                <c:pt idx="91">
                  <c:v>225</c:v>
                </c:pt>
                <c:pt idx="92">
                  <c:v>230</c:v>
                </c:pt>
                <c:pt idx="93">
                  <c:v>230</c:v>
                </c:pt>
                <c:pt idx="94">
                  <c:v>235</c:v>
                </c:pt>
                <c:pt idx="95">
                  <c:v>235</c:v>
                </c:pt>
                <c:pt idx="96">
                  <c:v>240</c:v>
                </c:pt>
                <c:pt idx="97">
                  <c:v>240</c:v>
                </c:pt>
                <c:pt idx="98">
                  <c:v>245</c:v>
                </c:pt>
                <c:pt idx="99">
                  <c:v>245</c:v>
                </c:pt>
                <c:pt idx="100">
                  <c:v>250</c:v>
                </c:pt>
                <c:pt idx="101">
                  <c:v>250</c:v>
                </c:pt>
                <c:pt idx="102">
                  <c:v>255</c:v>
                </c:pt>
                <c:pt idx="103">
                  <c:v>255</c:v>
                </c:pt>
                <c:pt idx="104">
                  <c:v>260</c:v>
                </c:pt>
                <c:pt idx="105">
                  <c:v>260</c:v>
                </c:pt>
                <c:pt idx="106">
                  <c:v>265</c:v>
                </c:pt>
                <c:pt idx="107">
                  <c:v>265</c:v>
                </c:pt>
                <c:pt idx="108">
                  <c:v>270</c:v>
                </c:pt>
                <c:pt idx="109">
                  <c:v>270</c:v>
                </c:pt>
                <c:pt idx="110">
                  <c:v>275</c:v>
                </c:pt>
                <c:pt idx="111">
                  <c:v>275</c:v>
                </c:pt>
                <c:pt idx="112">
                  <c:v>280</c:v>
                </c:pt>
                <c:pt idx="113">
                  <c:v>280</c:v>
                </c:pt>
                <c:pt idx="114">
                  <c:v>285</c:v>
                </c:pt>
                <c:pt idx="115">
                  <c:v>285</c:v>
                </c:pt>
                <c:pt idx="116">
                  <c:v>290</c:v>
                </c:pt>
                <c:pt idx="117">
                  <c:v>290</c:v>
                </c:pt>
                <c:pt idx="118">
                  <c:v>295</c:v>
                </c:pt>
                <c:pt idx="119">
                  <c:v>295</c:v>
                </c:pt>
                <c:pt idx="120">
                  <c:v>300</c:v>
                </c:pt>
                <c:pt idx="121">
                  <c:v>300</c:v>
                </c:pt>
                <c:pt idx="122">
                  <c:v>305</c:v>
                </c:pt>
                <c:pt idx="123">
                  <c:v>305</c:v>
                </c:pt>
                <c:pt idx="124">
                  <c:v>310</c:v>
                </c:pt>
                <c:pt idx="125">
                  <c:v>310</c:v>
                </c:pt>
                <c:pt idx="126">
                  <c:v>315</c:v>
                </c:pt>
                <c:pt idx="127">
                  <c:v>315</c:v>
                </c:pt>
                <c:pt idx="128">
                  <c:v>320</c:v>
                </c:pt>
                <c:pt idx="129">
                  <c:v>320</c:v>
                </c:pt>
                <c:pt idx="130">
                  <c:v>325</c:v>
                </c:pt>
                <c:pt idx="131">
                  <c:v>325</c:v>
                </c:pt>
                <c:pt idx="132">
                  <c:v>330</c:v>
                </c:pt>
                <c:pt idx="133">
                  <c:v>330</c:v>
                </c:pt>
                <c:pt idx="134">
                  <c:v>335</c:v>
                </c:pt>
                <c:pt idx="135">
                  <c:v>335</c:v>
                </c:pt>
                <c:pt idx="136">
                  <c:v>340</c:v>
                </c:pt>
                <c:pt idx="137">
                  <c:v>340</c:v>
                </c:pt>
              </c:numCache>
            </c:numRef>
          </c:xVal>
          <c:yVal>
            <c:numRef>
              <c:f>'Q3'!$AM$2:$AM$139</c:f>
              <c:numCache>
                <c:formatCode>General</c:formatCode>
                <c:ptCount val="138"/>
                <c:pt idx="0">
                  <c:v>0</c:v>
                </c:pt>
                <c:pt idx="1">
                  <c:v>45</c:v>
                </c:pt>
                <c:pt idx="2">
                  <c:v>45</c:v>
                </c:pt>
                <c:pt idx="3">
                  <c:v>323</c:v>
                </c:pt>
                <c:pt idx="4">
                  <c:v>323</c:v>
                </c:pt>
                <c:pt idx="5">
                  <c:v>759</c:v>
                </c:pt>
                <c:pt idx="6">
                  <c:v>759</c:v>
                </c:pt>
                <c:pt idx="7">
                  <c:v>1188</c:v>
                </c:pt>
                <c:pt idx="8">
                  <c:v>1188</c:v>
                </c:pt>
                <c:pt idx="9">
                  <c:v>1457</c:v>
                </c:pt>
                <c:pt idx="10">
                  <c:v>1457</c:v>
                </c:pt>
                <c:pt idx="11">
                  <c:v>1580</c:v>
                </c:pt>
                <c:pt idx="12">
                  <c:v>1580</c:v>
                </c:pt>
                <c:pt idx="13">
                  <c:v>1412</c:v>
                </c:pt>
                <c:pt idx="14">
                  <c:v>1412</c:v>
                </c:pt>
                <c:pt idx="15">
                  <c:v>1179</c:v>
                </c:pt>
                <c:pt idx="16">
                  <c:v>1179</c:v>
                </c:pt>
                <c:pt idx="17">
                  <c:v>818</c:v>
                </c:pt>
                <c:pt idx="18">
                  <c:v>818</c:v>
                </c:pt>
                <c:pt idx="19">
                  <c:v>554</c:v>
                </c:pt>
                <c:pt idx="20">
                  <c:v>554</c:v>
                </c:pt>
                <c:pt idx="21">
                  <c:v>345</c:v>
                </c:pt>
                <c:pt idx="22">
                  <c:v>345</c:v>
                </c:pt>
                <c:pt idx="23">
                  <c:v>171</c:v>
                </c:pt>
                <c:pt idx="24">
                  <c:v>171</c:v>
                </c:pt>
                <c:pt idx="25">
                  <c:v>83</c:v>
                </c:pt>
                <c:pt idx="26">
                  <c:v>83</c:v>
                </c:pt>
                <c:pt idx="27">
                  <c:v>54</c:v>
                </c:pt>
                <c:pt idx="28">
                  <c:v>54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54-4530-8926-259C2EB9F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120111"/>
        <c:axId val="151368720"/>
      </c:scatterChart>
      <c:valAx>
        <c:axId val="933120111"/>
        <c:scaling>
          <c:orientation val="minMax"/>
          <c:max val="3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1368720"/>
        <c:crosses val="autoZero"/>
        <c:crossBetween val="midCat"/>
      </c:valAx>
      <c:valAx>
        <c:axId val="151368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93312011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$H$3 And Dead!$K$3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'Q6'!$AL$1</c:f>
              <c:strCache>
                <c:ptCount val="1"/>
                <c:pt idx="0">
                  <c:v>$H$3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'Q6'!$AK$2:$AK$127</c:f>
              <c:numCache>
                <c:formatCode>General</c:formatCode>
                <c:ptCount val="126"/>
                <c:pt idx="0">
                  <c:v>-80</c:v>
                </c:pt>
                <c:pt idx="1">
                  <c:v>-80</c:v>
                </c:pt>
                <c:pt idx="2">
                  <c:v>-70</c:v>
                </c:pt>
                <c:pt idx="3">
                  <c:v>-70</c:v>
                </c:pt>
                <c:pt idx="4">
                  <c:v>-60</c:v>
                </c:pt>
                <c:pt idx="5">
                  <c:v>-60</c:v>
                </c:pt>
                <c:pt idx="6">
                  <c:v>-50</c:v>
                </c:pt>
                <c:pt idx="7">
                  <c:v>-50</c:v>
                </c:pt>
                <c:pt idx="8">
                  <c:v>-40</c:v>
                </c:pt>
                <c:pt idx="9">
                  <c:v>-40</c:v>
                </c:pt>
                <c:pt idx="10">
                  <c:v>-30</c:v>
                </c:pt>
                <c:pt idx="11">
                  <c:v>-30</c:v>
                </c:pt>
                <c:pt idx="12">
                  <c:v>-20</c:v>
                </c:pt>
                <c:pt idx="13">
                  <c:v>-20</c:v>
                </c:pt>
                <c:pt idx="14">
                  <c:v>-10</c:v>
                </c:pt>
                <c:pt idx="15">
                  <c:v>-10</c:v>
                </c:pt>
                <c:pt idx="16">
                  <c:v>0</c:v>
                </c:pt>
                <c:pt idx="17">
                  <c:v>0</c:v>
                </c:pt>
                <c:pt idx="18">
                  <c:v>10</c:v>
                </c:pt>
                <c:pt idx="19">
                  <c:v>10</c:v>
                </c:pt>
                <c:pt idx="20">
                  <c:v>20</c:v>
                </c:pt>
                <c:pt idx="21">
                  <c:v>20</c:v>
                </c:pt>
                <c:pt idx="22">
                  <c:v>30</c:v>
                </c:pt>
                <c:pt idx="23">
                  <c:v>30</c:v>
                </c:pt>
                <c:pt idx="24">
                  <c:v>40</c:v>
                </c:pt>
                <c:pt idx="25">
                  <c:v>40</c:v>
                </c:pt>
                <c:pt idx="26">
                  <c:v>50</c:v>
                </c:pt>
                <c:pt idx="27">
                  <c:v>50</c:v>
                </c:pt>
                <c:pt idx="28">
                  <c:v>60</c:v>
                </c:pt>
                <c:pt idx="29">
                  <c:v>60</c:v>
                </c:pt>
                <c:pt idx="30">
                  <c:v>70</c:v>
                </c:pt>
                <c:pt idx="31">
                  <c:v>70</c:v>
                </c:pt>
                <c:pt idx="32">
                  <c:v>80</c:v>
                </c:pt>
                <c:pt idx="33">
                  <c:v>80</c:v>
                </c:pt>
                <c:pt idx="34">
                  <c:v>90</c:v>
                </c:pt>
                <c:pt idx="35">
                  <c:v>90</c:v>
                </c:pt>
                <c:pt idx="36">
                  <c:v>100</c:v>
                </c:pt>
                <c:pt idx="37">
                  <c:v>100</c:v>
                </c:pt>
                <c:pt idx="38">
                  <c:v>110</c:v>
                </c:pt>
                <c:pt idx="39">
                  <c:v>110</c:v>
                </c:pt>
                <c:pt idx="40">
                  <c:v>120</c:v>
                </c:pt>
                <c:pt idx="41">
                  <c:v>120</c:v>
                </c:pt>
                <c:pt idx="42">
                  <c:v>130</c:v>
                </c:pt>
                <c:pt idx="43">
                  <c:v>130</c:v>
                </c:pt>
                <c:pt idx="44">
                  <c:v>140</c:v>
                </c:pt>
                <c:pt idx="45">
                  <c:v>140</c:v>
                </c:pt>
                <c:pt idx="46">
                  <c:v>150</c:v>
                </c:pt>
                <c:pt idx="47">
                  <c:v>150</c:v>
                </c:pt>
                <c:pt idx="48">
                  <c:v>160</c:v>
                </c:pt>
                <c:pt idx="49">
                  <c:v>160</c:v>
                </c:pt>
                <c:pt idx="50">
                  <c:v>170</c:v>
                </c:pt>
                <c:pt idx="51">
                  <c:v>170</c:v>
                </c:pt>
                <c:pt idx="52">
                  <c:v>180</c:v>
                </c:pt>
                <c:pt idx="53">
                  <c:v>180</c:v>
                </c:pt>
                <c:pt idx="54">
                  <c:v>190</c:v>
                </c:pt>
                <c:pt idx="55">
                  <c:v>190</c:v>
                </c:pt>
                <c:pt idx="56">
                  <c:v>200</c:v>
                </c:pt>
                <c:pt idx="57">
                  <c:v>200</c:v>
                </c:pt>
                <c:pt idx="58">
                  <c:v>210</c:v>
                </c:pt>
                <c:pt idx="59">
                  <c:v>210</c:v>
                </c:pt>
                <c:pt idx="60">
                  <c:v>220</c:v>
                </c:pt>
                <c:pt idx="61">
                  <c:v>220</c:v>
                </c:pt>
                <c:pt idx="62">
                  <c:v>230</c:v>
                </c:pt>
                <c:pt idx="63">
                  <c:v>230</c:v>
                </c:pt>
                <c:pt idx="64">
                  <c:v>240</c:v>
                </c:pt>
                <c:pt idx="65">
                  <c:v>240</c:v>
                </c:pt>
                <c:pt idx="66">
                  <c:v>250</c:v>
                </c:pt>
                <c:pt idx="67">
                  <c:v>250</c:v>
                </c:pt>
                <c:pt idx="68">
                  <c:v>260</c:v>
                </c:pt>
                <c:pt idx="69">
                  <c:v>260</c:v>
                </c:pt>
                <c:pt idx="70">
                  <c:v>270</c:v>
                </c:pt>
                <c:pt idx="71">
                  <c:v>270</c:v>
                </c:pt>
                <c:pt idx="72">
                  <c:v>280</c:v>
                </c:pt>
                <c:pt idx="73">
                  <c:v>280</c:v>
                </c:pt>
                <c:pt idx="74">
                  <c:v>290</c:v>
                </c:pt>
                <c:pt idx="75">
                  <c:v>290</c:v>
                </c:pt>
                <c:pt idx="76">
                  <c:v>300</c:v>
                </c:pt>
                <c:pt idx="77">
                  <c:v>300</c:v>
                </c:pt>
                <c:pt idx="78">
                  <c:v>310</c:v>
                </c:pt>
                <c:pt idx="79">
                  <c:v>310</c:v>
                </c:pt>
                <c:pt idx="80">
                  <c:v>320</c:v>
                </c:pt>
                <c:pt idx="81">
                  <c:v>320</c:v>
                </c:pt>
                <c:pt idx="82">
                  <c:v>330</c:v>
                </c:pt>
                <c:pt idx="83">
                  <c:v>330</c:v>
                </c:pt>
                <c:pt idx="84">
                  <c:v>340</c:v>
                </c:pt>
                <c:pt idx="85">
                  <c:v>340</c:v>
                </c:pt>
                <c:pt idx="86">
                  <c:v>350</c:v>
                </c:pt>
                <c:pt idx="87">
                  <c:v>350</c:v>
                </c:pt>
                <c:pt idx="88">
                  <c:v>360</c:v>
                </c:pt>
                <c:pt idx="89">
                  <c:v>360</c:v>
                </c:pt>
                <c:pt idx="90">
                  <c:v>370</c:v>
                </c:pt>
                <c:pt idx="91">
                  <c:v>370</c:v>
                </c:pt>
                <c:pt idx="92">
                  <c:v>380</c:v>
                </c:pt>
                <c:pt idx="93">
                  <c:v>380</c:v>
                </c:pt>
                <c:pt idx="94">
                  <c:v>390</c:v>
                </c:pt>
                <c:pt idx="95">
                  <c:v>390</c:v>
                </c:pt>
                <c:pt idx="96">
                  <c:v>400</c:v>
                </c:pt>
                <c:pt idx="97">
                  <c:v>400</c:v>
                </c:pt>
                <c:pt idx="98">
                  <c:v>410</c:v>
                </c:pt>
                <c:pt idx="99">
                  <c:v>410</c:v>
                </c:pt>
                <c:pt idx="100">
                  <c:v>420</c:v>
                </c:pt>
                <c:pt idx="101">
                  <c:v>420</c:v>
                </c:pt>
                <c:pt idx="102">
                  <c:v>430</c:v>
                </c:pt>
                <c:pt idx="103">
                  <c:v>430</c:v>
                </c:pt>
                <c:pt idx="104">
                  <c:v>440</c:v>
                </c:pt>
                <c:pt idx="105">
                  <c:v>440</c:v>
                </c:pt>
                <c:pt idx="106">
                  <c:v>450</c:v>
                </c:pt>
                <c:pt idx="107">
                  <c:v>450</c:v>
                </c:pt>
                <c:pt idx="108">
                  <c:v>460</c:v>
                </c:pt>
                <c:pt idx="109">
                  <c:v>460</c:v>
                </c:pt>
                <c:pt idx="110">
                  <c:v>470</c:v>
                </c:pt>
                <c:pt idx="111">
                  <c:v>470</c:v>
                </c:pt>
                <c:pt idx="112">
                  <c:v>480</c:v>
                </c:pt>
                <c:pt idx="113">
                  <c:v>480</c:v>
                </c:pt>
                <c:pt idx="114">
                  <c:v>490</c:v>
                </c:pt>
                <c:pt idx="115">
                  <c:v>490</c:v>
                </c:pt>
                <c:pt idx="116">
                  <c:v>500</c:v>
                </c:pt>
                <c:pt idx="117">
                  <c:v>500</c:v>
                </c:pt>
                <c:pt idx="118">
                  <c:v>510</c:v>
                </c:pt>
                <c:pt idx="119">
                  <c:v>510</c:v>
                </c:pt>
                <c:pt idx="120">
                  <c:v>520</c:v>
                </c:pt>
                <c:pt idx="121">
                  <c:v>520</c:v>
                </c:pt>
                <c:pt idx="122">
                  <c:v>530</c:v>
                </c:pt>
                <c:pt idx="123">
                  <c:v>530</c:v>
                </c:pt>
                <c:pt idx="124">
                  <c:v>540</c:v>
                </c:pt>
                <c:pt idx="125">
                  <c:v>540</c:v>
                </c:pt>
              </c:numCache>
            </c:numRef>
          </c:xVal>
          <c:yVal>
            <c:numRef>
              <c:f>'Q6'!$AL$2:$AL$127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24</c:v>
                </c:pt>
                <c:pt idx="38">
                  <c:v>24</c:v>
                </c:pt>
                <c:pt idx="39">
                  <c:v>44</c:v>
                </c:pt>
                <c:pt idx="40">
                  <c:v>44</c:v>
                </c:pt>
                <c:pt idx="41">
                  <c:v>89</c:v>
                </c:pt>
                <c:pt idx="42">
                  <c:v>89</c:v>
                </c:pt>
                <c:pt idx="43">
                  <c:v>172</c:v>
                </c:pt>
                <c:pt idx="44">
                  <c:v>172</c:v>
                </c:pt>
                <c:pt idx="45">
                  <c:v>285</c:v>
                </c:pt>
                <c:pt idx="46">
                  <c:v>285</c:v>
                </c:pt>
                <c:pt idx="47">
                  <c:v>506</c:v>
                </c:pt>
                <c:pt idx="48">
                  <c:v>506</c:v>
                </c:pt>
                <c:pt idx="49">
                  <c:v>695</c:v>
                </c:pt>
                <c:pt idx="50">
                  <c:v>695</c:v>
                </c:pt>
                <c:pt idx="51">
                  <c:v>914</c:v>
                </c:pt>
                <c:pt idx="52">
                  <c:v>914</c:v>
                </c:pt>
                <c:pt idx="53">
                  <c:v>1125</c:v>
                </c:pt>
                <c:pt idx="54">
                  <c:v>1125</c:v>
                </c:pt>
                <c:pt idx="55">
                  <c:v>1213</c:v>
                </c:pt>
                <c:pt idx="56">
                  <c:v>1213</c:v>
                </c:pt>
                <c:pt idx="57">
                  <c:v>1168</c:v>
                </c:pt>
                <c:pt idx="58">
                  <c:v>1168</c:v>
                </c:pt>
                <c:pt idx="59">
                  <c:v>1154</c:v>
                </c:pt>
                <c:pt idx="60">
                  <c:v>1154</c:v>
                </c:pt>
                <c:pt idx="61">
                  <c:v>871</c:v>
                </c:pt>
                <c:pt idx="62">
                  <c:v>871</c:v>
                </c:pt>
                <c:pt idx="63">
                  <c:v>676</c:v>
                </c:pt>
                <c:pt idx="64">
                  <c:v>676</c:v>
                </c:pt>
                <c:pt idx="65">
                  <c:v>461</c:v>
                </c:pt>
                <c:pt idx="66">
                  <c:v>461</c:v>
                </c:pt>
                <c:pt idx="67">
                  <c:v>278</c:v>
                </c:pt>
                <c:pt idx="68">
                  <c:v>278</c:v>
                </c:pt>
                <c:pt idx="69">
                  <c:v>165</c:v>
                </c:pt>
                <c:pt idx="70">
                  <c:v>165</c:v>
                </c:pt>
                <c:pt idx="71">
                  <c:v>84</c:v>
                </c:pt>
                <c:pt idx="72">
                  <c:v>84</c:v>
                </c:pt>
                <c:pt idx="73">
                  <c:v>42</c:v>
                </c:pt>
                <c:pt idx="74">
                  <c:v>42</c:v>
                </c:pt>
                <c:pt idx="75">
                  <c:v>15</c:v>
                </c:pt>
                <c:pt idx="76">
                  <c:v>15</c:v>
                </c:pt>
                <c:pt idx="77">
                  <c:v>6</c:v>
                </c:pt>
                <c:pt idx="78">
                  <c:v>6</c:v>
                </c:pt>
                <c:pt idx="79">
                  <c:v>0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F-42FD-AE12-E7B4F8F74778}"/>
            </c:ext>
          </c:extLst>
        </c:ser>
        <c:ser>
          <c:idx val="1"/>
          <c:order val="1"/>
          <c:tx>
            <c:strRef>
              <c:f>'Q6'!$AM$1</c:f>
              <c:strCache>
                <c:ptCount val="1"/>
                <c:pt idx="0">
                  <c:v>Dead!$K$3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'Q6'!$AK$2:$AK$127</c:f>
              <c:numCache>
                <c:formatCode>General</c:formatCode>
                <c:ptCount val="126"/>
                <c:pt idx="0">
                  <c:v>-80</c:v>
                </c:pt>
                <c:pt idx="1">
                  <c:v>-80</c:v>
                </c:pt>
                <c:pt idx="2">
                  <c:v>-70</c:v>
                </c:pt>
                <c:pt idx="3">
                  <c:v>-70</c:v>
                </c:pt>
                <c:pt idx="4">
                  <c:v>-60</c:v>
                </c:pt>
                <c:pt idx="5">
                  <c:v>-60</c:v>
                </c:pt>
                <c:pt idx="6">
                  <c:v>-50</c:v>
                </c:pt>
                <c:pt idx="7">
                  <c:v>-50</c:v>
                </c:pt>
                <c:pt idx="8">
                  <c:v>-40</c:v>
                </c:pt>
                <c:pt idx="9">
                  <c:v>-40</c:v>
                </c:pt>
                <c:pt idx="10">
                  <c:v>-30</c:v>
                </c:pt>
                <c:pt idx="11">
                  <c:v>-30</c:v>
                </c:pt>
                <c:pt idx="12">
                  <c:v>-20</c:v>
                </c:pt>
                <c:pt idx="13">
                  <c:v>-20</c:v>
                </c:pt>
                <c:pt idx="14">
                  <c:v>-10</c:v>
                </c:pt>
                <c:pt idx="15">
                  <c:v>-10</c:v>
                </c:pt>
                <c:pt idx="16">
                  <c:v>0</c:v>
                </c:pt>
                <c:pt idx="17">
                  <c:v>0</c:v>
                </c:pt>
                <c:pt idx="18">
                  <c:v>10</c:v>
                </c:pt>
                <c:pt idx="19">
                  <c:v>10</c:v>
                </c:pt>
                <c:pt idx="20">
                  <c:v>20</c:v>
                </c:pt>
                <c:pt idx="21">
                  <c:v>20</c:v>
                </c:pt>
                <c:pt idx="22">
                  <c:v>30</c:v>
                </c:pt>
                <c:pt idx="23">
                  <c:v>30</c:v>
                </c:pt>
                <c:pt idx="24">
                  <c:v>40</c:v>
                </c:pt>
                <c:pt idx="25">
                  <c:v>40</c:v>
                </c:pt>
                <c:pt idx="26">
                  <c:v>50</c:v>
                </c:pt>
                <c:pt idx="27">
                  <c:v>50</c:v>
                </c:pt>
                <c:pt idx="28">
                  <c:v>60</c:v>
                </c:pt>
                <c:pt idx="29">
                  <c:v>60</c:v>
                </c:pt>
                <c:pt idx="30">
                  <c:v>70</c:v>
                </c:pt>
                <c:pt idx="31">
                  <c:v>70</c:v>
                </c:pt>
                <c:pt idx="32">
                  <c:v>80</c:v>
                </c:pt>
                <c:pt idx="33">
                  <c:v>80</c:v>
                </c:pt>
                <c:pt idx="34">
                  <c:v>90</c:v>
                </c:pt>
                <c:pt idx="35">
                  <c:v>90</c:v>
                </c:pt>
                <c:pt idx="36">
                  <c:v>100</c:v>
                </c:pt>
                <c:pt idx="37">
                  <c:v>100</c:v>
                </c:pt>
                <c:pt idx="38">
                  <c:v>110</c:v>
                </c:pt>
                <c:pt idx="39">
                  <c:v>110</c:v>
                </c:pt>
                <c:pt idx="40">
                  <c:v>120</c:v>
                </c:pt>
                <c:pt idx="41">
                  <c:v>120</c:v>
                </c:pt>
                <c:pt idx="42">
                  <c:v>130</c:v>
                </c:pt>
                <c:pt idx="43">
                  <c:v>130</c:v>
                </c:pt>
                <c:pt idx="44">
                  <c:v>140</c:v>
                </c:pt>
                <c:pt idx="45">
                  <c:v>140</c:v>
                </c:pt>
                <c:pt idx="46">
                  <c:v>150</c:v>
                </c:pt>
                <c:pt idx="47">
                  <c:v>150</c:v>
                </c:pt>
                <c:pt idx="48">
                  <c:v>160</c:v>
                </c:pt>
                <c:pt idx="49">
                  <c:v>160</c:v>
                </c:pt>
                <c:pt idx="50">
                  <c:v>170</c:v>
                </c:pt>
                <c:pt idx="51">
                  <c:v>170</c:v>
                </c:pt>
                <c:pt idx="52">
                  <c:v>180</c:v>
                </c:pt>
                <c:pt idx="53">
                  <c:v>180</c:v>
                </c:pt>
                <c:pt idx="54">
                  <c:v>190</c:v>
                </c:pt>
                <c:pt idx="55">
                  <c:v>190</c:v>
                </c:pt>
                <c:pt idx="56">
                  <c:v>200</c:v>
                </c:pt>
                <c:pt idx="57">
                  <c:v>200</c:v>
                </c:pt>
                <c:pt idx="58">
                  <c:v>210</c:v>
                </c:pt>
                <c:pt idx="59">
                  <c:v>210</c:v>
                </c:pt>
                <c:pt idx="60">
                  <c:v>220</c:v>
                </c:pt>
                <c:pt idx="61">
                  <c:v>220</c:v>
                </c:pt>
                <c:pt idx="62">
                  <c:v>230</c:v>
                </c:pt>
                <c:pt idx="63">
                  <c:v>230</c:v>
                </c:pt>
                <c:pt idx="64">
                  <c:v>240</c:v>
                </c:pt>
                <c:pt idx="65">
                  <c:v>240</c:v>
                </c:pt>
                <c:pt idx="66">
                  <c:v>250</c:v>
                </c:pt>
                <c:pt idx="67">
                  <c:v>250</c:v>
                </c:pt>
                <c:pt idx="68">
                  <c:v>260</c:v>
                </c:pt>
                <c:pt idx="69">
                  <c:v>260</c:v>
                </c:pt>
                <c:pt idx="70">
                  <c:v>270</c:v>
                </c:pt>
                <c:pt idx="71">
                  <c:v>270</c:v>
                </c:pt>
                <c:pt idx="72">
                  <c:v>280</c:v>
                </c:pt>
                <c:pt idx="73">
                  <c:v>280</c:v>
                </c:pt>
                <c:pt idx="74">
                  <c:v>290</c:v>
                </c:pt>
                <c:pt idx="75">
                  <c:v>290</c:v>
                </c:pt>
                <c:pt idx="76">
                  <c:v>300</c:v>
                </c:pt>
                <c:pt idx="77">
                  <c:v>300</c:v>
                </c:pt>
                <c:pt idx="78">
                  <c:v>310</c:v>
                </c:pt>
                <c:pt idx="79">
                  <c:v>310</c:v>
                </c:pt>
                <c:pt idx="80">
                  <c:v>320</c:v>
                </c:pt>
                <c:pt idx="81">
                  <c:v>320</c:v>
                </c:pt>
                <c:pt idx="82">
                  <c:v>330</c:v>
                </c:pt>
                <c:pt idx="83">
                  <c:v>330</c:v>
                </c:pt>
                <c:pt idx="84">
                  <c:v>340</c:v>
                </c:pt>
                <c:pt idx="85">
                  <c:v>340</c:v>
                </c:pt>
                <c:pt idx="86">
                  <c:v>350</c:v>
                </c:pt>
                <c:pt idx="87">
                  <c:v>350</c:v>
                </c:pt>
                <c:pt idx="88">
                  <c:v>360</c:v>
                </c:pt>
                <c:pt idx="89">
                  <c:v>360</c:v>
                </c:pt>
                <c:pt idx="90">
                  <c:v>370</c:v>
                </c:pt>
                <c:pt idx="91">
                  <c:v>370</c:v>
                </c:pt>
                <c:pt idx="92">
                  <c:v>380</c:v>
                </c:pt>
                <c:pt idx="93">
                  <c:v>380</c:v>
                </c:pt>
                <c:pt idx="94">
                  <c:v>390</c:v>
                </c:pt>
                <c:pt idx="95">
                  <c:v>390</c:v>
                </c:pt>
                <c:pt idx="96">
                  <c:v>400</c:v>
                </c:pt>
                <c:pt idx="97">
                  <c:v>400</c:v>
                </c:pt>
                <c:pt idx="98">
                  <c:v>410</c:v>
                </c:pt>
                <c:pt idx="99">
                  <c:v>410</c:v>
                </c:pt>
                <c:pt idx="100">
                  <c:v>420</c:v>
                </c:pt>
                <c:pt idx="101">
                  <c:v>420</c:v>
                </c:pt>
                <c:pt idx="102">
                  <c:v>430</c:v>
                </c:pt>
                <c:pt idx="103">
                  <c:v>430</c:v>
                </c:pt>
                <c:pt idx="104">
                  <c:v>440</c:v>
                </c:pt>
                <c:pt idx="105">
                  <c:v>440</c:v>
                </c:pt>
                <c:pt idx="106">
                  <c:v>450</c:v>
                </c:pt>
                <c:pt idx="107">
                  <c:v>450</c:v>
                </c:pt>
                <c:pt idx="108">
                  <c:v>460</c:v>
                </c:pt>
                <c:pt idx="109">
                  <c:v>460</c:v>
                </c:pt>
                <c:pt idx="110">
                  <c:v>470</c:v>
                </c:pt>
                <c:pt idx="111">
                  <c:v>470</c:v>
                </c:pt>
                <c:pt idx="112">
                  <c:v>480</c:v>
                </c:pt>
                <c:pt idx="113">
                  <c:v>480</c:v>
                </c:pt>
                <c:pt idx="114">
                  <c:v>490</c:v>
                </c:pt>
                <c:pt idx="115">
                  <c:v>490</c:v>
                </c:pt>
                <c:pt idx="116">
                  <c:v>500</c:v>
                </c:pt>
                <c:pt idx="117">
                  <c:v>500</c:v>
                </c:pt>
                <c:pt idx="118">
                  <c:v>510</c:v>
                </c:pt>
                <c:pt idx="119">
                  <c:v>510</c:v>
                </c:pt>
                <c:pt idx="120">
                  <c:v>520</c:v>
                </c:pt>
                <c:pt idx="121">
                  <c:v>520</c:v>
                </c:pt>
                <c:pt idx="122">
                  <c:v>530</c:v>
                </c:pt>
                <c:pt idx="123">
                  <c:v>530</c:v>
                </c:pt>
                <c:pt idx="124">
                  <c:v>540</c:v>
                </c:pt>
                <c:pt idx="125">
                  <c:v>540</c:v>
                </c:pt>
              </c:numCache>
            </c:numRef>
          </c:xVal>
          <c:yVal>
            <c:numRef>
              <c:f>'Q6'!$AM$2:$AM$127</c:f>
              <c:numCache>
                <c:formatCode>General</c:formatCode>
                <c:ptCount val="12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9</c:v>
                </c:pt>
                <c:pt idx="12">
                  <c:v>9</c:v>
                </c:pt>
                <c:pt idx="13">
                  <c:v>7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16</c:v>
                </c:pt>
                <c:pt idx="18">
                  <c:v>16</c:v>
                </c:pt>
                <c:pt idx="19">
                  <c:v>19</c:v>
                </c:pt>
                <c:pt idx="20">
                  <c:v>19</c:v>
                </c:pt>
                <c:pt idx="21">
                  <c:v>20</c:v>
                </c:pt>
                <c:pt idx="22">
                  <c:v>20</c:v>
                </c:pt>
                <c:pt idx="23">
                  <c:v>35</c:v>
                </c:pt>
                <c:pt idx="24">
                  <c:v>35</c:v>
                </c:pt>
                <c:pt idx="25">
                  <c:v>38</c:v>
                </c:pt>
                <c:pt idx="26">
                  <c:v>38</c:v>
                </c:pt>
                <c:pt idx="27">
                  <c:v>54</c:v>
                </c:pt>
                <c:pt idx="28">
                  <c:v>54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91</c:v>
                </c:pt>
                <c:pt idx="34">
                  <c:v>91</c:v>
                </c:pt>
                <c:pt idx="35">
                  <c:v>142</c:v>
                </c:pt>
                <c:pt idx="36">
                  <c:v>142</c:v>
                </c:pt>
                <c:pt idx="37">
                  <c:v>140</c:v>
                </c:pt>
                <c:pt idx="38">
                  <c:v>140</c:v>
                </c:pt>
                <c:pt idx="39">
                  <c:v>221</c:v>
                </c:pt>
                <c:pt idx="40">
                  <c:v>221</c:v>
                </c:pt>
                <c:pt idx="41">
                  <c:v>273</c:v>
                </c:pt>
                <c:pt idx="42">
                  <c:v>273</c:v>
                </c:pt>
                <c:pt idx="43">
                  <c:v>322</c:v>
                </c:pt>
                <c:pt idx="44">
                  <c:v>322</c:v>
                </c:pt>
                <c:pt idx="45">
                  <c:v>423</c:v>
                </c:pt>
                <c:pt idx="46">
                  <c:v>423</c:v>
                </c:pt>
                <c:pt idx="47">
                  <c:v>477</c:v>
                </c:pt>
                <c:pt idx="48">
                  <c:v>477</c:v>
                </c:pt>
                <c:pt idx="49">
                  <c:v>576</c:v>
                </c:pt>
                <c:pt idx="50">
                  <c:v>576</c:v>
                </c:pt>
                <c:pt idx="51">
                  <c:v>661</c:v>
                </c:pt>
                <c:pt idx="52">
                  <c:v>661</c:v>
                </c:pt>
                <c:pt idx="53">
                  <c:v>700</c:v>
                </c:pt>
                <c:pt idx="54">
                  <c:v>700</c:v>
                </c:pt>
                <c:pt idx="55">
                  <c:v>759</c:v>
                </c:pt>
                <c:pt idx="56">
                  <c:v>759</c:v>
                </c:pt>
                <c:pt idx="57">
                  <c:v>661</c:v>
                </c:pt>
                <c:pt idx="58">
                  <c:v>661</c:v>
                </c:pt>
                <c:pt idx="59">
                  <c:v>660</c:v>
                </c:pt>
                <c:pt idx="60">
                  <c:v>660</c:v>
                </c:pt>
                <c:pt idx="61">
                  <c:v>609</c:v>
                </c:pt>
                <c:pt idx="62">
                  <c:v>609</c:v>
                </c:pt>
                <c:pt idx="63">
                  <c:v>590</c:v>
                </c:pt>
                <c:pt idx="64">
                  <c:v>590</c:v>
                </c:pt>
                <c:pt idx="65">
                  <c:v>494</c:v>
                </c:pt>
                <c:pt idx="66">
                  <c:v>494</c:v>
                </c:pt>
                <c:pt idx="67">
                  <c:v>410</c:v>
                </c:pt>
                <c:pt idx="68">
                  <c:v>410</c:v>
                </c:pt>
                <c:pt idx="69">
                  <c:v>320</c:v>
                </c:pt>
                <c:pt idx="70">
                  <c:v>320</c:v>
                </c:pt>
                <c:pt idx="71">
                  <c:v>282</c:v>
                </c:pt>
                <c:pt idx="72">
                  <c:v>282</c:v>
                </c:pt>
                <c:pt idx="73">
                  <c:v>190</c:v>
                </c:pt>
                <c:pt idx="74">
                  <c:v>190</c:v>
                </c:pt>
                <c:pt idx="75">
                  <c:v>151</c:v>
                </c:pt>
                <c:pt idx="76">
                  <c:v>151</c:v>
                </c:pt>
                <c:pt idx="77">
                  <c:v>118</c:v>
                </c:pt>
                <c:pt idx="78">
                  <c:v>118</c:v>
                </c:pt>
                <c:pt idx="79">
                  <c:v>88</c:v>
                </c:pt>
                <c:pt idx="80">
                  <c:v>88</c:v>
                </c:pt>
                <c:pt idx="81">
                  <c:v>57</c:v>
                </c:pt>
                <c:pt idx="82">
                  <c:v>57</c:v>
                </c:pt>
                <c:pt idx="83">
                  <c:v>62</c:v>
                </c:pt>
                <c:pt idx="84">
                  <c:v>62</c:v>
                </c:pt>
                <c:pt idx="85">
                  <c:v>51</c:v>
                </c:pt>
                <c:pt idx="86">
                  <c:v>51</c:v>
                </c:pt>
                <c:pt idx="87">
                  <c:v>30</c:v>
                </c:pt>
                <c:pt idx="88">
                  <c:v>30</c:v>
                </c:pt>
                <c:pt idx="89">
                  <c:v>21</c:v>
                </c:pt>
                <c:pt idx="90">
                  <c:v>21</c:v>
                </c:pt>
                <c:pt idx="91">
                  <c:v>25</c:v>
                </c:pt>
                <c:pt idx="92">
                  <c:v>25</c:v>
                </c:pt>
                <c:pt idx="93">
                  <c:v>13</c:v>
                </c:pt>
                <c:pt idx="94">
                  <c:v>13</c:v>
                </c:pt>
                <c:pt idx="95">
                  <c:v>14</c:v>
                </c:pt>
                <c:pt idx="96">
                  <c:v>14</c:v>
                </c:pt>
                <c:pt idx="97">
                  <c:v>8</c:v>
                </c:pt>
                <c:pt idx="98">
                  <c:v>8</c:v>
                </c:pt>
                <c:pt idx="99">
                  <c:v>5</c:v>
                </c:pt>
                <c:pt idx="100">
                  <c:v>5</c:v>
                </c:pt>
                <c:pt idx="101">
                  <c:v>3</c:v>
                </c:pt>
                <c:pt idx="102">
                  <c:v>3</c:v>
                </c:pt>
                <c:pt idx="103">
                  <c:v>0</c:v>
                </c:pt>
                <c:pt idx="104">
                  <c:v>0</c:v>
                </c:pt>
                <c:pt idx="105">
                  <c:v>4</c:v>
                </c:pt>
                <c:pt idx="106">
                  <c:v>4</c:v>
                </c:pt>
                <c:pt idx="107">
                  <c:v>1</c:v>
                </c:pt>
                <c:pt idx="108">
                  <c:v>1</c:v>
                </c:pt>
                <c:pt idx="109">
                  <c:v>3</c:v>
                </c:pt>
                <c:pt idx="110">
                  <c:v>3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2F-42FD-AE12-E7B4F8F74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460575"/>
        <c:axId val="2082096511"/>
      </c:scatterChart>
      <c:valAx>
        <c:axId val="1973460575"/>
        <c:scaling>
          <c:orientation val="minMax"/>
          <c:max val="54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crossAx val="2082096511"/>
        <c:crosses val="autoZero"/>
        <c:crossBetween val="midCat"/>
      </c:valAx>
      <c:valAx>
        <c:axId val="2082096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19734605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$H$19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'Q8'!$AL$1</c:f>
              <c:strCache>
                <c:ptCount val="1"/>
                <c:pt idx="0">
                  <c:v>$H$19</c:v>
                </c:pt>
              </c:strCache>
            </c:strRef>
          </c:tx>
          <c:marker>
            <c:symbol val="none"/>
          </c:marker>
          <c:xVal>
            <c:numRef>
              <c:f>'Q8'!$AK$2:$AK$85</c:f>
              <c:numCache>
                <c:formatCode>General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0.05</c:v>
                </c:pt>
                <c:pt idx="5">
                  <c:v>0.05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0.1</c:v>
                </c:pt>
                <c:pt idx="9">
                  <c:v>0.1</c:v>
                </c:pt>
                <c:pt idx="10">
                  <c:v>0.125</c:v>
                </c:pt>
                <c:pt idx="11">
                  <c:v>0.125</c:v>
                </c:pt>
                <c:pt idx="12">
                  <c:v>0.15</c:v>
                </c:pt>
                <c:pt idx="13">
                  <c:v>0.15</c:v>
                </c:pt>
                <c:pt idx="14">
                  <c:v>0.17499999999999999</c:v>
                </c:pt>
                <c:pt idx="15">
                  <c:v>0.17499999999999999</c:v>
                </c:pt>
                <c:pt idx="16">
                  <c:v>0.2</c:v>
                </c:pt>
                <c:pt idx="17">
                  <c:v>0.2</c:v>
                </c:pt>
                <c:pt idx="18">
                  <c:v>0.22500000000000001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0.25</c:v>
                </c:pt>
                <c:pt idx="22">
                  <c:v>0.27500000000000002</c:v>
                </c:pt>
                <c:pt idx="23">
                  <c:v>0.27500000000000002</c:v>
                </c:pt>
                <c:pt idx="24">
                  <c:v>0.3</c:v>
                </c:pt>
                <c:pt idx="25">
                  <c:v>0.3</c:v>
                </c:pt>
                <c:pt idx="26">
                  <c:v>0.32500000000000001</c:v>
                </c:pt>
                <c:pt idx="27">
                  <c:v>0.32500000000000001</c:v>
                </c:pt>
                <c:pt idx="28">
                  <c:v>0.35</c:v>
                </c:pt>
                <c:pt idx="29">
                  <c:v>0.35</c:v>
                </c:pt>
                <c:pt idx="30">
                  <c:v>0.375</c:v>
                </c:pt>
                <c:pt idx="31">
                  <c:v>0.375</c:v>
                </c:pt>
                <c:pt idx="32">
                  <c:v>0.4</c:v>
                </c:pt>
                <c:pt idx="33">
                  <c:v>0.4</c:v>
                </c:pt>
                <c:pt idx="34">
                  <c:v>0.42499999999999999</c:v>
                </c:pt>
                <c:pt idx="35">
                  <c:v>0.42499999999999999</c:v>
                </c:pt>
                <c:pt idx="36">
                  <c:v>0.45</c:v>
                </c:pt>
                <c:pt idx="37">
                  <c:v>0.45</c:v>
                </c:pt>
                <c:pt idx="38">
                  <c:v>0.47499999999999998</c:v>
                </c:pt>
                <c:pt idx="39">
                  <c:v>0.47499999999999998</c:v>
                </c:pt>
                <c:pt idx="40">
                  <c:v>0.5</c:v>
                </c:pt>
                <c:pt idx="41">
                  <c:v>0.5</c:v>
                </c:pt>
                <c:pt idx="42">
                  <c:v>0.52500000000000002</c:v>
                </c:pt>
                <c:pt idx="43">
                  <c:v>0.52500000000000002</c:v>
                </c:pt>
                <c:pt idx="44">
                  <c:v>0.55000000000000004</c:v>
                </c:pt>
                <c:pt idx="45">
                  <c:v>0.55000000000000004</c:v>
                </c:pt>
                <c:pt idx="46">
                  <c:v>0.57499999999999996</c:v>
                </c:pt>
                <c:pt idx="47">
                  <c:v>0.57499999999999996</c:v>
                </c:pt>
                <c:pt idx="48">
                  <c:v>0.6</c:v>
                </c:pt>
                <c:pt idx="49">
                  <c:v>0.6</c:v>
                </c:pt>
                <c:pt idx="50">
                  <c:v>0.625</c:v>
                </c:pt>
                <c:pt idx="51">
                  <c:v>0.625</c:v>
                </c:pt>
                <c:pt idx="52">
                  <c:v>0.65</c:v>
                </c:pt>
                <c:pt idx="53">
                  <c:v>0.65</c:v>
                </c:pt>
                <c:pt idx="54">
                  <c:v>0.67500000000000004</c:v>
                </c:pt>
                <c:pt idx="55">
                  <c:v>0.67500000000000004</c:v>
                </c:pt>
                <c:pt idx="56">
                  <c:v>0.7</c:v>
                </c:pt>
                <c:pt idx="57">
                  <c:v>0.7</c:v>
                </c:pt>
                <c:pt idx="58">
                  <c:v>0.72499999999999998</c:v>
                </c:pt>
                <c:pt idx="59">
                  <c:v>0.72499999999999998</c:v>
                </c:pt>
                <c:pt idx="60">
                  <c:v>0.75</c:v>
                </c:pt>
                <c:pt idx="61">
                  <c:v>0.75</c:v>
                </c:pt>
                <c:pt idx="62">
                  <c:v>0.77500000000000002</c:v>
                </c:pt>
                <c:pt idx="63">
                  <c:v>0.77500000000000002</c:v>
                </c:pt>
                <c:pt idx="64">
                  <c:v>0.8</c:v>
                </c:pt>
                <c:pt idx="65">
                  <c:v>0.8</c:v>
                </c:pt>
                <c:pt idx="66">
                  <c:v>0.82499999999999996</c:v>
                </c:pt>
                <c:pt idx="67">
                  <c:v>0.82499999999999996</c:v>
                </c:pt>
                <c:pt idx="68">
                  <c:v>0.85</c:v>
                </c:pt>
                <c:pt idx="69">
                  <c:v>0.85</c:v>
                </c:pt>
                <c:pt idx="70">
                  <c:v>0.875</c:v>
                </c:pt>
                <c:pt idx="71">
                  <c:v>0.875</c:v>
                </c:pt>
                <c:pt idx="72">
                  <c:v>0.9</c:v>
                </c:pt>
                <c:pt idx="73">
                  <c:v>0.9</c:v>
                </c:pt>
                <c:pt idx="74">
                  <c:v>0.92500000000000004</c:v>
                </c:pt>
                <c:pt idx="75">
                  <c:v>0.92500000000000004</c:v>
                </c:pt>
                <c:pt idx="76">
                  <c:v>0.95</c:v>
                </c:pt>
                <c:pt idx="77">
                  <c:v>0.95</c:v>
                </c:pt>
                <c:pt idx="78">
                  <c:v>0.97499999999999998</c:v>
                </c:pt>
                <c:pt idx="79">
                  <c:v>0.97499999999999998</c:v>
                </c:pt>
                <c:pt idx="80">
                  <c:v>1</c:v>
                </c:pt>
                <c:pt idx="81">
                  <c:v>1</c:v>
                </c:pt>
                <c:pt idx="82">
                  <c:v>1.0249999999999999</c:v>
                </c:pt>
                <c:pt idx="83">
                  <c:v>1.0249999999999999</c:v>
                </c:pt>
              </c:numCache>
            </c:numRef>
          </c:xVal>
          <c:yVal>
            <c:numRef>
              <c:f>'Q8'!$AL$2:$AL$85</c:f>
              <c:numCache>
                <c:formatCode>General</c:formatCode>
                <c:ptCount val="84"/>
                <c:pt idx="0">
                  <c:v>0</c:v>
                </c:pt>
                <c:pt idx="1">
                  <c:v>3705</c:v>
                </c:pt>
                <c:pt idx="2">
                  <c:v>3705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6295</c:v>
                </c:pt>
                <c:pt idx="82">
                  <c:v>6295</c:v>
                </c:pt>
                <c:pt idx="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1-412F-9C8C-203AD93BF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705983"/>
        <c:axId val="70866208"/>
      </c:scatterChart>
      <c:valAx>
        <c:axId val="1145705983"/>
        <c:scaling>
          <c:orientation val="minMax"/>
          <c:max val="1.0249999999999999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70866208"/>
        <c:crosses val="autoZero"/>
        <c:crossBetween val="midCat"/>
      </c:valAx>
      <c:valAx>
        <c:axId val="70866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25400">
            <a:noFill/>
          </a:ln>
        </c:spPr>
        <c:crossAx val="114570598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0</xdr:rowOff>
    </xdr:from>
    <xdr:to>
      <xdr:col>14</xdr:col>
      <xdr:colOff>0</xdr:colOff>
      <xdr:row>21</xdr:row>
      <xdr:rowOff>0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21FD7DD8-96B9-4FBB-9D71-D191E3122A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0</xdr:rowOff>
    </xdr:from>
    <xdr:to>
      <xdr:col>14</xdr:col>
      <xdr:colOff>0</xdr:colOff>
      <xdr:row>21</xdr:row>
      <xdr:rowOff>0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A87FC4FA-2B07-4BD0-820C-E110DA02B1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342900</xdr:colOff>
      <xdr:row>18</xdr:row>
      <xdr:rowOff>15240</xdr:rowOff>
    </xdr:from>
    <xdr:to>
      <xdr:col>29</xdr:col>
      <xdr:colOff>109654</xdr:colOff>
      <xdr:row>24</xdr:row>
      <xdr:rowOff>156055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DF1E9A-96E2-4ADF-8766-E9EC35401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28320" y="3444240"/>
          <a:ext cx="6716194" cy="1291435"/>
        </a:xfrm>
        <a:prstGeom prst="rect">
          <a:avLst/>
        </a:prstGeom>
      </xdr:spPr>
    </xdr:pic>
    <xdr:clientData/>
  </xdr:twoCellAnchor>
  <xdr:twoCellAnchor>
    <xdr:from>
      <xdr:col>9</xdr:col>
      <xdr:colOff>468630</xdr:colOff>
      <xdr:row>19</xdr:row>
      <xdr:rowOff>19050</xdr:rowOff>
    </xdr:from>
    <xdr:to>
      <xdr:col>14</xdr:col>
      <xdr:colOff>240030</xdr:colOff>
      <xdr:row>31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85B43A-4DD6-4AA0-BB99-FEE2C768A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</xdr:colOff>
      <xdr:row>7</xdr:row>
      <xdr:rowOff>200026</xdr:rowOff>
    </xdr:from>
    <xdr:to>
      <xdr:col>13</xdr:col>
      <xdr:colOff>689610</xdr:colOff>
      <xdr:row>21</xdr:row>
      <xdr:rowOff>11431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AB4B58DA-2D1D-417F-9AB9-FE424F670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5714</xdr:colOff>
      <xdr:row>8</xdr:row>
      <xdr:rowOff>1</xdr:rowOff>
    </xdr:from>
    <xdr:to>
      <xdr:col>14</xdr:col>
      <xdr:colOff>17144</xdr:colOff>
      <xdr:row>21</xdr:row>
      <xdr:rowOff>24766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01D4FC3D-B1F7-4604-92A7-7A42D6EEC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</xdr:colOff>
      <xdr:row>8</xdr:row>
      <xdr:rowOff>1</xdr:rowOff>
    </xdr:from>
    <xdr:to>
      <xdr:col>14</xdr:col>
      <xdr:colOff>17145</xdr:colOff>
      <xdr:row>21</xdr:row>
      <xdr:rowOff>24766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898D5C9C-AAEF-4BDC-852B-0B39201E2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</xdr:colOff>
      <xdr:row>7</xdr:row>
      <xdr:rowOff>200026</xdr:rowOff>
    </xdr:from>
    <xdr:to>
      <xdr:col>13</xdr:col>
      <xdr:colOff>689610</xdr:colOff>
      <xdr:row>21</xdr:row>
      <xdr:rowOff>11431</xdr:rowOff>
    </xdr:to>
    <xdr:graphicFrame macro="">
      <xdr:nvGraphicFramePr>
        <xdr:cNvPr id="2" name="EmpHist">
          <a:extLst>
            <a:ext uri="{FF2B5EF4-FFF2-40B4-BE49-F238E27FC236}">
              <a16:creationId xmlns:a16="http://schemas.microsoft.com/office/drawing/2014/main" id="{DC7973A7-AE2B-4807-9D97-184F5E396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1F411-37F3-4510-B054-F6E49D135057}">
  <sheetPr codeName="Sheet8"/>
  <dimension ref="A1:BN183"/>
  <sheetViews>
    <sheetView showGridLines="0" tabSelected="1" workbookViewId="0">
      <selection activeCell="F9" sqref="F9"/>
    </sheetView>
  </sheetViews>
  <sheetFormatPr defaultColWidth="10" defaultRowHeight="15.6" x14ac:dyDescent="0.3"/>
  <cols>
    <col min="1" max="1" width="8.88671875" style="15" customWidth="1"/>
    <col min="2" max="2" width="11.77734375" style="6" customWidth="1"/>
    <col min="3" max="3" width="11.77734375" style="7" customWidth="1"/>
    <col min="4" max="4" width="8.44140625" style="7" customWidth="1"/>
    <col min="5" max="5" width="8.44140625" style="8" customWidth="1"/>
    <col min="6" max="6" width="12.88671875" style="9" customWidth="1"/>
    <col min="7" max="7" width="10" style="8"/>
    <col min="8" max="8" width="6.44140625" style="8" customWidth="1"/>
    <col min="9" max="14" width="10.21875" style="8" customWidth="1"/>
    <col min="15" max="17" width="10" style="8"/>
    <col min="18" max="19" width="10" style="7"/>
    <col min="20" max="20" width="15.77734375" style="7" customWidth="1"/>
    <col min="21" max="22" width="12.44140625" style="7" customWidth="1"/>
    <col min="23" max="24" width="10" style="7"/>
    <col min="25" max="26" width="9.6640625" style="72" customWidth="1"/>
    <col min="27" max="33" width="10" style="7"/>
    <col min="34" max="43" width="10" style="8"/>
    <col min="44" max="50" width="10" style="7"/>
    <col min="51" max="256" width="10" style="8"/>
    <col min="257" max="257" width="8.88671875" style="8" customWidth="1"/>
    <col min="258" max="259" width="11.77734375" style="8" customWidth="1"/>
    <col min="260" max="261" width="8.44140625" style="8" customWidth="1"/>
    <col min="262" max="262" width="12.88671875" style="8" customWidth="1"/>
    <col min="263" max="263" width="10" style="8"/>
    <col min="264" max="264" width="6.44140625" style="8" customWidth="1"/>
    <col min="265" max="270" width="10.21875" style="8" customWidth="1"/>
    <col min="271" max="275" width="10" style="8"/>
    <col min="276" max="276" width="15.77734375" style="8" customWidth="1"/>
    <col min="277" max="278" width="12.44140625" style="8" customWidth="1"/>
    <col min="279" max="280" width="10" style="8"/>
    <col min="281" max="282" width="9.6640625" style="8" customWidth="1"/>
    <col min="283" max="512" width="10" style="8"/>
    <col min="513" max="513" width="8.88671875" style="8" customWidth="1"/>
    <col min="514" max="515" width="11.77734375" style="8" customWidth="1"/>
    <col min="516" max="517" width="8.44140625" style="8" customWidth="1"/>
    <col min="518" max="518" width="12.88671875" style="8" customWidth="1"/>
    <col min="519" max="519" width="10" style="8"/>
    <col min="520" max="520" width="6.44140625" style="8" customWidth="1"/>
    <col min="521" max="526" width="10.21875" style="8" customWidth="1"/>
    <col min="527" max="531" width="10" style="8"/>
    <col min="532" max="532" width="15.77734375" style="8" customWidth="1"/>
    <col min="533" max="534" width="12.44140625" style="8" customWidth="1"/>
    <col min="535" max="536" width="10" style="8"/>
    <col min="537" max="538" width="9.6640625" style="8" customWidth="1"/>
    <col min="539" max="768" width="10" style="8"/>
    <col min="769" max="769" width="8.88671875" style="8" customWidth="1"/>
    <col min="770" max="771" width="11.77734375" style="8" customWidth="1"/>
    <col min="772" max="773" width="8.44140625" style="8" customWidth="1"/>
    <col min="774" max="774" width="12.88671875" style="8" customWidth="1"/>
    <col min="775" max="775" width="10" style="8"/>
    <col min="776" max="776" width="6.44140625" style="8" customWidth="1"/>
    <col min="777" max="782" width="10.21875" style="8" customWidth="1"/>
    <col min="783" max="787" width="10" style="8"/>
    <col min="788" max="788" width="15.77734375" style="8" customWidth="1"/>
    <col min="789" max="790" width="12.44140625" style="8" customWidth="1"/>
    <col min="791" max="792" width="10" style="8"/>
    <col min="793" max="794" width="9.6640625" style="8" customWidth="1"/>
    <col min="795" max="1024" width="10" style="8"/>
    <col min="1025" max="1025" width="8.88671875" style="8" customWidth="1"/>
    <col min="1026" max="1027" width="11.77734375" style="8" customWidth="1"/>
    <col min="1028" max="1029" width="8.44140625" style="8" customWidth="1"/>
    <col min="1030" max="1030" width="12.88671875" style="8" customWidth="1"/>
    <col min="1031" max="1031" width="10" style="8"/>
    <col min="1032" max="1032" width="6.44140625" style="8" customWidth="1"/>
    <col min="1033" max="1038" width="10.21875" style="8" customWidth="1"/>
    <col min="1039" max="1043" width="10" style="8"/>
    <col min="1044" max="1044" width="15.77734375" style="8" customWidth="1"/>
    <col min="1045" max="1046" width="12.44140625" style="8" customWidth="1"/>
    <col min="1047" max="1048" width="10" style="8"/>
    <col min="1049" max="1050" width="9.6640625" style="8" customWidth="1"/>
    <col min="1051" max="1280" width="10" style="8"/>
    <col min="1281" max="1281" width="8.88671875" style="8" customWidth="1"/>
    <col min="1282" max="1283" width="11.77734375" style="8" customWidth="1"/>
    <col min="1284" max="1285" width="8.44140625" style="8" customWidth="1"/>
    <col min="1286" max="1286" width="12.88671875" style="8" customWidth="1"/>
    <col min="1287" max="1287" width="10" style="8"/>
    <col min="1288" max="1288" width="6.44140625" style="8" customWidth="1"/>
    <col min="1289" max="1294" width="10.21875" style="8" customWidth="1"/>
    <col min="1295" max="1299" width="10" style="8"/>
    <col min="1300" max="1300" width="15.77734375" style="8" customWidth="1"/>
    <col min="1301" max="1302" width="12.44140625" style="8" customWidth="1"/>
    <col min="1303" max="1304" width="10" style="8"/>
    <col min="1305" max="1306" width="9.6640625" style="8" customWidth="1"/>
    <col min="1307" max="1536" width="10" style="8"/>
    <col min="1537" max="1537" width="8.88671875" style="8" customWidth="1"/>
    <col min="1538" max="1539" width="11.77734375" style="8" customWidth="1"/>
    <col min="1540" max="1541" width="8.44140625" style="8" customWidth="1"/>
    <col min="1542" max="1542" width="12.88671875" style="8" customWidth="1"/>
    <col min="1543" max="1543" width="10" style="8"/>
    <col min="1544" max="1544" width="6.44140625" style="8" customWidth="1"/>
    <col min="1545" max="1550" width="10.21875" style="8" customWidth="1"/>
    <col min="1551" max="1555" width="10" style="8"/>
    <col min="1556" max="1556" width="15.77734375" style="8" customWidth="1"/>
    <col min="1557" max="1558" width="12.44140625" style="8" customWidth="1"/>
    <col min="1559" max="1560" width="10" style="8"/>
    <col min="1561" max="1562" width="9.6640625" style="8" customWidth="1"/>
    <col min="1563" max="1792" width="10" style="8"/>
    <col min="1793" max="1793" width="8.88671875" style="8" customWidth="1"/>
    <col min="1794" max="1795" width="11.77734375" style="8" customWidth="1"/>
    <col min="1796" max="1797" width="8.44140625" style="8" customWidth="1"/>
    <col min="1798" max="1798" width="12.88671875" style="8" customWidth="1"/>
    <col min="1799" max="1799" width="10" style="8"/>
    <col min="1800" max="1800" width="6.44140625" style="8" customWidth="1"/>
    <col min="1801" max="1806" width="10.21875" style="8" customWidth="1"/>
    <col min="1807" max="1811" width="10" style="8"/>
    <col min="1812" max="1812" width="15.77734375" style="8" customWidth="1"/>
    <col min="1813" max="1814" width="12.44140625" style="8" customWidth="1"/>
    <col min="1815" max="1816" width="10" style="8"/>
    <col min="1817" max="1818" width="9.6640625" style="8" customWidth="1"/>
    <col min="1819" max="2048" width="10" style="8"/>
    <col min="2049" max="2049" width="8.88671875" style="8" customWidth="1"/>
    <col min="2050" max="2051" width="11.77734375" style="8" customWidth="1"/>
    <col min="2052" max="2053" width="8.44140625" style="8" customWidth="1"/>
    <col min="2054" max="2054" width="12.88671875" style="8" customWidth="1"/>
    <col min="2055" max="2055" width="10" style="8"/>
    <col min="2056" max="2056" width="6.44140625" style="8" customWidth="1"/>
    <col min="2057" max="2062" width="10.21875" style="8" customWidth="1"/>
    <col min="2063" max="2067" width="10" style="8"/>
    <col min="2068" max="2068" width="15.77734375" style="8" customWidth="1"/>
    <col min="2069" max="2070" width="12.44140625" style="8" customWidth="1"/>
    <col min="2071" max="2072" width="10" style="8"/>
    <col min="2073" max="2074" width="9.6640625" style="8" customWidth="1"/>
    <col min="2075" max="2304" width="10" style="8"/>
    <col min="2305" max="2305" width="8.88671875" style="8" customWidth="1"/>
    <col min="2306" max="2307" width="11.77734375" style="8" customWidth="1"/>
    <col min="2308" max="2309" width="8.44140625" style="8" customWidth="1"/>
    <col min="2310" max="2310" width="12.88671875" style="8" customWidth="1"/>
    <col min="2311" max="2311" width="10" style="8"/>
    <col min="2312" max="2312" width="6.44140625" style="8" customWidth="1"/>
    <col min="2313" max="2318" width="10.21875" style="8" customWidth="1"/>
    <col min="2319" max="2323" width="10" style="8"/>
    <col min="2324" max="2324" width="15.77734375" style="8" customWidth="1"/>
    <col min="2325" max="2326" width="12.44140625" style="8" customWidth="1"/>
    <col min="2327" max="2328" width="10" style="8"/>
    <col min="2329" max="2330" width="9.6640625" style="8" customWidth="1"/>
    <col min="2331" max="2560" width="10" style="8"/>
    <col min="2561" max="2561" width="8.88671875" style="8" customWidth="1"/>
    <col min="2562" max="2563" width="11.77734375" style="8" customWidth="1"/>
    <col min="2564" max="2565" width="8.44140625" style="8" customWidth="1"/>
    <col min="2566" max="2566" width="12.88671875" style="8" customWidth="1"/>
    <col min="2567" max="2567" width="10" style="8"/>
    <col min="2568" max="2568" width="6.44140625" style="8" customWidth="1"/>
    <col min="2569" max="2574" width="10.21875" style="8" customWidth="1"/>
    <col min="2575" max="2579" width="10" style="8"/>
    <col min="2580" max="2580" width="15.77734375" style="8" customWidth="1"/>
    <col min="2581" max="2582" width="12.44140625" style="8" customWidth="1"/>
    <col min="2583" max="2584" width="10" style="8"/>
    <col min="2585" max="2586" width="9.6640625" style="8" customWidth="1"/>
    <col min="2587" max="2816" width="10" style="8"/>
    <col min="2817" max="2817" width="8.88671875" style="8" customWidth="1"/>
    <col min="2818" max="2819" width="11.77734375" style="8" customWidth="1"/>
    <col min="2820" max="2821" width="8.44140625" style="8" customWidth="1"/>
    <col min="2822" max="2822" width="12.88671875" style="8" customWidth="1"/>
    <col min="2823" max="2823" width="10" style="8"/>
    <col min="2824" max="2824" width="6.44140625" style="8" customWidth="1"/>
    <col min="2825" max="2830" width="10.21875" style="8" customWidth="1"/>
    <col min="2831" max="2835" width="10" style="8"/>
    <col min="2836" max="2836" width="15.77734375" style="8" customWidth="1"/>
    <col min="2837" max="2838" width="12.44140625" style="8" customWidth="1"/>
    <col min="2839" max="2840" width="10" style="8"/>
    <col min="2841" max="2842" width="9.6640625" style="8" customWidth="1"/>
    <col min="2843" max="3072" width="10" style="8"/>
    <col min="3073" max="3073" width="8.88671875" style="8" customWidth="1"/>
    <col min="3074" max="3075" width="11.77734375" style="8" customWidth="1"/>
    <col min="3076" max="3077" width="8.44140625" style="8" customWidth="1"/>
    <col min="3078" max="3078" width="12.88671875" style="8" customWidth="1"/>
    <col min="3079" max="3079" width="10" style="8"/>
    <col min="3080" max="3080" width="6.44140625" style="8" customWidth="1"/>
    <col min="3081" max="3086" width="10.21875" style="8" customWidth="1"/>
    <col min="3087" max="3091" width="10" style="8"/>
    <col min="3092" max="3092" width="15.77734375" style="8" customWidth="1"/>
    <col min="3093" max="3094" width="12.44140625" style="8" customWidth="1"/>
    <col min="3095" max="3096" width="10" style="8"/>
    <col min="3097" max="3098" width="9.6640625" style="8" customWidth="1"/>
    <col min="3099" max="3328" width="10" style="8"/>
    <col min="3329" max="3329" width="8.88671875" style="8" customWidth="1"/>
    <col min="3330" max="3331" width="11.77734375" style="8" customWidth="1"/>
    <col min="3332" max="3333" width="8.44140625" style="8" customWidth="1"/>
    <col min="3334" max="3334" width="12.88671875" style="8" customWidth="1"/>
    <col min="3335" max="3335" width="10" style="8"/>
    <col min="3336" max="3336" width="6.44140625" style="8" customWidth="1"/>
    <col min="3337" max="3342" width="10.21875" style="8" customWidth="1"/>
    <col min="3343" max="3347" width="10" style="8"/>
    <col min="3348" max="3348" width="15.77734375" style="8" customWidth="1"/>
    <col min="3349" max="3350" width="12.44140625" style="8" customWidth="1"/>
    <col min="3351" max="3352" width="10" style="8"/>
    <col min="3353" max="3354" width="9.6640625" style="8" customWidth="1"/>
    <col min="3355" max="3584" width="10" style="8"/>
    <col min="3585" max="3585" width="8.88671875" style="8" customWidth="1"/>
    <col min="3586" max="3587" width="11.77734375" style="8" customWidth="1"/>
    <col min="3588" max="3589" width="8.44140625" style="8" customWidth="1"/>
    <col min="3590" max="3590" width="12.88671875" style="8" customWidth="1"/>
    <col min="3591" max="3591" width="10" style="8"/>
    <col min="3592" max="3592" width="6.44140625" style="8" customWidth="1"/>
    <col min="3593" max="3598" width="10.21875" style="8" customWidth="1"/>
    <col min="3599" max="3603" width="10" style="8"/>
    <col min="3604" max="3604" width="15.77734375" style="8" customWidth="1"/>
    <col min="3605" max="3606" width="12.44140625" style="8" customWidth="1"/>
    <col min="3607" max="3608" width="10" style="8"/>
    <col min="3609" max="3610" width="9.6640625" style="8" customWidth="1"/>
    <col min="3611" max="3840" width="10" style="8"/>
    <col min="3841" max="3841" width="8.88671875" style="8" customWidth="1"/>
    <col min="3842" max="3843" width="11.77734375" style="8" customWidth="1"/>
    <col min="3844" max="3845" width="8.44140625" style="8" customWidth="1"/>
    <col min="3846" max="3846" width="12.88671875" style="8" customWidth="1"/>
    <col min="3847" max="3847" width="10" style="8"/>
    <col min="3848" max="3848" width="6.44140625" style="8" customWidth="1"/>
    <col min="3849" max="3854" width="10.21875" style="8" customWidth="1"/>
    <col min="3855" max="3859" width="10" style="8"/>
    <col min="3860" max="3860" width="15.77734375" style="8" customWidth="1"/>
    <col min="3861" max="3862" width="12.44140625" style="8" customWidth="1"/>
    <col min="3863" max="3864" width="10" style="8"/>
    <col min="3865" max="3866" width="9.6640625" style="8" customWidth="1"/>
    <col min="3867" max="4096" width="10" style="8"/>
    <col min="4097" max="4097" width="8.88671875" style="8" customWidth="1"/>
    <col min="4098" max="4099" width="11.77734375" style="8" customWidth="1"/>
    <col min="4100" max="4101" width="8.44140625" style="8" customWidth="1"/>
    <col min="4102" max="4102" width="12.88671875" style="8" customWidth="1"/>
    <col min="4103" max="4103" width="10" style="8"/>
    <col min="4104" max="4104" width="6.44140625" style="8" customWidth="1"/>
    <col min="4105" max="4110" width="10.21875" style="8" customWidth="1"/>
    <col min="4111" max="4115" width="10" style="8"/>
    <col min="4116" max="4116" width="15.77734375" style="8" customWidth="1"/>
    <col min="4117" max="4118" width="12.44140625" style="8" customWidth="1"/>
    <col min="4119" max="4120" width="10" style="8"/>
    <col min="4121" max="4122" width="9.6640625" style="8" customWidth="1"/>
    <col min="4123" max="4352" width="10" style="8"/>
    <col min="4353" max="4353" width="8.88671875" style="8" customWidth="1"/>
    <col min="4354" max="4355" width="11.77734375" style="8" customWidth="1"/>
    <col min="4356" max="4357" width="8.44140625" style="8" customWidth="1"/>
    <col min="4358" max="4358" width="12.88671875" style="8" customWidth="1"/>
    <col min="4359" max="4359" width="10" style="8"/>
    <col min="4360" max="4360" width="6.44140625" style="8" customWidth="1"/>
    <col min="4361" max="4366" width="10.21875" style="8" customWidth="1"/>
    <col min="4367" max="4371" width="10" style="8"/>
    <col min="4372" max="4372" width="15.77734375" style="8" customWidth="1"/>
    <col min="4373" max="4374" width="12.44140625" style="8" customWidth="1"/>
    <col min="4375" max="4376" width="10" style="8"/>
    <col min="4377" max="4378" width="9.6640625" style="8" customWidth="1"/>
    <col min="4379" max="4608" width="10" style="8"/>
    <col min="4609" max="4609" width="8.88671875" style="8" customWidth="1"/>
    <col min="4610" max="4611" width="11.77734375" style="8" customWidth="1"/>
    <col min="4612" max="4613" width="8.44140625" style="8" customWidth="1"/>
    <col min="4614" max="4614" width="12.88671875" style="8" customWidth="1"/>
    <col min="4615" max="4615" width="10" style="8"/>
    <col min="4616" max="4616" width="6.44140625" style="8" customWidth="1"/>
    <col min="4617" max="4622" width="10.21875" style="8" customWidth="1"/>
    <col min="4623" max="4627" width="10" style="8"/>
    <col min="4628" max="4628" width="15.77734375" style="8" customWidth="1"/>
    <col min="4629" max="4630" width="12.44140625" style="8" customWidth="1"/>
    <col min="4631" max="4632" width="10" style="8"/>
    <col min="4633" max="4634" width="9.6640625" style="8" customWidth="1"/>
    <col min="4635" max="4864" width="10" style="8"/>
    <col min="4865" max="4865" width="8.88671875" style="8" customWidth="1"/>
    <col min="4866" max="4867" width="11.77734375" style="8" customWidth="1"/>
    <col min="4868" max="4869" width="8.44140625" style="8" customWidth="1"/>
    <col min="4870" max="4870" width="12.88671875" style="8" customWidth="1"/>
    <col min="4871" max="4871" width="10" style="8"/>
    <col min="4872" max="4872" width="6.44140625" style="8" customWidth="1"/>
    <col min="4873" max="4878" width="10.21875" style="8" customWidth="1"/>
    <col min="4879" max="4883" width="10" style="8"/>
    <col min="4884" max="4884" width="15.77734375" style="8" customWidth="1"/>
    <col min="4885" max="4886" width="12.44140625" style="8" customWidth="1"/>
    <col min="4887" max="4888" width="10" style="8"/>
    <col min="4889" max="4890" width="9.6640625" style="8" customWidth="1"/>
    <col min="4891" max="5120" width="10" style="8"/>
    <col min="5121" max="5121" width="8.88671875" style="8" customWidth="1"/>
    <col min="5122" max="5123" width="11.77734375" style="8" customWidth="1"/>
    <col min="5124" max="5125" width="8.44140625" style="8" customWidth="1"/>
    <col min="5126" max="5126" width="12.88671875" style="8" customWidth="1"/>
    <col min="5127" max="5127" width="10" style="8"/>
    <col min="5128" max="5128" width="6.44140625" style="8" customWidth="1"/>
    <col min="5129" max="5134" width="10.21875" style="8" customWidth="1"/>
    <col min="5135" max="5139" width="10" style="8"/>
    <col min="5140" max="5140" width="15.77734375" style="8" customWidth="1"/>
    <col min="5141" max="5142" width="12.44140625" style="8" customWidth="1"/>
    <col min="5143" max="5144" width="10" style="8"/>
    <col min="5145" max="5146" width="9.6640625" style="8" customWidth="1"/>
    <col min="5147" max="5376" width="10" style="8"/>
    <col min="5377" max="5377" width="8.88671875" style="8" customWidth="1"/>
    <col min="5378" max="5379" width="11.77734375" style="8" customWidth="1"/>
    <col min="5380" max="5381" width="8.44140625" style="8" customWidth="1"/>
    <col min="5382" max="5382" width="12.88671875" style="8" customWidth="1"/>
    <col min="5383" max="5383" width="10" style="8"/>
    <col min="5384" max="5384" width="6.44140625" style="8" customWidth="1"/>
    <col min="5385" max="5390" width="10.21875" style="8" customWidth="1"/>
    <col min="5391" max="5395" width="10" style="8"/>
    <col min="5396" max="5396" width="15.77734375" style="8" customWidth="1"/>
    <col min="5397" max="5398" width="12.44140625" style="8" customWidth="1"/>
    <col min="5399" max="5400" width="10" style="8"/>
    <col min="5401" max="5402" width="9.6640625" style="8" customWidth="1"/>
    <col min="5403" max="5632" width="10" style="8"/>
    <col min="5633" max="5633" width="8.88671875" style="8" customWidth="1"/>
    <col min="5634" max="5635" width="11.77734375" style="8" customWidth="1"/>
    <col min="5636" max="5637" width="8.44140625" style="8" customWidth="1"/>
    <col min="5638" max="5638" width="12.88671875" style="8" customWidth="1"/>
    <col min="5639" max="5639" width="10" style="8"/>
    <col min="5640" max="5640" width="6.44140625" style="8" customWidth="1"/>
    <col min="5641" max="5646" width="10.21875" style="8" customWidth="1"/>
    <col min="5647" max="5651" width="10" style="8"/>
    <col min="5652" max="5652" width="15.77734375" style="8" customWidth="1"/>
    <col min="5653" max="5654" width="12.44140625" style="8" customWidth="1"/>
    <col min="5655" max="5656" width="10" style="8"/>
    <col min="5657" max="5658" width="9.6640625" style="8" customWidth="1"/>
    <col min="5659" max="5888" width="10" style="8"/>
    <col min="5889" max="5889" width="8.88671875" style="8" customWidth="1"/>
    <col min="5890" max="5891" width="11.77734375" style="8" customWidth="1"/>
    <col min="5892" max="5893" width="8.44140625" style="8" customWidth="1"/>
    <col min="5894" max="5894" width="12.88671875" style="8" customWidth="1"/>
    <col min="5895" max="5895" width="10" style="8"/>
    <col min="5896" max="5896" width="6.44140625" style="8" customWidth="1"/>
    <col min="5897" max="5902" width="10.21875" style="8" customWidth="1"/>
    <col min="5903" max="5907" width="10" style="8"/>
    <col min="5908" max="5908" width="15.77734375" style="8" customWidth="1"/>
    <col min="5909" max="5910" width="12.44140625" style="8" customWidth="1"/>
    <col min="5911" max="5912" width="10" style="8"/>
    <col min="5913" max="5914" width="9.6640625" style="8" customWidth="1"/>
    <col min="5915" max="6144" width="10" style="8"/>
    <col min="6145" max="6145" width="8.88671875" style="8" customWidth="1"/>
    <col min="6146" max="6147" width="11.77734375" style="8" customWidth="1"/>
    <col min="6148" max="6149" width="8.44140625" style="8" customWidth="1"/>
    <col min="6150" max="6150" width="12.88671875" style="8" customWidth="1"/>
    <col min="6151" max="6151" width="10" style="8"/>
    <col min="6152" max="6152" width="6.44140625" style="8" customWidth="1"/>
    <col min="6153" max="6158" width="10.21875" style="8" customWidth="1"/>
    <col min="6159" max="6163" width="10" style="8"/>
    <col min="6164" max="6164" width="15.77734375" style="8" customWidth="1"/>
    <col min="6165" max="6166" width="12.44140625" style="8" customWidth="1"/>
    <col min="6167" max="6168" width="10" style="8"/>
    <col min="6169" max="6170" width="9.6640625" style="8" customWidth="1"/>
    <col min="6171" max="6400" width="10" style="8"/>
    <col min="6401" max="6401" width="8.88671875" style="8" customWidth="1"/>
    <col min="6402" max="6403" width="11.77734375" style="8" customWidth="1"/>
    <col min="6404" max="6405" width="8.44140625" style="8" customWidth="1"/>
    <col min="6406" max="6406" width="12.88671875" style="8" customWidth="1"/>
    <col min="6407" max="6407" width="10" style="8"/>
    <col min="6408" max="6408" width="6.44140625" style="8" customWidth="1"/>
    <col min="6409" max="6414" width="10.21875" style="8" customWidth="1"/>
    <col min="6415" max="6419" width="10" style="8"/>
    <col min="6420" max="6420" width="15.77734375" style="8" customWidth="1"/>
    <col min="6421" max="6422" width="12.44140625" style="8" customWidth="1"/>
    <col min="6423" max="6424" width="10" style="8"/>
    <col min="6425" max="6426" width="9.6640625" style="8" customWidth="1"/>
    <col min="6427" max="6656" width="10" style="8"/>
    <col min="6657" max="6657" width="8.88671875" style="8" customWidth="1"/>
    <col min="6658" max="6659" width="11.77734375" style="8" customWidth="1"/>
    <col min="6660" max="6661" width="8.44140625" style="8" customWidth="1"/>
    <col min="6662" max="6662" width="12.88671875" style="8" customWidth="1"/>
    <col min="6663" max="6663" width="10" style="8"/>
    <col min="6664" max="6664" width="6.44140625" style="8" customWidth="1"/>
    <col min="6665" max="6670" width="10.21875" style="8" customWidth="1"/>
    <col min="6671" max="6675" width="10" style="8"/>
    <col min="6676" max="6676" width="15.77734375" style="8" customWidth="1"/>
    <col min="6677" max="6678" width="12.44140625" style="8" customWidth="1"/>
    <col min="6679" max="6680" width="10" style="8"/>
    <col min="6681" max="6682" width="9.6640625" style="8" customWidth="1"/>
    <col min="6683" max="6912" width="10" style="8"/>
    <col min="6913" max="6913" width="8.88671875" style="8" customWidth="1"/>
    <col min="6914" max="6915" width="11.77734375" style="8" customWidth="1"/>
    <col min="6916" max="6917" width="8.44140625" style="8" customWidth="1"/>
    <col min="6918" max="6918" width="12.88671875" style="8" customWidth="1"/>
    <col min="6919" max="6919" width="10" style="8"/>
    <col min="6920" max="6920" width="6.44140625" style="8" customWidth="1"/>
    <col min="6921" max="6926" width="10.21875" style="8" customWidth="1"/>
    <col min="6927" max="6931" width="10" style="8"/>
    <col min="6932" max="6932" width="15.77734375" style="8" customWidth="1"/>
    <col min="6933" max="6934" width="12.44140625" style="8" customWidth="1"/>
    <col min="6935" max="6936" width="10" style="8"/>
    <col min="6937" max="6938" width="9.6640625" style="8" customWidth="1"/>
    <col min="6939" max="7168" width="10" style="8"/>
    <col min="7169" max="7169" width="8.88671875" style="8" customWidth="1"/>
    <col min="7170" max="7171" width="11.77734375" style="8" customWidth="1"/>
    <col min="7172" max="7173" width="8.44140625" style="8" customWidth="1"/>
    <col min="7174" max="7174" width="12.88671875" style="8" customWidth="1"/>
    <col min="7175" max="7175" width="10" style="8"/>
    <col min="7176" max="7176" width="6.44140625" style="8" customWidth="1"/>
    <col min="7177" max="7182" width="10.21875" style="8" customWidth="1"/>
    <col min="7183" max="7187" width="10" style="8"/>
    <col min="7188" max="7188" width="15.77734375" style="8" customWidth="1"/>
    <col min="7189" max="7190" width="12.44140625" style="8" customWidth="1"/>
    <col min="7191" max="7192" width="10" style="8"/>
    <col min="7193" max="7194" width="9.6640625" style="8" customWidth="1"/>
    <col min="7195" max="7424" width="10" style="8"/>
    <col min="7425" max="7425" width="8.88671875" style="8" customWidth="1"/>
    <col min="7426" max="7427" width="11.77734375" style="8" customWidth="1"/>
    <col min="7428" max="7429" width="8.44140625" style="8" customWidth="1"/>
    <col min="7430" max="7430" width="12.88671875" style="8" customWidth="1"/>
    <col min="7431" max="7431" width="10" style="8"/>
    <col min="7432" max="7432" width="6.44140625" style="8" customWidth="1"/>
    <col min="7433" max="7438" width="10.21875" style="8" customWidth="1"/>
    <col min="7439" max="7443" width="10" style="8"/>
    <col min="7444" max="7444" width="15.77734375" style="8" customWidth="1"/>
    <col min="7445" max="7446" width="12.44140625" style="8" customWidth="1"/>
    <col min="7447" max="7448" width="10" style="8"/>
    <col min="7449" max="7450" width="9.6640625" style="8" customWidth="1"/>
    <col min="7451" max="7680" width="10" style="8"/>
    <col min="7681" max="7681" width="8.88671875" style="8" customWidth="1"/>
    <col min="7682" max="7683" width="11.77734375" style="8" customWidth="1"/>
    <col min="7684" max="7685" width="8.44140625" style="8" customWidth="1"/>
    <col min="7686" max="7686" width="12.88671875" style="8" customWidth="1"/>
    <col min="7687" max="7687" width="10" style="8"/>
    <col min="7688" max="7688" width="6.44140625" style="8" customWidth="1"/>
    <col min="7689" max="7694" width="10.21875" style="8" customWidth="1"/>
    <col min="7695" max="7699" width="10" style="8"/>
    <col min="7700" max="7700" width="15.77734375" style="8" customWidth="1"/>
    <col min="7701" max="7702" width="12.44140625" style="8" customWidth="1"/>
    <col min="7703" max="7704" width="10" style="8"/>
    <col min="7705" max="7706" width="9.6640625" style="8" customWidth="1"/>
    <col min="7707" max="7936" width="10" style="8"/>
    <col min="7937" max="7937" width="8.88671875" style="8" customWidth="1"/>
    <col min="7938" max="7939" width="11.77734375" style="8" customWidth="1"/>
    <col min="7940" max="7941" width="8.44140625" style="8" customWidth="1"/>
    <col min="7942" max="7942" width="12.88671875" style="8" customWidth="1"/>
    <col min="7943" max="7943" width="10" style="8"/>
    <col min="7944" max="7944" width="6.44140625" style="8" customWidth="1"/>
    <col min="7945" max="7950" width="10.21875" style="8" customWidth="1"/>
    <col min="7951" max="7955" width="10" style="8"/>
    <col min="7956" max="7956" width="15.77734375" style="8" customWidth="1"/>
    <col min="7957" max="7958" width="12.44140625" style="8" customWidth="1"/>
    <col min="7959" max="7960" width="10" style="8"/>
    <col min="7961" max="7962" width="9.6640625" style="8" customWidth="1"/>
    <col min="7963" max="8192" width="10" style="8"/>
    <col min="8193" max="8193" width="8.88671875" style="8" customWidth="1"/>
    <col min="8194" max="8195" width="11.77734375" style="8" customWidth="1"/>
    <col min="8196" max="8197" width="8.44140625" style="8" customWidth="1"/>
    <col min="8198" max="8198" width="12.88671875" style="8" customWidth="1"/>
    <col min="8199" max="8199" width="10" style="8"/>
    <col min="8200" max="8200" width="6.44140625" style="8" customWidth="1"/>
    <col min="8201" max="8206" width="10.21875" style="8" customWidth="1"/>
    <col min="8207" max="8211" width="10" style="8"/>
    <col min="8212" max="8212" width="15.77734375" style="8" customWidth="1"/>
    <col min="8213" max="8214" width="12.44140625" style="8" customWidth="1"/>
    <col min="8215" max="8216" width="10" style="8"/>
    <col min="8217" max="8218" width="9.6640625" style="8" customWidth="1"/>
    <col min="8219" max="8448" width="10" style="8"/>
    <col min="8449" max="8449" width="8.88671875" style="8" customWidth="1"/>
    <col min="8450" max="8451" width="11.77734375" style="8" customWidth="1"/>
    <col min="8452" max="8453" width="8.44140625" style="8" customWidth="1"/>
    <col min="8454" max="8454" width="12.88671875" style="8" customWidth="1"/>
    <col min="8455" max="8455" width="10" style="8"/>
    <col min="8456" max="8456" width="6.44140625" style="8" customWidth="1"/>
    <col min="8457" max="8462" width="10.21875" style="8" customWidth="1"/>
    <col min="8463" max="8467" width="10" style="8"/>
    <col min="8468" max="8468" width="15.77734375" style="8" customWidth="1"/>
    <col min="8469" max="8470" width="12.44140625" style="8" customWidth="1"/>
    <col min="8471" max="8472" width="10" style="8"/>
    <col min="8473" max="8474" width="9.6640625" style="8" customWidth="1"/>
    <col min="8475" max="8704" width="10" style="8"/>
    <col min="8705" max="8705" width="8.88671875" style="8" customWidth="1"/>
    <col min="8706" max="8707" width="11.77734375" style="8" customWidth="1"/>
    <col min="8708" max="8709" width="8.44140625" style="8" customWidth="1"/>
    <col min="8710" max="8710" width="12.88671875" style="8" customWidth="1"/>
    <col min="8711" max="8711" width="10" style="8"/>
    <col min="8712" max="8712" width="6.44140625" style="8" customWidth="1"/>
    <col min="8713" max="8718" width="10.21875" style="8" customWidth="1"/>
    <col min="8719" max="8723" width="10" style="8"/>
    <col min="8724" max="8724" width="15.77734375" style="8" customWidth="1"/>
    <col min="8725" max="8726" width="12.44140625" style="8" customWidth="1"/>
    <col min="8727" max="8728" width="10" style="8"/>
    <col min="8729" max="8730" width="9.6640625" style="8" customWidth="1"/>
    <col min="8731" max="8960" width="10" style="8"/>
    <col min="8961" max="8961" width="8.88671875" style="8" customWidth="1"/>
    <col min="8962" max="8963" width="11.77734375" style="8" customWidth="1"/>
    <col min="8964" max="8965" width="8.44140625" style="8" customWidth="1"/>
    <col min="8966" max="8966" width="12.88671875" style="8" customWidth="1"/>
    <col min="8967" max="8967" width="10" style="8"/>
    <col min="8968" max="8968" width="6.44140625" style="8" customWidth="1"/>
    <col min="8969" max="8974" width="10.21875" style="8" customWidth="1"/>
    <col min="8975" max="8979" width="10" style="8"/>
    <col min="8980" max="8980" width="15.77734375" style="8" customWidth="1"/>
    <col min="8981" max="8982" width="12.44140625" style="8" customWidth="1"/>
    <col min="8983" max="8984" width="10" style="8"/>
    <col min="8985" max="8986" width="9.6640625" style="8" customWidth="1"/>
    <col min="8987" max="9216" width="10" style="8"/>
    <col min="9217" max="9217" width="8.88671875" style="8" customWidth="1"/>
    <col min="9218" max="9219" width="11.77734375" style="8" customWidth="1"/>
    <col min="9220" max="9221" width="8.44140625" style="8" customWidth="1"/>
    <col min="9222" max="9222" width="12.88671875" style="8" customWidth="1"/>
    <col min="9223" max="9223" width="10" style="8"/>
    <col min="9224" max="9224" width="6.44140625" style="8" customWidth="1"/>
    <col min="9225" max="9230" width="10.21875" style="8" customWidth="1"/>
    <col min="9231" max="9235" width="10" style="8"/>
    <col min="9236" max="9236" width="15.77734375" style="8" customWidth="1"/>
    <col min="9237" max="9238" width="12.44140625" style="8" customWidth="1"/>
    <col min="9239" max="9240" width="10" style="8"/>
    <col min="9241" max="9242" width="9.6640625" style="8" customWidth="1"/>
    <col min="9243" max="9472" width="10" style="8"/>
    <col min="9473" max="9473" width="8.88671875" style="8" customWidth="1"/>
    <col min="9474" max="9475" width="11.77734375" style="8" customWidth="1"/>
    <col min="9476" max="9477" width="8.44140625" style="8" customWidth="1"/>
    <col min="9478" max="9478" width="12.88671875" style="8" customWidth="1"/>
    <col min="9479" max="9479" width="10" style="8"/>
    <col min="9480" max="9480" width="6.44140625" style="8" customWidth="1"/>
    <col min="9481" max="9486" width="10.21875" style="8" customWidth="1"/>
    <col min="9487" max="9491" width="10" style="8"/>
    <col min="9492" max="9492" width="15.77734375" style="8" customWidth="1"/>
    <col min="9493" max="9494" width="12.44140625" style="8" customWidth="1"/>
    <col min="9495" max="9496" width="10" style="8"/>
    <col min="9497" max="9498" width="9.6640625" style="8" customWidth="1"/>
    <col min="9499" max="9728" width="10" style="8"/>
    <col min="9729" max="9729" width="8.88671875" style="8" customWidth="1"/>
    <col min="9730" max="9731" width="11.77734375" style="8" customWidth="1"/>
    <col min="9732" max="9733" width="8.44140625" style="8" customWidth="1"/>
    <col min="9734" max="9734" width="12.88671875" style="8" customWidth="1"/>
    <col min="9735" max="9735" width="10" style="8"/>
    <col min="9736" max="9736" width="6.44140625" style="8" customWidth="1"/>
    <col min="9737" max="9742" width="10.21875" style="8" customWidth="1"/>
    <col min="9743" max="9747" width="10" style="8"/>
    <col min="9748" max="9748" width="15.77734375" style="8" customWidth="1"/>
    <col min="9749" max="9750" width="12.44140625" style="8" customWidth="1"/>
    <col min="9751" max="9752" width="10" style="8"/>
    <col min="9753" max="9754" width="9.6640625" style="8" customWidth="1"/>
    <col min="9755" max="9984" width="10" style="8"/>
    <col min="9985" max="9985" width="8.88671875" style="8" customWidth="1"/>
    <col min="9986" max="9987" width="11.77734375" style="8" customWidth="1"/>
    <col min="9988" max="9989" width="8.44140625" style="8" customWidth="1"/>
    <col min="9990" max="9990" width="12.88671875" style="8" customWidth="1"/>
    <col min="9991" max="9991" width="10" style="8"/>
    <col min="9992" max="9992" width="6.44140625" style="8" customWidth="1"/>
    <col min="9993" max="9998" width="10.21875" style="8" customWidth="1"/>
    <col min="9999" max="10003" width="10" style="8"/>
    <col min="10004" max="10004" width="15.77734375" style="8" customWidth="1"/>
    <col min="10005" max="10006" width="12.44140625" style="8" customWidth="1"/>
    <col min="10007" max="10008" width="10" style="8"/>
    <col min="10009" max="10010" width="9.6640625" style="8" customWidth="1"/>
    <col min="10011" max="10240" width="10" style="8"/>
    <col min="10241" max="10241" width="8.88671875" style="8" customWidth="1"/>
    <col min="10242" max="10243" width="11.77734375" style="8" customWidth="1"/>
    <col min="10244" max="10245" width="8.44140625" style="8" customWidth="1"/>
    <col min="10246" max="10246" width="12.88671875" style="8" customWidth="1"/>
    <col min="10247" max="10247" width="10" style="8"/>
    <col min="10248" max="10248" width="6.44140625" style="8" customWidth="1"/>
    <col min="10249" max="10254" width="10.21875" style="8" customWidth="1"/>
    <col min="10255" max="10259" width="10" style="8"/>
    <col min="10260" max="10260" width="15.77734375" style="8" customWidth="1"/>
    <col min="10261" max="10262" width="12.44140625" style="8" customWidth="1"/>
    <col min="10263" max="10264" width="10" style="8"/>
    <col min="10265" max="10266" width="9.6640625" style="8" customWidth="1"/>
    <col min="10267" max="10496" width="10" style="8"/>
    <col min="10497" max="10497" width="8.88671875" style="8" customWidth="1"/>
    <col min="10498" max="10499" width="11.77734375" style="8" customWidth="1"/>
    <col min="10500" max="10501" width="8.44140625" style="8" customWidth="1"/>
    <col min="10502" max="10502" width="12.88671875" style="8" customWidth="1"/>
    <col min="10503" max="10503" width="10" style="8"/>
    <col min="10504" max="10504" width="6.44140625" style="8" customWidth="1"/>
    <col min="10505" max="10510" width="10.21875" style="8" customWidth="1"/>
    <col min="10511" max="10515" width="10" style="8"/>
    <col min="10516" max="10516" width="15.77734375" style="8" customWidth="1"/>
    <col min="10517" max="10518" width="12.44140625" style="8" customWidth="1"/>
    <col min="10519" max="10520" width="10" style="8"/>
    <col min="10521" max="10522" width="9.6640625" style="8" customWidth="1"/>
    <col min="10523" max="10752" width="10" style="8"/>
    <col min="10753" max="10753" width="8.88671875" style="8" customWidth="1"/>
    <col min="10754" max="10755" width="11.77734375" style="8" customWidth="1"/>
    <col min="10756" max="10757" width="8.44140625" style="8" customWidth="1"/>
    <col min="10758" max="10758" width="12.88671875" style="8" customWidth="1"/>
    <col min="10759" max="10759" width="10" style="8"/>
    <col min="10760" max="10760" width="6.44140625" style="8" customWidth="1"/>
    <col min="10761" max="10766" width="10.21875" style="8" customWidth="1"/>
    <col min="10767" max="10771" width="10" style="8"/>
    <col min="10772" max="10772" width="15.77734375" style="8" customWidth="1"/>
    <col min="10773" max="10774" width="12.44140625" style="8" customWidth="1"/>
    <col min="10775" max="10776" width="10" style="8"/>
    <col min="10777" max="10778" width="9.6640625" style="8" customWidth="1"/>
    <col min="10779" max="11008" width="10" style="8"/>
    <col min="11009" max="11009" width="8.88671875" style="8" customWidth="1"/>
    <col min="11010" max="11011" width="11.77734375" style="8" customWidth="1"/>
    <col min="11012" max="11013" width="8.44140625" style="8" customWidth="1"/>
    <col min="11014" max="11014" width="12.88671875" style="8" customWidth="1"/>
    <col min="11015" max="11015" width="10" style="8"/>
    <col min="11016" max="11016" width="6.44140625" style="8" customWidth="1"/>
    <col min="11017" max="11022" width="10.21875" style="8" customWidth="1"/>
    <col min="11023" max="11027" width="10" style="8"/>
    <col min="11028" max="11028" width="15.77734375" style="8" customWidth="1"/>
    <col min="11029" max="11030" width="12.44140625" style="8" customWidth="1"/>
    <col min="11031" max="11032" width="10" style="8"/>
    <col min="11033" max="11034" width="9.6640625" style="8" customWidth="1"/>
    <col min="11035" max="11264" width="10" style="8"/>
    <col min="11265" max="11265" width="8.88671875" style="8" customWidth="1"/>
    <col min="11266" max="11267" width="11.77734375" style="8" customWidth="1"/>
    <col min="11268" max="11269" width="8.44140625" style="8" customWidth="1"/>
    <col min="11270" max="11270" width="12.88671875" style="8" customWidth="1"/>
    <col min="11271" max="11271" width="10" style="8"/>
    <col min="11272" max="11272" width="6.44140625" style="8" customWidth="1"/>
    <col min="11273" max="11278" width="10.21875" style="8" customWidth="1"/>
    <col min="11279" max="11283" width="10" style="8"/>
    <col min="11284" max="11284" width="15.77734375" style="8" customWidth="1"/>
    <col min="11285" max="11286" width="12.44140625" style="8" customWidth="1"/>
    <col min="11287" max="11288" width="10" style="8"/>
    <col min="11289" max="11290" width="9.6640625" style="8" customWidth="1"/>
    <col min="11291" max="11520" width="10" style="8"/>
    <col min="11521" max="11521" width="8.88671875" style="8" customWidth="1"/>
    <col min="11522" max="11523" width="11.77734375" style="8" customWidth="1"/>
    <col min="11524" max="11525" width="8.44140625" style="8" customWidth="1"/>
    <col min="11526" max="11526" width="12.88671875" style="8" customWidth="1"/>
    <col min="11527" max="11527" width="10" style="8"/>
    <col min="11528" max="11528" width="6.44140625" style="8" customWidth="1"/>
    <col min="11529" max="11534" width="10.21875" style="8" customWidth="1"/>
    <col min="11535" max="11539" width="10" style="8"/>
    <col min="11540" max="11540" width="15.77734375" style="8" customWidth="1"/>
    <col min="11541" max="11542" width="12.44140625" style="8" customWidth="1"/>
    <col min="11543" max="11544" width="10" style="8"/>
    <col min="11545" max="11546" width="9.6640625" style="8" customWidth="1"/>
    <col min="11547" max="11776" width="10" style="8"/>
    <col min="11777" max="11777" width="8.88671875" style="8" customWidth="1"/>
    <col min="11778" max="11779" width="11.77734375" style="8" customWidth="1"/>
    <col min="11780" max="11781" width="8.44140625" style="8" customWidth="1"/>
    <col min="11782" max="11782" width="12.88671875" style="8" customWidth="1"/>
    <col min="11783" max="11783" width="10" style="8"/>
    <col min="11784" max="11784" width="6.44140625" style="8" customWidth="1"/>
    <col min="11785" max="11790" width="10.21875" style="8" customWidth="1"/>
    <col min="11791" max="11795" width="10" style="8"/>
    <col min="11796" max="11796" width="15.77734375" style="8" customWidth="1"/>
    <col min="11797" max="11798" width="12.44140625" style="8" customWidth="1"/>
    <col min="11799" max="11800" width="10" style="8"/>
    <col min="11801" max="11802" width="9.6640625" style="8" customWidth="1"/>
    <col min="11803" max="12032" width="10" style="8"/>
    <col min="12033" max="12033" width="8.88671875" style="8" customWidth="1"/>
    <col min="12034" max="12035" width="11.77734375" style="8" customWidth="1"/>
    <col min="12036" max="12037" width="8.44140625" style="8" customWidth="1"/>
    <col min="12038" max="12038" width="12.88671875" style="8" customWidth="1"/>
    <col min="12039" max="12039" width="10" style="8"/>
    <col min="12040" max="12040" width="6.44140625" style="8" customWidth="1"/>
    <col min="12041" max="12046" width="10.21875" style="8" customWidth="1"/>
    <col min="12047" max="12051" width="10" style="8"/>
    <col min="12052" max="12052" width="15.77734375" style="8" customWidth="1"/>
    <col min="12053" max="12054" width="12.44140625" style="8" customWidth="1"/>
    <col min="12055" max="12056" width="10" style="8"/>
    <col min="12057" max="12058" width="9.6640625" style="8" customWidth="1"/>
    <col min="12059" max="12288" width="10" style="8"/>
    <col min="12289" max="12289" width="8.88671875" style="8" customWidth="1"/>
    <col min="12290" max="12291" width="11.77734375" style="8" customWidth="1"/>
    <col min="12292" max="12293" width="8.44140625" style="8" customWidth="1"/>
    <col min="12294" max="12294" width="12.88671875" style="8" customWidth="1"/>
    <col min="12295" max="12295" width="10" style="8"/>
    <col min="12296" max="12296" width="6.44140625" style="8" customWidth="1"/>
    <col min="12297" max="12302" width="10.21875" style="8" customWidth="1"/>
    <col min="12303" max="12307" width="10" style="8"/>
    <col min="12308" max="12308" width="15.77734375" style="8" customWidth="1"/>
    <col min="12309" max="12310" width="12.44140625" style="8" customWidth="1"/>
    <col min="12311" max="12312" width="10" style="8"/>
    <col min="12313" max="12314" width="9.6640625" style="8" customWidth="1"/>
    <col min="12315" max="12544" width="10" style="8"/>
    <col min="12545" max="12545" width="8.88671875" style="8" customWidth="1"/>
    <col min="12546" max="12547" width="11.77734375" style="8" customWidth="1"/>
    <col min="12548" max="12549" width="8.44140625" style="8" customWidth="1"/>
    <col min="12550" max="12550" width="12.88671875" style="8" customWidth="1"/>
    <col min="12551" max="12551" width="10" style="8"/>
    <col min="12552" max="12552" width="6.44140625" style="8" customWidth="1"/>
    <col min="12553" max="12558" width="10.21875" style="8" customWidth="1"/>
    <col min="12559" max="12563" width="10" style="8"/>
    <col min="12564" max="12564" width="15.77734375" style="8" customWidth="1"/>
    <col min="12565" max="12566" width="12.44140625" style="8" customWidth="1"/>
    <col min="12567" max="12568" width="10" style="8"/>
    <col min="12569" max="12570" width="9.6640625" style="8" customWidth="1"/>
    <col min="12571" max="12800" width="10" style="8"/>
    <col min="12801" max="12801" width="8.88671875" style="8" customWidth="1"/>
    <col min="12802" max="12803" width="11.77734375" style="8" customWidth="1"/>
    <col min="12804" max="12805" width="8.44140625" style="8" customWidth="1"/>
    <col min="12806" max="12806" width="12.88671875" style="8" customWidth="1"/>
    <col min="12807" max="12807" width="10" style="8"/>
    <col min="12808" max="12808" width="6.44140625" style="8" customWidth="1"/>
    <col min="12809" max="12814" width="10.21875" style="8" customWidth="1"/>
    <col min="12815" max="12819" width="10" style="8"/>
    <col min="12820" max="12820" width="15.77734375" style="8" customWidth="1"/>
    <col min="12821" max="12822" width="12.44140625" style="8" customWidth="1"/>
    <col min="12823" max="12824" width="10" style="8"/>
    <col min="12825" max="12826" width="9.6640625" style="8" customWidth="1"/>
    <col min="12827" max="13056" width="10" style="8"/>
    <col min="13057" max="13057" width="8.88671875" style="8" customWidth="1"/>
    <col min="13058" max="13059" width="11.77734375" style="8" customWidth="1"/>
    <col min="13060" max="13061" width="8.44140625" style="8" customWidth="1"/>
    <col min="13062" max="13062" width="12.88671875" style="8" customWidth="1"/>
    <col min="13063" max="13063" width="10" style="8"/>
    <col min="13064" max="13064" width="6.44140625" style="8" customWidth="1"/>
    <col min="13065" max="13070" width="10.21875" style="8" customWidth="1"/>
    <col min="13071" max="13075" width="10" style="8"/>
    <col min="13076" max="13076" width="15.77734375" style="8" customWidth="1"/>
    <col min="13077" max="13078" width="12.44140625" style="8" customWidth="1"/>
    <col min="13079" max="13080" width="10" style="8"/>
    <col min="13081" max="13082" width="9.6640625" style="8" customWidth="1"/>
    <col min="13083" max="13312" width="10" style="8"/>
    <col min="13313" max="13313" width="8.88671875" style="8" customWidth="1"/>
    <col min="13314" max="13315" width="11.77734375" style="8" customWidth="1"/>
    <col min="13316" max="13317" width="8.44140625" style="8" customWidth="1"/>
    <col min="13318" max="13318" width="12.88671875" style="8" customWidth="1"/>
    <col min="13319" max="13319" width="10" style="8"/>
    <col min="13320" max="13320" width="6.44140625" style="8" customWidth="1"/>
    <col min="13321" max="13326" width="10.21875" style="8" customWidth="1"/>
    <col min="13327" max="13331" width="10" style="8"/>
    <col min="13332" max="13332" width="15.77734375" style="8" customWidth="1"/>
    <col min="13333" max="13334" width="12.44140625" style="8" customWidth="1"/>
    <col min="13335" max="13336" width="10" style="8"/>
    <col min="13337" max="13338" width="9.6640625" style="8" customWidth="1"/>
    <col min="13339" max="13568" width="10" style="8"/>
    <col min="13569" max="13569" width="8.88671875" style="8" customWidth="1"/>
    <col min="13570" max="13571" width="11.77734375" style="8" customWidth="1"/>
    <col min="13572" max="13573" width="8.44140625" style="8" customWidth="1"/>
    <col min="13574" max="13574" width="12.88671875" style="8" customWidth="1"/>
    <col min="13575" max="13575" width="10" style="8"/>
    <col min="13576" max="13576" width="6.44140625" style="8" customWidth="1"/>
    <col min="13577" max="13582" width="10.21875" style="8" customWidth="1"/>
    <col min="13583" max="13587" width="10" style="8"/>
    <col min="13588" max="13588" width="15.77734375" style="8" customWidth="1"/>
    <col min="13589" max="13590" width="12.44140625" style="8" customWidth="1"/>
    <col min="13591" max="13592" width="10" style="8"/>
    <col min="13593" max="13594" width="9.6640625" style="8" customWidth="1"/>
    <col min="13595" max="13824" width="10" style="8"/>
    <col min="13825" max="13825" width="8.88671875" style="8" customWidth="1"/>
    <col min="13826" max="13827" width="11.77734375" style="8" customWidth="1"/>
    <col min="13828" max="13829" width="8.44140625" style="8" customWidth="1"/>
    <col min="13830" max="13830" width="12.88671875" style="8" customWidth="1"/>
    <col min="13831" max="13831" width="10" style="8"/>
    <col min="13832" max="13832" width="6.44140625" style="8" customWidth="1"/>
    <col min="13833" max="13838" width="10.21875" style="8" customWidth="1"/>
    <col min="13839" max="13843" width="10" style="8"/>
    <col min="13844" max="13844" width="15.77734375" style="8" customWidth="1"/>
    <col min="13845" max="13846" width="12.44140625" style="8" customWidth="1"/>
    <col min="13847" max="13848" width="10" style="8"/>
    <col min="13849" max="13850" width="9.6640625" style="8" customWidth="1"/>
    <col min="13851" max="14080" width="10" style="8"/>
    <col min="14081" max="14081" width="8.88671875" style="8" customWidth="1"/>
    <col min="14082" max="14083" width="11.77734375" style="8" customWidth="1"/>
    <col min="14084" max="14085" width="8.44140625" style="8" customWidth="1"/>
    <col min="14086" max="14086" width="12.88671875" style="8" customWidth="1"/>
    <col min="14087" max="14087" width="10" style="8"/>
    <col min="14088" max="14088" width="6.44140625" style="8" customWidth="1"/>
    <col min="14089" max="14094" width="10.21875" style="8" customWidth="1"/>
    <col min="14095" max="14099" width="10" style="8"/>
    <col min="14100" max="14100" width="15.77734375" style="8" customWidth="1"/>
    <col min="14101" max="14102" width="12.44140625" style="8" customWidth="1"/>
    <col min="14103" max="14104" width="10" style="8"/>
    <col min="14105" max="14106" width="9.6640625" style="8" customWidth="1"/>
    <col min="14107" max="14336" width="10" style="8"/>
    <col min="14337" max="14337" width="8.88671875" style="8" customWidth="1"/>
    <col min="14338" max="14339" width="11.77734375" style="8" customWidth="1"/>
    <col min="14340" max="14341" width="8.44140625" style="8" customWidth="1"/>
    <col min="14342" max="14342" width="12.88671875" style="8" customWidth="1"/>
    <col min="14343" max="14343" width="10" style="8"/>
    <col min="14344" max="14344" width="6.44140625" style="8" customWidth="1"/>
    <col min="14345" max="14350" width="10.21875" style="8" customWidth="1"/>
    <col min="14351" max="14355" width="10" style="8"/>
    <col min="14356" max="14356" width="15.77734375" style="8" customWidth="1"/>
    <col min="14357" max="14358" width="12.44140625" style="8" customWidth="1"/>
    <col min="14359" max="14360" width="10" style="8"/>
    <col min="14361" max="14362" width="9.6640625" style="8" customWidth="1"/>
    <col min="14363" max="14592" width="10" style="8"/>
    <col min="14593" max="14593" width="8.88671875" style="8" customWidth="1"/>
    <col min="14594" max="14595" width="11.77734375" style="8" customWidth="1"/>
    <col min="14596" max="14597" width="8.44140625" style="8" customWidth="1"/>
    <col min="14598" max="14598" width="12.88671875" style="8" customWidth="1"/>
    <col min="14599" max="14599" width="10" style="8"/>
    <col min="14600" max="14600" width="6.44140625" style="8" customWidth="1"/>
    <col min="14601" max="14606" width="10.21875" style="8" customWidth="1"/>
    <col min="14607" max="14611" width="10" style="8"/>
    <col min="14612" max="14612" width="15.77734375" style="8" customWidth="1"/>
    <col min="14613" max="14614" width="12.44140625" style="8" customWidth="1"/>
    <col min="14615" max="14616" width="10" style="8"/>
    <col min="14617" max="14618" width="9.6640625" style="8" customWidth="1"/>
    <col min="14619" max="14848" width="10" style="8"/>
    <col min="14849" max="14849" width="8.88671875" style="8" customWidth="1"/>
    <col min="14850" max="14851" width="11.77734375" style="8" customWidth="1"/>
    <col min="14852" max="14853" width="8.44140625" style="8" customWidth="1"/>
    <col min="14854" max="14854" width="12.88671875" style="8" customWidth="1"/>
    <col min="14855" max="14855" width="10" style="8"/>
    <col min="14856" max="14856" width="6.44140625" style="8" customWidth="1"/>
    <col min="14857" max="14862" width="10.21875" style="8" customWidth="1"/>
    <col min="14863" max="14867" width="10" style="8"/>
    <col min="14868" max="14868" width="15.77734375" style="8" customWidth="1"/>
    <col min="14869" max="14870" width="12.44140625" style="8" customWidth="1"/>
    <col min="14871" max="14872" width="10" style="8"/>
    <col min="14873" max="14874" width="9.6640625" style="8" customWidth="1"/>
    <col min="14875" max="15104" width="10" style="8"/>
    <col min="15105" max="15105" width="8.88671875" style="8" customWidth="1"/>
    <col min="15106" max="15107" width="11.77734375" style="8" customWidth="1"/>
    <col min="15108" max="15109" width="8.44140625" style="8" customWidth="1"/>
    <col min="15110" max="15110" width="12.88671875" style="8" customWidth="1"/>
    <col min="15111" max="15111" width="10" style="8"/>
    <col min="15112" max="15112" width="6.44140625" style="8" customWidth="1"/>
    <col min="15113" max="15118" width="10.21875" style="8" customWidth="1"/>
    <col min="15119" max="15123" width="10" style="8"/>
    <col min="15124" max="15124" width="15.77734375" style="8" customWidth="1"/>
    <col min="15125" max="15126" width="12.44140625" style="8" customWidth="1"/>
    <col min="15127" max="15128" width="10" style="8"/>
    <col min="15129" max="15130" width="9.6640625" style="8" customWidth="1"/>
    <col min="15131" max="15360" width="10" style="8"/>
    <col min="15361" max="15361" width="8.88671875" style="8" customWidth="1"/>
    <col min="15362" max="15363" width="11.77734375" style="8" customWidth="1"/>
    <col min="15364" max="15365" width="8.44140625" style="8" customWidth="1"/>
    <col min="15366" max="15366" width="12.88671875" style="8" customWidth="1"/>
    <col min="15367" max="15367" width="10" style="8"/>
    <col min="15368" max="15368" width="6.44140625" style="8" customWidth="1"/>
    <col min="15369" max="15374" width="10.21875" style="8" customWidth="1"/>
    <col min="15375" max="15379" width="10" style="8"/>
    <col min="15380" max="15380" width="15.77734375" style="8" customWidth="1"/>
    <col min="15381" max="15382" width="12.44140625" style="8" customWidth="1"/>
    <col min="15383" max="15384" width="10" style="8"/>
    <col min="15385" max="15386" width="9.6640625" style="8" customWidth="1"/>
    <col min="15387" max="15616" width="10" style="8"/>
    <col min="15617" max="15617" width="8.88671875" style="8" customWidth="1"/>
    <col min="15618" max="15619" width="11.77734375" style="8" customWidth="1"/>
    <col min="15620" max="15621" width="8.44140625" style="8" customWidth="1"/>
    <col min="15622" max="15622" width="12.88671875" style="8" customWidth="1"/>
    <col min="15623" max="15623" width="10" style="8"/>
    <col min="15624" max="15624" width="6.44140625" style="8" customWidth="1"/>
    <col min="15625" max="15630" width="10.21875" style="8" customWidth="1"/>
    <col min="15631" max="15635" width="10" style="8"/>
    <col min="15636" max="15636" width="15.77734375" style="8" customWidth="1"/>
    <col min="15637" max="15638" width="12.44140625" style="8" customWidth="1"/>
    <col min="15639" max="15640" width="10" style="8"/>
    <col min="15641" max="15642" width="9.6640625" style="8" customWidth="1"/>
    <col min="15643" max="15872" width="10" style="8"/>
    <col min="15873" max="15873" width="8.88671875" style="8" customWidth="1"/>
    <col min="15874" max="15875" width="11.77734375" style="8" customWidth="1"/>
    <col min="15876" max="15877" width="8.44140625" style="8" customWidth="1"/>
    <col min="15878" max="15878" width="12.88671875" style="8" customWidth="1"/>
    <col min="15879" max="15879" width="10" style="8"/>
    <col min="15880" max="15880" width="6.44140625" style="8" customWidth="1"/>
    <col min="15881" max="15886" width="10.21875" style="8" customWidth="1"/>
    <col min="15887" max="15891" width="10" style="8"/>
    <col min="15892" max="15892" width="15.77734375" style="8" customWidth="1"/>
    <col min="15893" max="15894" width="12.44140625" style="8" customWidth="1"/>
    <col min="15895" max="15896" width="10" style="8"/>
    <col min="15897" max="15898" width="9.6640625" style="8" customWidth="1"/>
    <col min="15899" max="16128" width="10" style="8"/>
    <col min="16129" max="16129" width="8.88671875" style="8" customWidth="1"/>
    <col min="16130" max="16131" width="11.77734375" style="8" customWidth="1"/>
    <col min="16132" max="16133" width="8.44140625" style="8" customWidth="1"/>
    <col min="16134" max="16134" width="12.88671875" style="8" customWidth="1"/>
    <col min="16135" max="16135" width="10" style="8"/>
    <col min="16136" max="16136" width="6.44140625" style="8" customWidth="1"/>
    <col min="16137" max="16142" width="10.21875" style="8" customWidth="1"/>
    <col min="16143" max="16147" width="10" style="8"/>
    <col min="16148" max="16148" width="15.77734375" style="8" customWidth="1"/>
    <col min="16149" max="16150" width="12.44140625" style="8" customWidth="1"/>
    <col min="16151" max="16152" width="10" style="8"/>
    <col min="16153" max="16154" width="9.6640625" style="8" customWidth="1"/>
    <col min="16155" max="16384" width="10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"/>
      <c r="AI1" s="7"/>
      <c r="AJ1" s="7"/>
      <c r="AK1" s="7">
        <v>0</v>
      </c>
      <c r="AL1" s="7" t="s">
        <v>34</v>
      </c>
      <c r="AM1" s="7"/>
      <c r="AN1" s="7"/>
      <c r="AO1" s="7"/>
      <c r="AP1" s="7"/>
      <c r="AQ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42" customHeight="1" thickBot="1" x14ac:dyDescent="0.35">
      <c r="A2" s="10" t="s">
        <v>23</v>
      </c>
      <c r="B2" s="11" t="s">
        <v>34</v>
      </c>
      <c r="C2" s="7"/>
      <c r="D2" s="7"/>
      <c r="E2" s="12"/>
      <c r="F2" s="81" t="s">
        <v>24</v>
      </c>
      <c r="G2" s="82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2"/>
      <c r="Z2" s="72"/>
      <c r="AA2" s="14"/>
      <c r="AB2" s="14"/>
      <c r="AC2" s="14"/>
      <c r="AD2" s="14"/>
      <c r="AE2" s="14"/>
      <c r="AF2" s="14"/>
      <c r="AG2" s="14"/>
      <c r="AH2" s="14">
        <v>0</v>
      </c>
      <c r="AI2" s="14"/>
      <c r="AJ2" s="14"/>
      <c r="AK2" s="14">
        <v>-1200</v>
      </c>
      <c r="AL2" s="14">
        <v>0</v>
      </c>
      <c r="AM2" s="14"/>
      <c r="AN2" s="14"/>
      <c r="AO2" s="14"/>
      <c r="AP2" s="14"/>
      <c r="AQ2" s="14"/>
      <c r="AR2" s="7"/>
      <c r="AS2" s="7"/>
      <c r="AT2" s="7"/>
      <c r="AU2" s="7"/>
      <c r="AV2" s="7"/>
      <c r="AW2" s="7"/>
      <c r="AX2" s="7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16">
        <v>234.42542852581522</v>
      </c>
      <c r="E3" s="17"/>
      <c r="F3" s="18">
        <v>100000</v>
      </c>
      <c r="G3" s="19" t="s">
        <v>25</v>
      </c>
      <c r="AH3" s="7">
        <v>0.12903225421905518</v>
      </c>
      <c r="AI3" s="7">
        <v>0</v>
      </c>
      <c r="AJ3" s="7"/>
      <c r="AK3" s="7">
        <v>-1200</v>
      </c>
      <c r="AL3" s="7">
        <v>1</v>
      </c>
      <c r="AM3" s="7"/>
      <c r="AN3" s="7"/>
      <c r="AO3" s="7"/>
      <c r="AP3" s="7"/>
      <c r="AQ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16">
        <v>247.33800245611596</v>
      </c>
      <c r="E4" s="17"/>
      <c r="F4" s="20">
        <v>60.999999800696969</v>
      </c>
      <c r="G4" s="21" t="s">
        <v>26</v>
      </c>
      <c r="I4" s="83" t="s">
        <v>27</v>
      </c>
      <c r="J4" s="84"/>
      <c r="K4" s="85"/>
      <c r="L4" s="86" t="s">
        <v>28</v>
      </c>
      <c r="M4" s="86"/>
      <c r="N4" s="87"/>
      <c r="P4" s="73"/>
      <c r="AH4" s="7">
        <v>0.25806450843811035</v>
      </c>
      <c r="AI4" s="7">
        <v>3</v>
      </c>
      <c r="AJ4" s="7"/>
      <c r="AK4" s="7">
        <v>-1175</v>
      </c>
      <c r="AL4" s="7">
        <v>1</v>
      </c>
      <c r="AM4" s="7"/>
      <c r="AN4" s="7"/>
      <c r="AO4" s="7"/>
      <c r="AP4" s="7"/>
      <c r="AQ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16">
        <v>108.41138081183023</v>
      </c>
      <c r="E5" s="22"/>
      <c r="F5" s="23"/>
      <c r="G5" s="22"/>
      <c r="I5" s="24" t="s">
        <v>29</v>
      </c>
      <c r="J5" s="25">
        <v>199.79874613191279</v>
      </c>
      <c r="K5" s="26"/>
      <c r="L5" s="27"/>
      <c r="M5" s="28"/>
      <c r="N5" s="29"/>
      <c r="P5" s="73"/>
      <c r="AH5" s="7">
        <v>0.38709676265716553</v>
      </c>
      <c r="AI5" s="7">
        <v>4</v>
      </c>
      <c r="AJ5" s="7"/>
      <c r="AK5" s="7">
        <v>-1175</v>
      </c>
      <c r="AL5" s="7">
        <v>0</v>
      </c>
      <c r="AM5" s="7"/>
      <c r="AN5" s="7"/>
      <c r="AO5" s="7"/>
      <c r="AP5" s="7"/>
      <c r="AQ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16">
        <v>249.18100834679331</v>
      </c>
      <c r="I6" s="30" t="s">
        <v>30</v>
      </c>
      <c r="J6" s="31">
        <v>43.951147614970651</v>
      </c>
      <c r="K6" s="32"/>
      <c r="L6" s="33"/>
      <c r="M6" s="34"/>
      <c r="N6" s="32"/>
      <c r="AH6" s="7">
        <v>0.5161290168762207</v>
      </c>
      <c r="AI6" s="7">
        <v>8</v>
      </c>
      <c r="AJ6" s="7"/>
      <c r="AK6" s="7">
        <v>-1150</v>
      </c>
      <c r="AL6" s="7">
        <v>0</v>
      </c>
      <c r="AM6" s="7"/>
      <c r="AN6" s="7"/>
      <c r="AO6" s="7"/>
      <c r="AP6" s="7"/>
      <c r="AQ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16">
        <v>209.01585922977287</v>
      </c>
      <c r="F7" s="35"/>
      <c r="I7" s="36" t="s">
        <v>31</v>
      </c>
      <c r="J7" s="37">
        <v>1046.9360842328979</v>
      </c>
      <c r="K7" s="26"/>
      <c r="L7" s="38"/>
      <c r="M7" s="17"/>
      <c r="N7" s="32"/>
      <c r="AH7" s="7">
        <v>0.64516127109527588</v>
      </c>
      <c r="AI7" s="7">
        <v>4</v>
      </c>
      <c r="AJ7" s="7"/>
      <c r="AK7" s="7">
        <v>-1150</v>
      </c>
      <c r="AL7" s="7">
        <v>0</v>
      </c>
      <c r="AM7" s="7"/>
      <c r="AN7" s="7"/>
      <c r="AO7" s="7"/>
      <c r="AP7" s="7"/>
      <c r="AQ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16">
        <v>205.38828367978857</v>
      </c>
      <c r="F8" s="35"/>
      <c r="I8" s="39" t="s">
        <v>32</v>
      </c>
      <c r="J8" s="40">
        <v>-1181.1832127243588</v>
      </c>
      <c r="K8" s="41"/>
      <c r="L8" s="42"/>
      <c r="M8" s="43"/>
      <c r="N8" s="44"/>
      <c r="AH8" s="7">
        <v>0.77419352531433105</v>
      </c>
      <c r="AI8" s="7">
        <v>9</v>
      </c>
      <c r="AJ8" s="7"/>
      <c r="AK8" s="7">
        <v>-1125</v>
      </c>
      <c r="AL8" s="7">
        <v>0</v>
      </c>
      <c r="AM8" s="7"/>
      <c r="AN8" s="7"/>
      <c r="AO8" s="7"/>
      <c r="AP8" s="7"/>
      <c r="AQ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16">
        <v>193.10125238542315</v>
      </c>
      <c r="F9" s="35"/>
      <c r="I9" s="22"/>
      <c r="J9" s="45"/>
      <c r="K9" s="22"/>
      <c r="L9" s="22"/>
      <c r="M9" s="22"/>
      <c r="N9" s="22"/>
      <c r="AH9" s="7">
        <v>0.90322577953338623</v>
      </c>
      <c r="AI9" s="7">
        <v>9</v>
      </c>
      <c r="AJ9" s="7"/>
      <c r="AK9" s="7">
        <v>-1125</v>
      </c>
      <c r="AL9" s="7">
        <v>0</v>
      </c>
      <c r="AM9" s="7"/>
      <c r="AN9" s="7"/>
      <c r="AO9" s="7"/>
      <c r="AP9" s="7"/>
      <c r="AQ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16">
        <v>170.9117168135233</v>
      </c>
      <c r="F10" s="35"/>
      <c r="I10" s="17"/>
      <c r="J10" s="45"/>
      <c r="K10" s="22"/>
      <c r="L10" s="22"/>
      <c r="M10" s="22"/>
      <c r="N10" s="22"/>
      <c r="P10" s="73"/>
      <c r="AH10" s="7">
        <v>1.0322580337524414</v>
      </c>
      <c r="AI10" s="7">
        <v>12</v>
      </c>
      <c r="AJ10" s="7"/>
      <c r="AK10" s="7">
        <v>-1100</v>
      </c>
      <c r="AL10" s="7">
        <v>0</v>
      </c>
      <c r="AM10" s="7"/>
      <c r="AN10" s="7"/>
      <c r="AO10" s="7"/>
      <c r="AP10" s="7"/>
      <c r="AQ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16">
        <v>223.14541115702977</v>
      </c>
      <c r="I11" s="22"/>
      <c r="J11" s="45"/>
      <c r="K11" s="22"/>
      <c r="L11" s="22"/>
      <c r="M11" s="22"/>
      <c r="N11" s="22"/>
      <c r="P11" s="73"/>
      <c r="AH11" s="7">
        <v>1.1612902879714966</v>
      </c>
      <c r="AI11" s="7">
        <v>8</v>
      </c>
      <c r="AJ11" s="7"/>
      <c r="AK11" s="7">
        <v>-1100</v>
      </c>
      <c r="AL11" s="7">
        <v>0</v>
      </c>
      <c r="AM11" s="7"/>
      <c r="AN11" s="7"/>
      <c r="AO11" s="7"/>
      <c r="AP11" s="7"/>
      <c r="AQ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16">
        <v>123.31840616270915</v>
      </c>
      <c r="I12" s="22"/>
      <c r="J12" s="22"/>
      <c r="K12" s="22"/>
      <c r="L12" s="22"/>
      <c r="M12" s="22"/>
      <c r="N12" s="22"/>
      <c r="P12" s="73"/>
      <c r="AH12" s="7">
        <v>1.2903225421905518</v>
      </c>
      <c r="AI12" s="7">
        <v>3</v>
      </c>
      <c r="AJ12" s="7"/>
      <c r="AK12" s="7">
        <v>-1075</v>
      </c>
      <c r="AL12" s="7">
        <v>0</v>
      </c>
      <c r="AM12" s="7"/>
      <c r="AN12" s="7"/>
      <c r="AO12" s="7"/>
      <c r="AP12" s="7"/>
      <c r="AQ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16">
        <v>188.10920525068445</v>
      </c>
      <c r="I13" s="22"/>
      <c r="J13" s="22"/>
      <c r="K13" s="22"/>
      <c r="L13" s="22"/>
      <c r="M13" s="22"/>
      <c r="N13" s="22"/>
      <c r="AH13" s="7">
        <v>1.4193547964096069</v>
      </c>
      <c r="AI13" s="7">
        <v>6</v>
      </c>
      <c r="AJ13" s="7"/>
      <c r="AK13" s="7">
        <v>-1075</v>
      </c>
      <c r="AL13" s="7">
        <v>0</v>
      </c>
      <c r="AM13" s="7"/>
      <c r="AN13" s="7"/>
      <c r="AO13" s="7"/>
      <c r="AP13" s="7"/>
      <c r="AQ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16">
        <v>243.36678479750927</v>
      </c>
      <c r="E14" s="74"/>
      <c r="I14" s="22"/>
      <c r="J14" s="22"/>
      <c r="K14" s="22"/>
      <c r="L14" s="22"/>
      <c r="M14" s="22"/>
      <c r="N14" s="22"/>
      <c r="AH14" s="7">
        <v>1.5483870506286621</v>
      </c>
      <c r="AI14" s="7">
        <v>7</v>
      </c>
      <c r="AJ14" s="7"/>
      <c r="AK14" s="7">
        <v>-1050</v>
      </c>
      <c r="AL14" s="7">
        <v>0</v>
      </c>
      <c r="AM14" s="7"/>
      <c r="AN14" s="7"/>
      <c r="AO14" s="7"/>
      <c r="AP14" s="7"/>
      <c r="AQ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16">
        <v>165.35198806109364</v>
      </c>
      <c r="E15" s="74"/>
      <c r="I15" s="22"/>
      <c r="J15" s="22"/>
      <c r="K15" s="22"/>
      <c r="L15" s="22"/>
      <c r="M15" s="22"/>
      <c r="N15" s="22"/>
      <c r="AH15" s="7">
        <v>1.6774193048477173</v>
      </c>
      <c r="AI15" s="7">
        <v>6</v>
      </c>
      <c r="AJ15" s="7"/>
      <c r="AK15" s="7">
        <v>-1050</v>
      </c>
      <c r="AL15" s="7">
        <v>0</v>
      </c>
      <c r="AM15" s="7"/>
      <c r="AN15" s="7"/>
      <c r="AO15" s="7"/>
      <c r="AP15" s="7"/>
      <c r="AQ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16">
        <v>266.73385546736409</v>
      </c>
      <c r="E16" s="74"/>
      <c r="I16" s="22"/>
      <c r="J16" s="22"/>
      <c r="K16" s="22"/>
      <c r="L16" s="22"/>
      <c r="M16" s="22"/>
      <c r="N16" s="22"/>
      <c r="AH16" s="7">
        <v>1.8064515590667725</v>
      </c>
      <c r="AI16" s="7">
        <v>6</v>
      </c>
      <c r="AJ16" s="7"/>
      <c r="AK16" s="7">
        <v>-1025</v>
      </c>
      <c r="AL16" s="7">
        <v>0</v>
      </c>
      <c r="AM16" s="7"/>
      <c r="AN16" s="7"/>
      <c r="AO16" s="7"/>
      <c r="AP16" s="7"/>
      <c r="AQ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16">
        <v>297.11153621777407</v>
      </c>
      <c r="I17" s="22"/>
      <c r="J17" s="22"/>
      <c r="K17" s="22"/>
      <c r="L17" s="22"/>
      <c r="M17" s="22"/>
      <c r="N17" s="22"/>
      <c r="AH17" s="7">
        <v>1.9354838132858276</v>
      </c>
      <c r="AI17" s="7">
        <v>2</v>
      </c>
      <c r="AJ17" s="7"/>
      <c r="AK17" s="7">
        <v>-1025</v>
      </c>
      <c r="AL17" s="7">
        <v>0</v>
      </c>
      <c r="AM17" s="7"/>
      <c r="AN17" s="7"/>
      <c r="AO17" s="7"/>
      <c r="AP17" s="7"/>
      <c r="AQ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16">
        <v>226.1376204831511</v>
      </c>
      <c r="I18" s="22"/>
      <c r="J18" s="22"/>
      <c r="K18" s="22"/>
      <c r="L18" s="22"/>
      <c r="M18" s="22"/>
      <c r="N18" s="22"/>
      <c r="AH18" s="7">
        <v>2.0645160675048828</v>
      </c>
      <c r="AI18" s="7">
        <v>5</v>
      </c>
      <c r="AJ18" s="7"/>
      <c r="AK18" s="7">
        <v>-1000</v>
      </c>
      <c r="AL18" s="7">
        <v>0</v>
      </c>
      <c r="AM18" s="7"/>
      <c r="AN18" s="7"/>
      <c r="AO18" s="7"/>
      <c r="AP18" s="7"/>
      <c r="AQ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16">
        <v>249.85492614398467</v>
      </c>
      <c r="I19" s="22"/>
      <c r="J19" s="22"/>
      <c r="K19" s="22"/>
      <c r="L19" s="22"/>
      <c r="M19" s="22"/>
      <c r="N19" s="22"/>
      <c r="AH19" s="7">
        <v>2.193548321723938</v>
      </c>
      <c r="AI19" s="7">
        <v>2</v>
      </c>
      <c r="AJ19" s="7"/>
      <c r="AK19" s="7">
        <v>-1000</v>
      </c>
      <c r="AL19" s="7">
        <v>0</v>
      </c>
      <c r="AM19" s="7"/>
      <c r="AN19" s="7"/>
      <c r="AO19" s="7"/>
      <c r="AP19" s="7"/>
      <c r="AQ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16">
        <v>160.84681817924286</v>
      </c>
      <c r="I20" s="22"/>
      <c r="J20" s="22"/>
      <c r="K20" s="22"/>
      <c r="L20" s="22"/>
      <c r="M20" s="22"/>
      <c r="N20" s="22"/>
      <c r="AH20" s="7">
        <v>2.3225805759429932</v>
      </c>
      <c r="AI20" s="7">
        <v>3</v>
      </c>
      <c r="AJ20" s="7"/>
      <c r="AK20" s="7">
        <v>-975</v>
      </c>
      <c r="AL20" s="7">
        <v>0</v>
      </c>
      <c r="AM20" s="7"/>
      <c r="AN20" s="7"/>
      <c r="AO20" s="7"/>
      <c r="AP20" s="7"/>
      <c r="AQ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16">
        <v>221.94912091488186</v>
      </c>
      <c r="I21" s="22"/>
      <c r="J21" s="22"/>
      <c r="K21" s="22"/>
      <c r="L21" s="22"/>
      <c r="M21" s="22"/>
      <c r="N21" s="22"/>
      <c r="AH21" s="7">
        <v>2.4516128301620483</v>
      </c>
      <c r="AI21" s="7">
        <v>2</v>
      </c>
      <c r="AJ21" s="7"/>
      <c r="AK21" s="7">
        <v>-975</v>
      </c>
      <c r="AL21" s="7">
        <v>0</v>
      </c>
      <c r="AM21" s="7"/>
      <c r="AN21" s="7"/>
      <c r="AO21" s="7"/>
      <c r="AP21" s="7"/>
      <c r="AQ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16">
        <v>82.730945535766608</v>
      </c>
      <c r="I22" s="22"/>
      <c r="J22" s="22"/>
      <c r="K22" s="22"/>
      <c r="L22" s="22"/>
      <c r="M22" s="22"/>
      <c r="N22" s="22"/>
      <c r="AH22" s="7">
        <v>2.5806450843811035</v>
      </c>
      <c r="AI22" s="7">
        <v>1</v>
      </c>
      <c r="AJ22" s="7"/>
      <c r="AK22" s="7">
        <v>-950</v>
      </c>
      <c r="AL22" s="7">
        <v>0</v>
      </c>
      <c r="AM22" s="7"/>
      <c r="AN22" s="7"/>
      <c r="AO22" s="7"/>
      <c r="AP22" s="7"/>
      <c r="AQ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16">
        <v>230.04831397015798</v>
      </c>
      <c r="AH23" s="7">
        <v>2.7096773386001587</v>
      </c>
      <c r="AI23" s="7">
        <v>0</v>
      </c>
      <c r="AJ23" s="7"/>
      <c r="AK23" s="7">
        <v>-950</v>
      </c>
      <c r="AL23" s="7">
        <v>0</v>
      </c>
      <c r="AM23" s="7"/>
      <c r="AN23" s="7"/>
      <c r="AO23" s="7"/>
      <c r="AP23" s="7"/>
      <c r="AQ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16">
        <v>251.66571649768176</v>
      </c>
      <c r="AH24" s="7">
        <v>2.8387095928192139</v>
      </c>
      <c r="AI24" s="7">
        <v>0</v>
      </c>
      <c r="AJ24" s="7"/>
      <c r="AK24" s="7">
        <v>-925</v>
      </c>
      <c r="AL24" s="7">
        <v>0</v>
      </c>
      <c r="AM24" s="7"/>
      <c r="AN24" s="7"/>
      <c r="AO24" s="7"/>
      <c r="AP24" s="7"/>
      <c r="AQ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16">
        <v>169.19614330380648</v>
      </c>
      <c r="AH25" s="7">
        <v>2.967741847038269</v>
      </c>
      <c r="AI25" s="7">
        <v>0</v>
      </c>
      <c r="AJ25" s="7"/>
      <c r="AK25" s="7">
        <v>-925</v>
      </c>
      <c r="AL25" s="7">
        <v>0</v>
      </c>
      <c r="AM25" s="7"/>
      <c r="AN25" s="7"/>
      <c r="AO25" s="7"/>
      <c r="AP25" s="7"/>
      <c r="AQ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16">
        <v>200.88516257290533</v>
      </c>
      <c r="AH26" s="7">
        <v>3.0967741012573242</v>
      </c>
      <c r="AI26" s="7">
        <v>0</v>
      </c>
      <c r="AJ26" s="7"/>
      <c r="AK26" s="7">
        <v>-900</v>
      </c>
      <c r="AL26" s="7">
        <v>0</v>
      </c>
      <c r="AM26" s="7"/>
      <c r="AN26" s="7"/>
      <c r="AO26" s="7"/>
      <c r="AP26" s="7"/>
      <c r="AQ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16">
        <v>196.09703287579015</v>
      </c>
      <c r="AH27" s="7">
        <v>3.2258063554763794</v>
      </c>
      <c r="AI27" s="7">
        <v>0</v>
      </c>
      <c r="AJ27" s="7"/>
      <c r="AK27" s="7">
        <v>-900</v>
      </c>
      <c r="AL27" s="7">
        <v>0</v>
      </c>
      <c r="AM27" s="7"/>
      <c r="AN27" s="7"/>
      <c r="AO27" s="7"/>
      <c r="AP27" s="7"/>
      <c r="AQ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16">
        <v>246.47423449367781</v>
      </c>
      <c r="AH28" s="7">
        <v>3.3548386096954346</v>
      </c>
      <c r="AI28" s="7">
        <v>0</v>
      </c>
      <c r="AJ28" s="7"/>
      <c r="AK28" s="7">
        <v>-875</v>
      </c>
      <c r="AL28" s="7">
        <v>0</v>
      </c>
      <c r="AM28" s="7"/>
      <c r="AN28" s="7"/>
      <c r="AO28" s="7"/>
      <c r="AP28" s="7"/>
      <c r="AQ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16">
        <v>192.63603608170402</v>
      </c>
      <c r="AH29" s="7">
        <v>3.4838708639144897</v>
      </c>
      <c r="AI29" s="7">
        <v>0</v>
      </c>
      <c r="AJ29" s="7"/>
      <c r="AK29" s="7">
        <v>-875</v>
      </c>
      <c r="AL29" s="7">
        <v>0</v>
      </c>
      <c r="AM29" s="7"/>
      <c r="AN29" s="7"/>
      <c r="AO29" s="7"/>
      <c r="AP29" s="7"/>
      <c r="AQ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16">
        <v>164.77507637954054</v>
      </c>
      <c r="AH30" s="7">
        <v>3.6129031181335449</v>
      </c>
      <c r="AI30" s="7">
        <v>0</v>
      </c>
      <c r="AJ30" s="7"/>
      <c r="AK30" s="7">
        <v>-850</v>
      </c>
      <c r="AL30" s="7">
        <v>0</v>
      </c>
      <c r="AM30" s="7"/>
      <c r="AN30" s="7"/>
      <c r="AO30" s="7"/>
      <c r="AP30" s="7"/>
      <c r="AQ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16">
        <v>181.42271661640723</v>
      </c>
      <c r="AH31" s="7">
        <v>3.7419353723526001</v>
      </c>
      <c r="AI31" s="7">
        <v>0</v>
      </c>
      <c r="AJ31" s="7"/>
      <c r="AK31" s="7">
        <v>-850</v>
      </c>
      <c r="AL31" s="7">
        <v>0</v>
      </c>
      <c r="AM31" s="7"/>
      <c r="AN31" s="7"/>
      <c r="AO31" s="7"/>
      <c r="AP31" s="7"/>
      <c r="AQ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16">
        <v>174.56801578452709</v>
      </c>
      <c r="AH32" s="7">
        <v>3.8709676265716553</v>
      </c>
      <c r="AI32" s="7">
        <v>0</v>
      </c>
      <c r="AJ32" s="7"/>
      <c r="AK32" s="7">
        <v>-825</v>
      </c>
      <c r="AL32" s="7">
        <v>0</v>
      </c>
      <c r="AM32" s="7"/>
      <c r="AN32" s="7"/>
      <c r="AO32" s="7"/>
      <c r="AP32" s="7"/>
      <c r="AQ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16">
        <v>144.14503974284639</v>
      </c>
      <c r="AH33" s="7">
        <v>3.9999998807907104</v>
      </c>
      <c r="AI33" s="7">
        <v>0</v>
      </c>
      <c r="AJ33" s="7"/>
      <c r="AK33" s="7">
        <v>-825</v>
      </c>
      <c r="AL33" s="7">
        <v>0</v>
      </c>
      <c r="AM33" s="7"/>
      <c r="AN33" s="7"/>
      <c r="AO33" s="7"/>
      <c r="AP33" s="7"/>
      <c r="AQ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16">
        <v>156.04367480721248</v>
      </c>
      <c r="AH34" s="7"/>
      <c r="AI34" s="7"/>
      <c r="AJ34" s="7"/>
      <c r="AK34" s="7">
        <v>-800</v>
      </c>
      <c r="AL34" s="7">
        <v>0</v>
      </c>
      <c r="AM34" s="7"/>
      <c r="AN34" s="7"/>
      <c r="AO34" s="7"/>
      <c r="AP34" s="7"/>
      <c r="AQ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16">
        <v>172.93491615573194</v>
      </c>
      <c r="AH35" s="7"/>
      <c r="AI35" s="7"/>
      <c r="AJ35" s="7"/>
      <c r="AK35" s="7">
        <v>-800</v>
      </c>
      <c r="AL35" s="7">
        <v>0</v>
      </c>
      <c r="AM35" s="7"/>
      <c r="AN35" s="7"/>
      <c r="AO35" s="7"/>
      <c r="AP35" s="7"/>
      <c r="AQ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16">
        <v>136.66293439660427</v>
      </c>
      <c r="AH36" s="7"/>
      <c r="AI36" s="7"/>
      <c r="AJ36" s="7"/>
      <c r="AK36" s="7">
        <v>-775</v>
      </c>
      <c r="AL36" s="7">
        <v>0</v>
      </c>
      <c r="AM36" s="7"/>
      <c r="AN36" s="7"/>
      <c r="AO36" s="7"/>
      <c r="AP36" s="7"/>
      <c r="AQ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16">
        <v>216.11089414905931</v>
      </c>
      <c r="AH37" s="7"/>
      <c r="AI37" s="7"/>
      <c r="AJ37" s="7"/>
      <c r="AK37" s="7">
        <v>-775</v>
      </c>
      <c r="AL37" s="7">
        <v>0</v>
      </c>
      <c r="AM37" s="7"/>
      <c r="AN37" s="7"/>
      <c r="AO37" s="7"/>
      <c r="AP37" s="7"/>
      <c r="AQ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16">
        <v>214.98700257848546</v>
      </c>
      <c r="AH38" s="7"/>
      <c r="AI38" s="7"/>
      <c r="AJ38" s="7"/>
      <c r="AK38" s="7">
        <v>-750</v>
      </c>
      <c r="AL38" s="7">
        <v>0</v>
      </c>
      <c r="AM38" s="7"/>
      <c r="AN38" s="7"/>
      <c r="AO38" s="7"/>
      <c r="AP38" s="7"/>
      <c r="AQ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16">
        <v>169.66445561960614</v>
      </c>
      <c r="AH39" s="7"/>
      <c r="AI39" s="7"/>
      <c r="AJ39" s="7"/>
      <c r="AK39" s="7">
        <v>-750</v>
      </c>
      <c r="AL39" s="7">
        <v>0</v>
      </c>
      <c r="AM39" s="7"/>
      <c r="AN39" s="7"/>
      <c r="AO39" s="7"/>
      <c r="AP39" s="7"/>
      <c r="AQ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16">
        <v>18.124575105668814</v>
      </c>
      <c r="AH40" s="7"/>
      <c r="AI40" s="7"/>
      <c r="AJ40" s="7"/>
      <c r="AK40" s="7">
        <v>-725</v>
      </c>
      <c r="AL40" s="7">
        <v>0</v>
      </c>
      <c r="AM40" s="7"/>
      <c r="AN40" s="7"/>
      <c r="AO40" s="7"/>
      <c r="AP40" s="7"/>
      <c r="AQ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16">
        <v>246.02914188433917</v>
      </c>
      <c r="AH41" s="7"/>
      <c r="AI41" s="7"/>
      <c r="AJ41" s="7"/>
      <c r="AK41" s="7">
        <v>-725</v>
      </c>
      <c r="AL41" s="7">
        <v>0</v>
      </c>
      <c r="AM41" s="7"/>
      <c r="AN41" s="7"/>
      <c r="AO41" s="7"/>
      <c r="AP41" s="7"/>
      <c r="AQ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16">
        <v>161.5124867645732</v>
      </c>
      <c r="AH42" s="7"/>
      <c r="AI42" s="7"/>
      <c r="AJ42" s="7"/>
      <c r="AK42" s="7">
        <v>-700</v>
      </c>
      <c r="AL42" s="7">
        <v>0</v>
      </c>
      <c r="AM42" s="7"/>
      <c r="AN42" s="7"/>
      <c r="AO42" s="7"/>
      <c r="AP42" s="7"/>
      <c r="AQ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16">
        <v>282.95231024308424</v>
      </c>
      <c r="AH43" s="7"/>
      <c r="AI43" s="7"/>
      <c r="AJ43" s="7"/>
      <c r="AK43" s="7">
        <v>-700</v>
      </c>
      <c r="AL43" s="7">
        <v>0</v>
      </c>
      <c r="AM43" s="7"/>
      <c r="AN43" s="7"/>
      <c r="AO43" s="7"/>
      <c r="AP43" s="7"/>
      <c r="AQ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16">
        <v>197.53730317346813</v>
      </c>
      <c r="AH44" s="7"/>
      <c r="AI44" s="7"/>
      <c r="AJ44" s="7"/>
      <c r="AK44" s="7">
        <v>-675</v>
      </c>
      <c r="AL44" s="7">
        <v>0</v>
      </c>
      <c r="AM44" s="7"/>
      <c r="AN44" s="7"/>
      <c r="AO44" s="7"/>
      <c r="AP44" s="7"/>
      <c r="AQ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16">
        <v>191.416340840873</v>
      </c>
      <c r="AH45" s="7"/>
      <c r="AI45" s="7"/>
      <c r="AJ45" s="7"/>
      <c r="AK45" s="7">
        <v>-675</v>
      </c>
      <c r="AL45" s="7">
        <v>0</v>
      </c>
      <c r="AM45" s="7"/>
      <c r="AN45" s="7"/>
      <c r="AO45" s="7"/>
      <c r="AP45" s="7"/>
      <c r="AQ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16">
        <v>242.79200457972004</v>
      </c>
      <c r="AH46" s="7"/>
      <c r="AI46" s="7"/>
      <c r="AJ46" s="7"/>
      <c r="AK46" s="7">
        <v>-650</v>
      </c>
      <c r="AL46" s="7">
        <v>0</v>
      </c>
      <c r="AM46" s="7"/>
      <c r="AN46" s="7"/>
      <c r="AO46" s="7"/>
      <c r="AP46" s="7"/>
      <c r="AQ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16">
        <v>160.70487082707399</v>
      </c>
      <c r="AH47" s="7"/>
      <c r="AI47" s="7"/>
      <c r="AJ47" s="7"/>
      <c r="AK47" s="7">
        <v>-650</v>
      </c>
      <c r="AL47" s="7">
        <v>0</v>
      </c>
      <c r="AM47" s="7"/>
      <c r="AN47" s="7"/>
      <c r="AO47" s="7"/>
      <c r="AP47" s="7"/>
      <c r="AQ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16">
        <v>128.1990915228958</v>
      </c>
      <c r="AH48" s="7"/>
      <c r="AI48" s="7"/>
      <c r="AJ48" s="7"/>
      <c r="AK48" s="7">
        <v>-625</v>
      </c>
      <c r="AL48" s="7">
        <v>0</v>
      </c>
      <c r="AM48" s="7"/>
      <c r="AN48" s="7"/>
      <c r="AO48" s="7"/>
      <c r="AP48" s="7"/>
      <c r="AQ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16">
        <v>135.8452076299744</v>
      </c>
      <c r="AH49" s="7"/>
      <c r="AI49" s="7"/>
      <c r="AJ49" s="7"/>
      <c r="AK49" s="7">
        <v>-625</v>
      </c>
      <c r="AL49" s="7">
        <v>0</v>
      </c>
      <c r="AM49" s="7"/>
      <c r="AN49" s="7"/>
      <c r="AO49" s="7"/>
      <c r="AP49" s="7"/>
      <c r="AQ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16">
        <v>207.70207657628762</v>
      </c>
      <c r="AH50" s="7"/>
      <c r="AI50" s="7"/>
      <c r="AJ50" s="7"/>
      <c r="AK50" s="7">
        <v>-600</v>
      </c>
      <c r="AL50" s="7">
        <v>0</v>
      </c>
      <c r="AM50" s="7"/>
      <c r="AN50" s="7"/>
      <c r="AO50" s="7"/>
      <c r="AP50" s="7"/>
      <c r="AQ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16">
        <v>200.90324349973812</v>
      </c>
      <c r="AH51" s="7"/>
      <c r="AI51" s="7"/>
      <c r="AJ51" s="7"/>
      <c r="AK51" s="7">
        <v>-600</v>
      </c>
      <c r="AL51" s="7">
        <v>0</v>
      </c>
      <c r="AM51" s="7"/>
      <c r="AN51" s="7"/>
      <c r="AO51" s="7"/>
      <c r="AP51" s="7"/>
      <c r="AQ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16">
        <v>216.29952017092145</v>
      </c>
      <c r="AH52" s="7"/>
      <c r="AI52" s="7"/>
      <c r="AJ52" s="7"/>
      <c r="AK52" s="7">
        <v>-575</v>
      </c>
      <c r="AL52" s="7">
        <v>0</v>
      </c>
      <c r="AM52" s="7"/>
      <c r="AN52" s="7"/>
      <c r="AO52" s="7"/>
      <c r="AP52" s="7"/>
      <c r="AQ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16">
        <v>175.69803091257288</v>
      </c>
      <c r="AH53" s="7"/>
      <c r="AI53" s="7"/>
      <c r="AJ53" s="7"/>
      <c r="AK53" s="7">
        <v>-575</v>
      </c>
      <c r="AL53" s="7">
        <v>0</v>
      </c>
      <c r="AM53" s="7"/>
      <c r="AN53" s="7"/>
      <c r="AO53" s="7"/>
      <c r="AP53" s="7"/>
      <c r="AQ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16">
        <v>179.77509579304876</v>
      </c>
      <c r="AH54" s="7"/>
      <c r="AI54" s="7"/>
      <c r="AJ54" s="7"/>
      <c r="AK54" s="7">
        <v>-550</v>
      </c>
      <c r="AL54" s="7">
        <v>0</v>
      </c>
      <c r="AM54" s="7"/>
      <c r="AN54" s="7"/>
      <c r="AO54" s="7"/>
      <c r="AP54" s="7"/>
      <c r="AQ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16">
        <v>246.37494557077773</v>
      </c>
      <c r="AH55" s="7"/>
      <c r="AI55" s="7"/>
      <c r="AJ55" s="7"/>
      <c r="AK55" s="7">
        <v>-550</v>
      </c>
      <c r="AL55" s="7">
        <v>0</v>
      </c>
      <c r="AM55" s="7"/>
      <c r="AN55" s="7"/>
      <c r="AO55" s="7"/>
      <c r="AP55" s="7"/>
      <c r="AQ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16">
        <v>208.08229824841004</v>
      </c>
      <c r="AH56" s="7"/>
      <c r="AI56" s="7"/>
      <c r="AJ56" s="7"/>
      <c r="AK56" s="7">
        <v>-525</v>
      </c>
      <c r="AL56" s="7">
        <v>0</v>
      </c>
      <c r="AM56" s="7"/>
      <c r="AN56" s="7"/>
      <c r="AO56" s="7"/>
      <c r="AP56" s="7"/>
      <c r="AQ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16">
        <v>253.42704177852539</v>
      </c>
      <c r="AH57" s="7"/>
      <c r="AI57" s="7"/>
      <c r="AJ57" s="7"/>
      <c r="AK57" s="7">
        <v>-525</v>
      </c>
      <c r="AL57" s="7">
        <v>0</v>
      </c>
      <c r="AM57" s="7"/>
      <c r="AN57" s="7"/>
      <c r="AO57" s="7"/>
      <c r="AP57" s="7"/>
      <c r="AQ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16">
        <v>167.85623684245175</v>
      </c>
      <c r="AH58" s="7"/>
      <c r="AI58" s="7"/>
      <c r="AJ58" s="7"/>
      <c r="AK58" s="7">
        <v>-500</v>
      </c>
      <c r="AL58" s="7">
        <v>0</v>
      </c>
      <c r="AM58" s="7"/>
      <c r="AN58" s="7"/>
      <c r="AO58" s="7"/>
      <c r="AP58" s="7"/>
      <c r="AQ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16">
        <v>228.59521972671808</v>
      </c>
      <c r="AH59" s="7"/>
      <c r="AI59" s="7"/>
      <c r="AJ59" s="7"/>
      <c r="AK59" s="7">
        <v>-500</v>
      </c>
      <c r="AL59" s="7">
        <v>0</v>
      </c>
      <c r="AM59" s="7"/>
      <c r="AN59" s="7"/>
      <c r="AO59" s="7"/>
      <c r="AP59" s="7"/>
      <c r="AQ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16">
        <v>154.62920876341971</v>
      </c>
      <c r="AH60" s="7"/>
      <c r="AI60" s="7"/>
      <c r="AJ60" s="7"/>
      <c r="AK60" s="7">
        <v>-475</v>
      </c>
      <c r="AL60" s="7">
        <v>0</v>
      </c>
      <c r="AM60" s="7"/>
      <c r="AN60" s="7"/>
      <c r="AO60" s="7"/>
      <c r="AP60" s="7"/>
      <c r="AQ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16">
        <v>205.12744239094908</v>
      </c>
      <c r="AH61" s="7"/>
      <c r="AI61" s="7"/>
      <c r="AJ61" s="7"/>
      <c r="AK61" s="7">
        <v>-475</v>
      </c>
      <c r="AL61" s="7">
        <v>1</v>
      </c>
      <c r="AM61" s="7"/>
      <c r="AN61" s="7"/>
      <c r="AO61" s="7"/>
      <c r="AP61" s="7"/>
      <c r="AQ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16">
        <v>150.78391282927731</v>
      </c>
      <c r="AH62" s="7"/>
      <c r="AI62" s="7"/>
      <c r="AJ62" s="7"/>
      <c r="AK62" s="7">
        <v>-450</v>
      </c>
      <c r="AL62" s="7">
        <v>1</v>
      </c>
      <c r="AM62" s="7"/>
      <c r="AN62" s="7"/>
      <c r="AO62" s="7"/>
      <c r="AP62" s="7"/>
      <c r="AQ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16">
        <v>248.15950816859242</v>
      </c>
      <c r="AH63" s="7"/>
      <c r="AI63" s="7"/>
      <c r="AJ63" s="7"/>
      <c r="AK63" s="7">
        <v>-450</v>
      </c>
      <c r="AL63" s="7">
        <v>0</v>
      </c>
      <c r="AM63" s="7"/>
      <c r="AN63" s="7"/>
      <c r="AO63" s="7"/>
      <c r="AP63" s="7"/>
      <c r="AQ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16">
        <v>187.7364151381968</v>
      </c>
      <c r="AH64" s="7"/>
      <c r="AI64" s="7"/>
      <c r="AJ64" s="7"/>
      <c r="AK64" s="7">
        <v>-425</v>
      </c>
      <c r="AL64" s="7">
        <v>0</v>
      </c>
      <c r="AM64" s="7"/>
      <c r="AN64" s="7"/>
      <c r="AO64" s="7"/>
      <c r="AP64" s="7"/>
      <c r="AQ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16">
        <v>219.72461440873067</v>
      </c>
      <c r="AH65" s="7"/>
      <c r="AI65" s="7"/>
      <c r="AJ65" s="7"/>
      <c r="AK65" s="7">
        <v>-425</v>
      </c>
      <c r="AL65" s="7">
        <v>0</v>
      </c>
      <c r="AM65" s="7"/>
      <c r="AN65" s="7"/>
      <c r="AO65" s="7"/>
      <c r="AP65" s="7"/>
      <c r="AQ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16">
        <v>190.24827595396829</v>
      </c>
      <c r="AH66" s="7"/>
      <c r="AI66" s="7"/>
      <c r="AJ66" s="7"/>
      <c r="AK66" s="7">
        <v>-400</v>
      </c>
      <c r="AL66" s="7">
        <v>0</v>
      </c>
      <c r="AM66" s="7"/>
      <c r="AN66" s="7"/>
      <c r="AO66" s="7"/>
      <c r="AP66" s="7"/>
      <c r="AQ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16">
        <v>204.3223793606559</v>
      </c>
      <c r="AH67" s="7"/>
      <c r="AI67" s="7"/>
      <c r="AJ67" s="7"/>
      <c r="AK67" s="7">
        <v>-400</v>
      </c>
      <c r="AL67" s="7">
        <v>0</v>
      </c>
      <c r="AM67" s="7"/>
      <c r="AN67" s="7"/>
      <c r="AO67" s="7"/>
      <c r="AP67" s="7"/>
      <c r="AQ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16">
        <v>201.68058689108398</v>
      </c>
      <c r="AH68" s="7"/>
      <c r="AI68" s="7"/>
      <c r="AJ68" s="7"/>
      <c r="AK68" s="7">
        <v>-375</v>
      </c>
      <c r="AL68" s="7">
        <v>0</v>
      </c>
      <c r="AM68" s="7"/>
      <c r="AN68" s="7"/>
      <c r="AO68" s="7"/>
      <c r="AP68" s="7"/>
      <c r="AQ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16">
        <v>154.35439110941363</v>
      </c>
      <c r="AH69" s="7"/>
      <c r="AI69" s="7"/>
      <c r="AJ69" s="7"/>
      <c r="AK69" s="7">
        <v>-375</v>
      </c>
      <c r="AL69" s="7">
        <v>0</v>
      </c>
      <c r="AM69" s="7"/>
      <c r="AN69" s="7"/>
      <c r="AO69" s="7"/>
      <c r="AP69" s="7"/>
      <c r="AQ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16">
        <v>236.60923980458634</v>
      </c>
      <c r="AH70" s="7"/>
      <c r="AI70" s="7"/>
      <c r="AJ70" s="7"/>
      <c r="AK70" s="7">
        <v>-350</v>
      </c>
      <c r="AL70" s="7">
        <v>0</v>
      </c>
      <c r="AM70" s="7"/>
      <c r="AN70" s="7"/>
      <c r="AO70" s="7"/>
      <c r="AP70" s="7"/>
      <c r="AQ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16">
        <v>179.89650622952027</v>
      </c>
      <c r="AH71" s="7"/>
      <c r="AI71" s="7"/>
      <c r="AJ71" s="7"/>
      <c r="AK71" s="7">
        <v>-350</v>
      </c>
      <c r="AL71" s="7">
        <v>0</v>
      </c>
      <c r="AM71" s="7"/>
      <c r="AN71" s="7"/>
      <c r="AO71" s="7"/>
      <c r="AP71" s="7"/>
      <c r="AQ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16">
        <v>242.36218476489157</v>
      </c>
      <c r="AH72" s="7"/>
      <c r="AI72" s="7"/>
      <c r="AJ72" s="7"/>
      <c r="AK72" s="7">
        <v>-325</v>
      </c>
      <c r="AL72" s="7">
        <v>0</v>
      </c>
      <c r="AM72" s="7"/>
      <c r="AN72" s="7"/>
      <c r="AO72" s="7"/>
      <c r="AP72" s="7"/>
      <c r="AQ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16">
        <v>172.08465798754636</v>
      </c>
      <c r="AH73" s="7"/>
      <c r="AI73" s="7"/>
      <c r="AJ73" s="7"/>
      <c r="AK73" s="7">
        <v>-325</v>
      </c>
      <c r="AL73" s="7">
        <v>2</v>
      </c>
      <c r="AM73" s="7"/>
      <c r="AN73" s="7"/>
      <c r="AO73" s="7"/>
      <c r="AP73" s="7"/>
      <c r="AQ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16">
        <v>185.30762181742068</v>
      </c>
      <c r="AH74" s="7"/>
      <c r="AI74" s="7"/>
      <c r="AJ74" s="7"/>
      <c r="AK74" s="7">
        <v>-300</v>
      </c>
      <c r="AL74" s="7">
        <v>2</v>
      </c>
      <c r="AM74" s="7"/>
      <c r="AN74" s="7"/>
      <c r="AO74" s="7"/>
      <c r="AP74" s="7"/>
      <c r="AQ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16">
        <v>213.70759627408353</v>
      </c>
      <c r="AH75" s="7"/>
      <c r="AI75" s="7"/>
      <c r="AJ75" s="7"/>
      <c r="AK75" s="7">
        <v>-300</v>
      </c>
      <c r="AL75" s="7">
        <v>1</v>
      </c>
      <c r="AM75" s="7"/>
      <c r="AN75" s="7"/>
      <c r="AO75" s="7"/>
      <c r="AP75" s="7"/>
      <c r="AQ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16">
        <v>170.33125285398091</v>
      </c>
      <c r="AH76" s="7"/>
      <c r="AI76" s="7"/>
      <c r="AJ76" s="7"/>
      <c r="AK76" s="7">
        <v>-275</v>
      </c>
      <c r="AL76" s="7">
        <v>1</v>
      </c>
      <c r="AM76" s="7"/>
      <c r="AN76" s="7"/>
      <c r="AO76" s="7"/>
      <c r="AP76" s="7"/>
      <c r="AQ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16">
        <v>216.79633391643685</v>
      </c>
      <c r="AH77" s="7"/>
      <c r="AI77" s="7"/>
      <c r="AJ77" s="7"/>
      <c r="AK77" s="7">
        <v>-275</v>
      </c>
      <c r="AL77" s="7">
        <v>1</v>
      </c>
      <c r="AM77" s="7"/>
      <c r="AN77" s="7"/>
      <c r="AO77" s="7"/>
      <c r="AP77" s="7"/>
      <c r="AQ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16">
        <v>174.13192782645464</v>
      </c>
      <c r="AH78" s="7"/>
      <c r="AI78" s="7"/>
      <c r="AJ78" s="7"/>
      <c r="AK78" s="7">
        <v>-250</v>
      </c>
      <c r="AL78" s="7">
        <v>1</v>
      </c>
      <c r="AM78" s="7"/>
      <c r="AN78" s="7"/>
      <c r="AO78" s="7"/>
      <c r="AP78" s="7"/>
      <c r="AQ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16">
        <v>209.38534074409174</v>
      </c>
      <c r="AH79" s="7"/>
      <c r="AI79" s="7"/>
      <c r="AJ79" s="7"/>
      <c r="AK79" s="7">
        <v>-250</v>
      </c>
      <c r="AL79" s="7">
        <v>0</v>
      </c>
      <c r="AM79" s="7"/>
      <c r="AN79" s="7"/>
      <c r="AO79" s="7"/>
      <c r="AP79" s="7"/>
      <c r="AQ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16">
        <v>180.26563000739006</v>
      </c>
      <c r="AH80" s="7"/>
      <c r="AI80" s="7"/>
      <c r="AJ80" s="7"/>
      <c r="AK80" s="7">
        <v>-225</v>
      </c>
      <c r="AL80" s="7">
        <v>0</v>
      </c>
      <c r="AM80" s="7"/>
      <c r="AN80" s="7"/>
      <c r="AO80" s="7"/>
      <c r="AP80" s="7"/>
      <c r="AQ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16">
        <v>225.71283320609314</v>
      </c>
      <c r="AH81" s="7"/>
      <c r="AI81" s="7"/>
      <c r="AJ81" s="7"/>
      <c r="AK81" s="7">
        <v>-225</v>
      </c>
      <c r="AL81" s="7">
        <v>0</v>
      </c>
      <c r="AM81" s="7"/>
      <c r="AN81" s="7"/>
      <c r="AO81" s="7"/>
      <c r="AP81" s="7"/>
      <c r="AQ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16">
        <v>196.03772026152515</v>
      </c>
      <c r="AH82" s="7"/>
      <c r="AI82" s="7"/>
      <c r="AJ82" s="7"/>
      <c r="AK82" s="7">
        <v>-200</v>
      </c>
      <c r="AL82" s="7">
        <v>0</v>
      </c>
      <c r="AM82" s="7"/>
      <c r="AN82" s="7"/>
      <c r="AO82" s="7"/>
      <c r="AP82" s="7"/>
      <c r="AQ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16">
        <v>164.06287842442987</v>
      </c>
      <c r="AH83" s="7"/>
      <c r="AI83" s="7"/>
      <c r="AJ83" s="7"/>
      <c r="AK83" s="7">
        <v>-200</v>
      </c>
      <c r="AL83" s="7">
        <v>2</v>
      </c>
      <c r="AM83" s="7"/>
      <c r="AN83" s="7"/>
      <c r="AO83" s="7"/>
      <c r="AP83" s="7"/>
      <c r="AQ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16">
        <v>251.60776782503092</v>
      </c>
      <c r="AH84" s="7"/>
      <c r="AI84" s="7"/>
      <c r="AJ84" s="7"/>
      <c r="AK84" s="7">
        <v>-175</v>
      </c>
      <c r="AL84" s="7">
        <v>2</v>
      </c>
      <c r="AM84" s="7"/>
      <c r="AN84" s="7"/>
      <c r="AO84" s="7"/>
      <c r="AP84" s="7"/>
      <c r="AQ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16">
        <v>172.4251613606402</v>
      </c>
      <c r="AH85" s="7"/>
      <c r="AI85" s="7"/>
      <c r="AJ85" s="7"/>
      <c r="AK85" s="7">
        <v>-175</v>
      </c>
      <c r="AL85" s="7">
        <v>2</v>
      </c>
      <c r="AM85" s="7"/>
      <c r="AN85" s="7"/>
      <c r="AO85" s="7"/>
      <c r="AP85" s="7"/>
      <c r="AQ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16">
        <v>290.06600478926305</v>
      </c>
      <c r="AH86" s="7"/>
      <c r="AI86" s="7"/>
      <c r="AJ86" s="7"/>
      <c r="AK86" s="7">
        <v>-150</v>
      </c>
      <c r="AL86" s="7">
        <v>2</v>
      </c>
      <c r="AM86" s="7"/>
      <c r="AN86" s="7"/>
      <c r="AO86" s="7"/>
      <c r="AP86" s="7"/>
      <c r="AQ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16">
        <v>183.81451635976873</v>
      </c>
      <c r="AH87" s="7"/>
      <c r="AI87" s="7"/>
      <c r="AJ87" s="7"/>
      <c r="AK87" s="7">
        <v>-150</v>
      </c>
      <c r="AL87" s="7">
        <v>4</v>
      </c>
      <c r="AM87" s="7"/>
      <c r="AN87" s="7"/>
      <c r="AO87" s="7"/>
      <c r="AP87" s="7"/>
      <c r="AQ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16">
        <v>204.50606151833657</v>
      </c>
      <c r="AH88" s="7"/>
      <c r="AI88" s="7"/>
      <c r="AJ88" s="7"/>
      <c r="AK88" s="7">
        <v>-125</v>
      </c>
      <c r="AL88" s="7">
        <v>4</v>
      </c>
      <c r="AM88" s="7"/>
      <c r="AN88" s="7"/>
      <c r="AO88" s="7"/>
      <c r="AP88" s="7"/>
      <c r="AQ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16">
        <v>212.94976445972142</v>
      </c>
      <c r="AH89" s="7"/>
      <c r="AI89" s="7"/>
      <c r="AJ89" s="7"/>
      <c r="AK89" s="7">
        <v>-125</v>
      </c>
      <c r="AL89" s="7">
        <v>7</v>
      </c>
      <c r="AM89" s="7"/>
      <c r="AN89" s="7"/>
      <c r="AO89" s="7"/>
      <c r="AP89" s="7"/>
      <c r="AQ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16">
        <v>166.43196760154194</v>
      </c>
      <c r="AH90" s="7"/>
      <c r="AI90" s="7"/>
      <c r="AJ90" s="7"/>
      <c r="AK90" s="7">
        <v>-100</v>
      </c>
      <c r="AL90" s="7">
        <v>7</v>
      </c>
      <c r="AM90" s="7"/>
      <c r="AN90" s="7"/>
      <c r="AO90" s="7"/>
      <c r="AP90" s="7"/>
      <c r="AQ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16">
        <v>234.38113300413826</v>
      </c>
      <c r="AH91" s="7"/>
      <c r="AI91" s="7"/>
      <c r="AJ91" s="7"/>
      <c r="AK91" s="7">
        <v>-100</v>
      </c>
      <c r="AL91" s="7">
        <v>8</v>
      </c>
      <c r="AM91" s="7"/>
      <c r="AN91" s="7"/>
      <c r="AO91" s="7"/>
      <c r="AP91" s="7"/>
      <c r="AQ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16">
        <v>239.18966808994452</v>
      </c>
      <c r="AH92" s="7"/>
      <c r="AI92" s="7"/>
      <c r="AJ92" s="7"/>
      <c r="AK92" s="7">
        <v>-75</v>
      </c>
      <c r="AL92" s="7">
        <v>8</v>
      </c>
      <c r="AM92" s="7"/>
      <c r="AN92" s="7"/>
      <c r="AO92" s="7"/>
      <c r="AP92" s="7"/>
      <c r="AQ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16">
        <v>120.64824164454092</v>
      </c>
      <c r="AH93" s="7"/>
      <c r="AI93" s="7"/>
      <c r="AJ93" s="7"/>
      <c r="AK93" s="7">
        <v>-75</v>
      </c>
      <c r="AL93" s="7">
        <v>15</v>
      </c>
      <c r="AM93" s="7"/>
      <c r="AN93" s="7"/>
      <c r="AO93" s="7"/>
      <c r="AP93" s="7"/>
      <c r="AQ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16">
        <v>180.64824133674625</v>
      </c>
      <c r="AH94" s="7"/>
      <c r="AI94" s="7"/>
      <c r="AJ94" s="7"/>
      <c r="AK94" s="7">
        <v>-50</v>
      </c>
      <c r="AL94" s="7">
        <v>15</v>
      </c>
      <c r="AM94" s="7"/>
      <c r="AN94" s="7"/>
      <c r="AO94" s="7"/>
      <c r="AP94" s="7"/>
      <c r="AQ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16">
        <v>220.43332732452046</v>
      </c>
      <c r="AH95" s="7"/>
      <c r="AI95" s="7"/>
      <c r="AJ95" s="7"/>
      <c r="AK95" s="7">
        <v>-50</v>
      </c>
      <c r="AL95" s="7">
        <v>26</v>
      </c>
      <c r="AM95" s="7"/>
      <c r="AN95" s="7"/>
      <c r="AO95" s="7"/>
      <c r="AP95" s="7"/>
      <c r="AQ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16">
        <v>203.87869228554831</v>
      </c>
      <c r="AH96" s="7"/>
      <c r="AI96" s="7"/>
      <c r="AJ96" s="7"/>
      <c r="AK96" s="7">
        <v>-25</v>
      </c>
      <c r="AL96" s="7">
        <v>26</v>
      </c>
      <c r="AM96" s="7"/>
      <c r="AN96" s="7"/>
      <c r="AO96" s="7"/>
      <c r="AP96" s="7"/>
      <c r="AQ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16">
        <v>201.19073257892316</v>
      </c>
      <c r="AH97" s="7"/>
      <c r="AI97" s="7"/>
      <c r="AJ97" s="7"/>
      <c r="AK97" s="7">
        <v>-25</v>
      </c>
      <c r="AL97" s="7">
        <v>47</v>
      </c>
      <c r="AM97" s="7"/>
      <c r="AN97" s="7"/>
      <c r="AO97" s="7"/>
      <c r="AP97" s="7"/>
      <c r="AQ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16">
        <v>228.31047628761678</v>
      </c>
      <c r="AH98" s="7"/>
      <c r="AI98" s="7"/>
      <c r="AJ98" s="7"/>
      <c r="AK98" s="7">
        <v>0</v>
      </c>
      <c r="AL98" s="7">
        <v>47</v>
      </c>
      <c r="AM98" s="7"/>
      <c r="AN98" s="7"/>
      <c r="AO98" s="7"/>
      <c r="AP98" s="7"/>
      <c r="AQ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16">
        <v>164.68021002266346</v>
      </c>
      <c r="AH99" s="7"/>
      <c r="AI99" s="7"/>
      <c r="AJ99" s="7"/>
      <c r="AK99" s="7">
        <v>0</v>
      </c>
      <c r="AL99" s="7">
        <v>96</v>
      </c>
      <c r="AM99" s="7"/>
      <c r="AN99" s="7"/>
      <c r="AO99" s="7"/>
      <c r="AP99" s="7"/>
      <c r="AQ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16">
        <v>222.08165188814692</v>
      </c>
      <c r="AH100" s="7"/>
      <c r="AI100" s="7"/>
      <c r="AJ100" s="7"/>
      <c r="AK100" s="7">
        <v>25</v>
      </c>
      <c r="AL100" s="7">
        <v>96</v>
      </c>
      <c r="AM100" s="7"/>
      <c r="AN100" s="7"/>
      <c r="AO100" s="7"/>
      <c r="AP100" s="7"/>
      <c r="AQ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16">
        <v>158.97396366789221</v>
      </c>
      <c r="AH101" s="7"/>
      <c r="AI101" s="7"/>
      <c r="AJ101" s="7"/>
      <c r="AK101" s="7">
        <v>25</v>
      </c>
      <c r="AL101" s="7">
        <v>160</v>
      </c>
      <c r="AM101" s="7"/>
      <c r="AN101" s="7"/>
      <c r="AO101" s="7"/>
      <c r="AP101" s="7"/>
      <c r="AQ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16">
        <v>207.92528676863319</v>
      </c>
      <c r="AH102" s="7"/>
      <c r="AI102" s="7"/>
      <c r="AJ102" s="7"/>
      <c r="AK102" s="7">
        <v>50</v>
      </c>
      <c r="AL102" s="7">
        <v>160</v>
      </c>
      <c r="AM102" s="7"/>
      <c r="AN102" s="7"/>
      <c r="AO102" s="7"/>
      <c r="AP102" s="7"/>
      <c r="AQ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  <c r="AK103" s="8">
        <v>50</v>
      </c>
      <c r="AL103" s="8">
        <v>345</v>
      </c>
    </row>
    <row r="104" spans="1:66" x14ac:dyDescent="0.3">
      <c r="AK104" s="8">
        <v>75</v>
      </c>
      <c r="AL104" s="8">
        <v>345</v>
      </c>
    </row>
    <row r="105" spans="1:66" x14ac:dyDescent="0.3">
      <c r="AK105" s="8">
        <v>75</v>
      </c>
      <c r="AL105" s="8">
        <v>834</v>
      </c>
    </row>
    <row r="106" spans="1:66" x14ac:dyDescent="0.3">
      <c r="AK106" s="8">
        <v>100</v>
      </c>
      <c r="AL106" s="8">
        <v>834</v>
      </c>
    </row>
    <row r="107" spans="1:66" x14ac:dyDescent="0.3">
      <c r="AK107" s="8">
        <v>100</v>
      </c>
      <c r="AL107" s="8">
        <v>2213</v>
      </c>
    </row>
    <row r="108" spans="1:66" x14ac:dyDescent="0.3">
      <c r="AK108" s="8">
        <v>125</v>
      </c>
      <c r="AL108" s="8">
        <v>2213</v>
      </c>
    </row>
    <row r="109" spans="1:66" x14ac:dyDescent="0.3">
      <c r="AK109" s="8">
        <v>125</v>
      </c>
      <c r="AL109" s="8">
        <v>6077</v>
      </c>
    </row>
    <row r="110" spans="1:66" x14ac:dyDescent="0.3">
      <c r="AK110" s="8">
        <v>150</v>
      </c>
      <c r="AL110" s="8">
        <v>6077</v>
      </c>
    </row>
    <row r="111" spans="1:66" x14ac:dyDescent="0.3">
      <c r="AK111" s="8">
        <v>150</v>
      </c>
      <c r="AL111" s="8">
        <v>14971</v>
      </c>
    </row>
    <row r="112" spans="1:66" x14ac:dyDescent="0.3">
      <c r="AK112" s="8">
        <v>175</v>
      </c>
      <c r="AL112" s="8">
        <v>14971</v>
      </c>
    </row>
    <row r="113" spans="37:38" x14ac:dyDescent="0.3">
      <c r="AK113" s="8">
        <v>175</v>
      </c>
      <c r="AL113" s="8">
        <v>25387</v>
      </c>
    </row>
    <row r="114" spans="37:38" x14ac:dyDescent="0.3">
      <c r="AK114" s="8">
        <v>200</v>
      </c>
      <c r="AL114" s="8">
        <v>25387</v>
      </c>
    </row>
    <row r="115" spans="37:38" x14ac:dyDescent="0.3">
      <c r="AK115" s="8">
        <v>200</v>
      </c>
      <c r="AL115" s="8">
        <v>25100</v>
      </c>
    </row>
    <row r="116" spans="37:38" x14ac:dyDescent="0.3">
      <c r="AK116" s="8">
        <v>225</v>
      </c>
      <c r="AL116" s="8">
        <v>25100</v>
      </c>
    </row>
    <row r="117" spans="37:38" x14ac:dyDescent="0.3">
      <c r="AK117" s="8">
        <v>225</v>
      </c>
      <c r="AL117" s="8">
        <v>14971</v>
      </c>
    </row>
    <row r="118" spans="37:38" x14ac:dyDescent="0.3">
      <c r="AK118" s="8">
        <v>250</v>
      </c>
      <c r="AL118" s="8">
        <v>14971</v>
      </c>
    </row>
    <row r="119" spans="37:38" x14ac:dyDescent="0.3">
      <c r="AK119" s="8">
        <v>250</v>
      </c>
      <c r="AL119" s="8">
        <v>6101</v>
      </c>
    </row>
    <row r="120" spans="37:38" x14ac:dyDescent="0.3">
      <c r="AK120" s="8">
        <v>275</v>
      </c>
      <c r="AL120" s="8">
        <v>6101</v>
      </c>
    </row>
    <row r="121" spans="37:38" x14ac:dyDescent="0.3">
      <c r="AK121" s="8">
        <v>275</v>
      </c>
      <c r="AL121" s="8">
        <v>2149</v>
      </c>
    </row>
    <row r="122" spans="37:38" x14ac:dyDescent="0.3">
      <c r="AK122" s="8">
        <v>300</v>
      </c>
      <c r="AL122" s="8">
        <v>2149</v>
      </c>
    </row>
    <row r="123" spans="37:38" x14ac:dyDescent="0.3">
      <c r="AK123" s="8">
        <v>300</v>
      </c>
      <c r="AL123" s="8">
        <v>810</v>
      </c>
    </row>
    <row r="124" spans="37:38" x14ac:dyDescent="0.3">
      <c r="AK124" s="8">
        <v>325</v>
      </c>
      <c r="AL124" s="8">
        <v>810</v>
      </c>
    </row>
    <row r="125" spans="37:38" x14ac:dyDescent="0.3">
      <c r="AK125" s="8">
        <v>325</v>
      </c>
      <c r="AL125" s="8">
        <v>331</v>
      </c>
    </row>
    <row r="126" spans="37:38" x14ac:dyDescent="0.3">
      <c r="AK126" s="8">
        <v>350</v>
      </c>
      <c r="AL126" s="8">
        <v>331</v>
      </c>
    </row>
    <row r="127" spans="37:38" x14ac:dyDescent="0.3">
      <c r="AK127" s="8">
        <v>350</v>
      </c>
      <c r="AL127" s="8">
        <v>146</v>
      </c>
    </row>
    <row r="128" spans="37:38" x14ac:dyDescent="0.3">
      <c r="AK128" s="8">
        <v>375</v>
      </c>
      <c r="AL128" s="8">
        <v>146</v>
      </c>
    </row>
    <row r="129" spans="37:38" x14ac:dyDescent="0.3">
      <c r="AK129" s="8">
        <v>375</v>
      </c>
      <c r="AL129" s="8">
        <v>75</v>
      </c>
    </row>
    <row r="130" spans="37:38" x14ac:dyDescent="0.3">
      <c r="AK130" s="8">
        <v>400</v>
      </c>
      <c r="AL130" s="8">
        <v>75</v>
      </c>
    </row>
    <row r="131" spans="37:38" x14ac:dyDescent="0.3">
      <c r="AK131" s="8">
        <v>400</v>
      </c>
      <c r="AL131" s="8">
        <v>33</v>
      </c>
    </row>
    <row r="132" spans="37:38" x14ac:dyDescent="0.3">
      <c r="AK132" s="8">
        <v>425</v>
      </c>
      <c r="AL132" s="8">
        <v>33</v>
      </c>
    </row>
    <row r="133" spans="37:38" x14ac:dyDescent="0.3">
      <c r="AK133" s="8">
        <v>425</v>
      </c>
      <c r="AL133" s="8">
        <v>31</v>
      </c>
    </row>
    <row r="134" spans="37:38" x14ac:dyDescent="0.3">
      <c r="AK134" s="8">
        <v>450</v>
      </c>
      <c r="AL134" s="8">
        <v>31</v>
      </c>
    </row>
    <row r="135" spans="37:38" x14ac:dyDescent="0.3">
      <c r="AK135" s="8">
        <v>450</v>
      </c>
      <c r="AL135" s="8">
        <v>20</v>
      </c>
    </row>
    <row r="136" spans="37:38" x14ac:dyDescent="0.3">
      <c r="AK136" s="8">
        <v>475</v>
      </c>
      <c r="AL136" s="8">
        <v>20</v>
      </c>
    </row>
    <row r="137" spans="37:38" x14ac:dyDescent="0.3">
      <c r="AK137" s="8">
        <v>475</v>
      </c>
      <c r="AL137" s="8">
        <v>8</v>
      </c>
    </row>
    <row r="138" spans="37:38" x14ac:dyDescent="0.3">
      <c r="AK138" s="8">
        <v>500</v>
      </c>
      <c r="AL138" s="8">
        <v>8</v>
      </c>
    </row>
    <row r="139" spans="37:38" x14ac:dyDescent="0.3">
      <c r="AK139" s="8">
        <v>500</v>
      </c>
      <c r="AL139" s="8">
        <v>10</v>
      </c>
    </row>
    <row r="140" spans="37:38" x14ac:dyDescent="0.3">
      <c r="AK140" s="8">
        <v>525</v>
      </c>
      <c r="AL140" s="8">
        <v>10</v>
      </c>
    </row>
    <row r="141" spans="37:38" x14ac:dyDescent="0.3">
      <c r="AK141" s="8">
        <v>525</v>
      </c>
      <c r="AL141" s="8">
        <v>3</v>
      </c>
    </row>
    <row r="142" spans="37:38" x14ac:dyDescent="0.3">
      <c r="AK142" s="8">
        <v>550</v>
      </c>
      <c r="AL142" s="8">
        <v>3</v>
      </c>
    </row>
    <row r="143" spans="37:38" x14ac:dyDescent="0.3">
      <c r="AK143" s="8">
        <v>550</v>
      </c>
      <c r="AL143" s="8">
        <v>3</v>
      </c>
    </row>
    <row r="144" spans="37:38" x14ac:dyDescent="0.3">
      <c r="AK144" s="8">
        <v>575</v>
      </c>
      <c r="AL144" s="8">
        <v>3</v>
      </c>
    </row>
    <row r="145" spans="37:38" x14ac:dyDescent="0.3">
      <c r="AK145" s="8">
        <v>575</v>
      </c>
      <c r="AL145" s="8">
        <v>1</v>
      </c>
    </row>
    <row r="146" spans="37:38" x14ac:dyDescent="0.3">
      <c r="AK146" s="8">
        <v>600</v>
      </c>
      <c r="AL146" s="8">
        <v>1</v>
      </c>
    </row>
    <row r="147" spans="37:38" x14ac:dyDescent="0.3">
      <c r="AK147" s="8">
        <v>600</v>
      </c>
      <c r="AL147" s="8">
        <v>1</v>
      </c>
    </row>
    <row r="148" spans="37:38" x14ac:dyDescent="0.3">
      <c r="AK148" s="8">
        <v>625</v>
      </c>
      <c r="AL148" s="8">
        <v>1</v>
      </c>
    </row>
    <row r="149" spans="37:38" x14ac:dyDescent="0.3">
      <c r="AK149" s="8">
        <v>625</v>
      </c>
      <c r="AL149" s="8">
        <v>1</v>
      </c>
    </row>
    <row r="150" spans="37:38" x14ac:dyDescent="0.3">
      <c r="AK150" s="8">
        <v>650</v>
      </c>
      <c r="AL150" s="8">
        <v>1</v>
      </c>
    </row>
    <row r="151" spans="37:38" x14ac:dyDescent="0.3">
      <c r="AK151" s="8">
        <v>650</v>
      </c>
      <c r="AL151" s="8">
        <v>1</v>
      </c>
    </row>
    <row r="152" spans="37:38" x14ac:dyDescent="0.3">
      <c r="AK152" s="8">
        <v>675</v>
      </c>
      <c r="AL152" s="8">
        <v>1</v>
      </c>
    </row>
    <row r="153" spans="37:38" x14ac:dyDescent="0.3">
      <c r="AK153" s="8">
        <v>675</v>
      </c>
      <c r="AL153" s="8">
        <v>1</v>
      </c>
    </row>
    <row r="154" spans="37:38" x14ac:dyDescent="0.3">
      <c r="AK154" s="8">
        <v>700</v>
      </c>
      <c r="AL154" s="8">
        <v>1</v>
      </c>
    </row>
    <row r="155" spans="37:38" x14ac:dyDescent="0.3">
      <c r="AK155" s="8">
        <v>700</v>
      </c>
      <c r="AL155" s="8">
        <v>2</v>
      </c>
    </row>
    <row r="156" spans="37:38" x14ac:dyDescent="0.3">
      <c r="AK156" s="8">
        <v>725</v>
      </c>
      <c r="AL156" s="8">
        <v>2</v>
      </c>
    </row>
    <row r="157" spans="37:38" x14ac:dyDescent="0.3">
      <c r="AK157" s="8">
        <v>725</v>
      </c>
      <c r="AL157" s="8">
        <v>1</v>
      </c>
    </row>
    <row r="158" spans="37:38" x14ac:dyDescent="0.3">
      <c r="AK158" s="8">
        <v>750</v>
      </c>
      <c r="AL158" s="8">
        <v>1</v>
      </c>
    </row>
    <row r="159" spans="37:38" x14ac:dyDescent="0.3">
      <c r="AK159" s="8">
        <v>750</v>
      </c>
      <c r="AL159" s="8">
        <v>0</v>
      </c>
    </row>
    <row r="160" spans="37:38" x14ac:dyDescent="0.3">
      <c r="AK160" s="8">
        <v>775</v>
      </c>
      <c r="AL160" s="8">
        <v>0</v>
      </c>
    </row>
    <row r="161" spans="37:38" x14ac:dyDescent="0.3">
      <c r="AK161" s="8">
        <v>775</v>
      </c>
      <c r="AL161" s="8">
        <v>0</v>
      </c>
    </row>
    <row r="162" spans="37:38" x14ac:dyDescent="0.3">
      <c r="AK162" s="8">
        <v>800</v>
      </c>
      <c r="AL162" s="8">
        <v>0</v>
      </c>
    </row>
    <row r="163" spans="37:38" x14ac:dyDescent="0.3">
      <c r="AK163" s="8">
        <v>800</v>
      </c>
      <c r="AL163" s="8">
        <v>0</v>
      </c>
    </row>
    <row r="164" spans="37:38" x14ac:dyDescent="0.3">
      <c r="AK164" s="8">
        <v>825</v>
      </c>
      <c r="AL164" s="8">
        <v>0</v>
      </c>
    </row>
    <row r="165" spans="37:38" x14ac:dyDescent="0.3">
      <c r="AK165" s="8">
        <v>825</v>
      </c>
      <c r="AL165" s="8">
        <v>0</v>
      </c>
    </row>
    <row r="166" spans="37:38" x14ac:dyDescent="0.3">
      <c r="AK166" s="8">
        <v>850</v>
      </c>
      <c r="AL166" s="8">
        <v>0</v>
      </c>
    </row>
    <row r="167" spans="37:38" x14ac:dyDescent="0.3">
      <c r="AK167" s="8">
        <v>850</v>
      </c>
      <c r="AL167" s="8">
        <v>0</v>
      </c>
    </row>
    <row r="168" spans="37:38" x14ac:dyDescent="0.3">
      <c r="AK168" s="8">
        <v>875</v>
      </c>
      <c r="AL168" s="8">
        <v>0</v>
      </c>
    </row>
    <row r="169" spans="37:38" x14ac:dyDescent="0.3">
      <c r="AK169" s="8">
        <v>875</v>
      </c>
      <c r="AL169" s="8">
        <v>0</v>
      </c>
    </row>
    <row r="170" spans="37:38" x14ac:dyDescent="0.3">
      <c r="AK170" s="8">
        <v>900</v>
      </c>
      <c r="AL170" s="8">
        <v>0</v>
      </c>
    </row>
    <row r="171" spans="37:38" x14ac:dyDescent="0.3">
      <c r="AK171" s="8">
        <v>900</v>
      </c>
      <c r="AL171" s="8">
        <v>0</v>
      </c>
    </row>
    <row r="172" spans="37:38" x14ac:dyDescent="0.3">
      <c r="AK172" s="8">
        <v>925</v>
      </c>
      <c r="AL172" s="8">
        <v>0</v>
      </c>
    </row>
    <row r="173" spans="37:38" x14ac:dyDescent="0.3">
      <c r="AK173" s="8">
        <v>925</v>
      </c>
      <c r="AL173" s="8">
        <v>0</v>
      </c>
    </row>
    <row r="174" spans="37:38" x14ac:dyDescent="0.3">
      <c r="AK174" s="8">
        <v>950</v>
      </c>
      <c r="AL174" s="8">
        <v>0</v>
      </c>
    </row>
    <row r="175" spans="37:38" x14ac:dyDescent="0.3">
      <c r="AK175" s="8">
        <v>950</v>
      </c>
      <c r="AL175" s="8">
        <v>0</v>
      </c>
    </row>
    <row r="176" spans="37:38" x14ac:dyDescent="0.3">
      <c r="AK176" s="8">
        <v>975</v>
      </c>
      <c r="AL176" s="8">
        <v>0</v>
      </c>
    </row>
    <row r="177" spans="37:38" x14ac:dyDescent="0.3">
      <c r="AK177" s="8">
        <v>975</v>
      </c>
      <c r="AL177" s="8">
        <v>0</v>
      </c>
    </row>
    <row r="178" spans="37:38" x14ac:dyDescent="0.3">
      <c r="AK178" s="8">
        <v>1000</v>
      </c>
      <c r="AL178" s="8">
        <v>0</v>
      </c>
    </row>
    <row r="179" spans="37:38" x14ac:dyDescent="0.3">
      <c r="AK179" s="8">
        <v>1000</v>
      </c>
      <c r="AL179" s="8">
        <v>0</v>
      </c>
    </row>
    <row r="180" spans="37:38" x14ac:dyDescent="0.3">
      <c r="AK180" s="8">
        <v>1025</v>
      </c>
      <c r="AL180" s="8">
        <v>0</v>
      </c>
    </row>
    <row r="181" spans="37:38" x14ac:dyDescent="0.3">
      <c r="AK181" s="8">
        <v>1025</v>
      </c>
      <c r="AL181" s="8">
        <v>1</v>
      </c>
    </row>
    <row r="182" spans="37:38" x14ac:dyDescent="0.3">
      <c r="AK182" s="8">
        <v>1050</v>
      </c>
      <c r="AL182" s="8">
        <v>1</v>
      </c>
    </row>
    <row r="183" spans="37:38" x14ac:dyDescent="0.3">
      <c r="AK183" s="8">
        <v>1050</v>
      </c>
      <c r="AL183" s="8">
        <v>0</v>
      </c>
    </row>
  </sheetData>
  <dataConsolidate/>
  <mergeCells count="3">
    <mergeCell ref="F2:G2"/>
    <mergeCell ref="I4:K4"/>
    <mergeCell ref="L4:N4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I17"/>
  <sheetViews>
    <sheetView workbookViewId="0">
      <selection activeCell="H3" sqref="H3"/>
    </sheetView>
  </sheetViews>
  <sheetFormatPr defaultRowHeight="14.4" x14ac:dyDescent="0.3"/>
  <cols>
    <col min="3" max="3" width="9.5546875" customWidth="1"/>
    <col min="4" max="4" width="11" bestFit="1" customWidth="1"/>
    <col min="5" max="5" width="10.6640625" bestFit="1" customWidth="1"/>
    <col min="8" max="8" width="12.6640625" bestFit="1" customWidth="1"/>
    <col min="9" max="9" width="12" bestFit="1" customWidth="1"/>
    <col min="10" max="10" width="11" bestFit="1" customWidth="1"/>
  </cols>
  <sheetData>
    <row r="2" spans="2:9" x14ac:dyDescent="0.3">
      <c r="H2" t="s">
        <v>39</v>
      </c>
    </row>
    <row r="3" spans="2:9" x14ac:dyDescent="0.3">
      <c r="C3" s="1" t="s">
        <v>14</v>
      </c>
      <c r="H3">
        <f t="array" aca="1" ref="H3:I7" ca="1">LINEST(F11:F15,C11:C15,1,1)</f>
        <v>197.12892935556704</v>
      </c>
      <c r="I3">
        <f ca="1"/>
        <v>180.34240068412021</v>
      </c>
    </row>
    <row r="4" spans="2:9" x14ac:dyDescent="0.3">
      <c r="C4" s="1" t="s">
        <v>0</v>
      </c>
      <c r="D4" s="1">
        <v>100</v>
      </c>
      <c r="H4" s="79">
        <f ca="1"/>
        <v>47.636244442836983</v>
      </c>
      <c r="I4">
        <f ca="1"/>
        <v>182.74365693829117</v>
      </c>
    </row>
    <row r="5" spans="2:9" x14ac:dyDescent="0.3">
      <c r="C5" s="1" t="s">
        <v>1</v>
      </c>
      <c r="D5" s="1">
        <v>200</v>
      </c>
      <c r="H5">
        <f ca="1"/>
        <v>0.85093025048306548</v>
      </c>
      <c r="I5">
        <f ca="1"/>
        <v>233.9570751496835</v>
      </c>
    </row>
    <row r="6" spans="2:9" x14ac:dyDescent="0.3">
      <c r="C6" s="1" t="s">
        <v>2</v>
      </c>
      <c r="D6" s="1">
        <v>0</v>
      </c>
      <c r="H6">
        <f ca="1"/>
        <v>17.124807412111444</v>
      </c>
      <c r="I6">
        <f ca="1"/>
        <v>3</v>
      </c>
    </row>
    <row r="7" spans="2:9" x14ac:dyDescent="0.3">
      <c r="C7" s="1" t="s">
        <v>3</v>
      </c>
      <c r="D7" s="1">
        <v>200</v>
      </c>
      <c r="H7">
        <f ca="1"/>
        <v>937341.96886676829</v>
      </c>
      <c r="I7">
        <f ca="1"/>
        <v>164207.73903778399</v>
      </c>
    </row>
    <row r="8" spans="2:9" x14ac:dyDescent="0.3">
      <c r="C8" s="1" t="s">
        <v>9</v>
      </c>
      <c r="D8" s="1">
        <v>0</v>
      </c>
    </row>
    <row r="10" spans="2:9" x14ac:dyDescent="0.3">
      <c r="B10" t="s">
        <v>8</v>
      </c>
      <c r="C10" t="s">
        <v>4</v>
      </c>
      <c r="D10" t="s">
        <v>5</v>
      </c>
      <c r="E10" s="1" t="s">
        <v>6</v>
      </c>
      <c r="F10" t="s">
        <v>7</v>
      </c>
    </row>
    <row r="11" spans="2:9" x14ac:dyDescent="0.3">
      <c r="B11">
        <v>1</v>
      </c>
      <c r="C11">
        <f ca="1">RAND()*10</f>
        <v>2.442311270325086</v>
      </c>
      <c r="D11">
        <f ca="1">RAND()*100</f>
        <v>56.231291496951599</v>
      </c>
      <c r="E11" s="1">
        <f ca="1">NORMINV(RAND(),0,$D$7)*C11^alpha</f>
        <v>2.0841589728433774</v>
      </c>
      <c r="F11">
        <f ca="1">$D$4+$D$5*C11+$D$6*D11+E11</f>
        <v>590.54641303786059</v>
      </c>
    </row>
    <row r="12" spans="2:9" x14ac:dyDescent="0.3">
      <c r="B12">
        <v>1</v>
      </c>
      <c r="C12">
        <f t="shared" ref="C12:C15" ca="1" si="0">RAND()*10</f>
        <v>3.7725761407644987</v>
      </c>
      <c r="D12">
        <f t="shared" ref="D12:D15" ca="1" si="1">RAND()*100</f>
        <v>23.526369667527359</v>
      </c>
      <c r="E12" s="1">
        <f ca="1">NORMINV(RAND(),0,$D$7)*C12^alpha</f>
        <v>0.78665413163138154</v>
      </c>
      <c r="F12">
        <f t="shared" ref="F12:F15" ca="1" si="2">$D$4+$D$5*C12+$D$6*D12+E12</f>
        <v>855.30188228453108</v>
      </c>
    </row>
    <row r="13" spans="2:9" x14ac:dyDescent="0.3">
      <c r="B13">
        <v>1</v>
      </c>
      <c r="C13">
        <f t="shared" ca="1" si="0"/>
        <v>2.0634704541368865</v>
      </c>
      <c r="D13">
        <f t="shared" ca="1" si="1"/>
        <v>40.103184771458245</v>
      </c>
      <c r="E13" s="1">
        <f ca="1">NORMINV(RAND(),0,$D$7)*C13^alpha</f>
        <v>-179.72703234818073</v>
      </c>
      <c r="F13">
        <f t="shared" ca="1" si="2"/>
        <v>332.96705847919657</v>
      </c>
    </row>
    <row r="14" spans="2:9" x14ac:dyDescent="0.3">
      <c r="B14">
        <v>1</v>
      </c>
      <c r="C14">
        <f t="shared" ca="1" si="0"/>
        <v>6.9944804350528686</v>
      </c>
      <c r="D14">
        <f t="shared" ca="1" si="1"/>
        <v>61.785904993839203</v>
      </c>
      <c r="E14" s="1">
        <f ca="1">NORMINV(RAND(),0,$D$7)*C14^alpha</f>
        <v>179.35904973559349</v>
      </c>
      <c r="F14">
        <f t="shared" ca="1" si="2"/>
        <v>1678.2551367461672</v>
      </c>
    </row>
    <row r="15" spans="2:9" x14ac:dyDescent="0.3">
      <c r="B15">
        <v>1</v>
      </c>
      <c r="C15">
        <f t="shared" ca="1" si="0"/>
        <v>0.45329350907910904</v>
      </c>
      <c r="D15">
        <f t="shared" ca="1" si="1"/>
        <v>52.415356615459196</v>
      </c>
      <c r="E15" s="1">
        <f ca="1">NORMINV(RAND(),0,$D$7)*C15^alpha</f>
        <v>354.05833754038161</v>
      </c>
      <c r="F15">
        <f t="shared" ca="1" si="2"/>
        <v>544.71703935620349</v>
      </c>
    </row>
    <row r="17" spans="4:5" x14ac:dyDescent="0.3">
      <c r="D17">
        <f ca="1">CORREL(C11:C15,D11:D15)</f>
        <v>0.19067602064958547</v>
      </c>
      <c r="E17" t="s">
        <v>11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A129F-ED30-4C4F-AEF2-070962B6A36D}">
  <sheetPr codeName="Sheet6"/>
  <dimension ref="A1:BN137"/>
  <sheetViews>
    <sheetView showGridLines="0" workbookViewId="0">
      <selection activeCell="I4" sqref="I4:N8"/>
    </sheetView>
  </sheetViews>
  <sheetFormatPr defaultColWidth="10" defaultRowHeight="15.6" x14ac:dyDescent="0.3"/>
  <cols>
    <col min="1" max="1" width="8.88671875" style="15" customWidth="1"/>
    <col min="2" max="2" width="11.77734375" style="47" customWidth="1"/>
    <col min="3" max="3" width="11.77734375" style="48" customWidth="1"/>
    <col min="4" max="4" width="8.44140625" style="7" customWidth="1"/>
    <col min="5" max="5" width="8.44140625" style="8" customWidth="1"/>
    <col min="6" max="6" width="12.88671875" style="49" customWidth="1"/>
    <col min="7" max="7" width="10" style="8"/>
    <col min="8" max="8" width="7.33203125" style="8" customWidth="1"/>
    <col min="9" max="13" width="11.21875" style="8" customWidth="1"/>
    <col min="14" max="14" width="15.44140625" style="8" customWidth="1"/>
    <col min="15" max="17" width="10" style="8"/>
    <col min="18" max="19" width="10" style="7"/>
    <col min="20" max="20" width="15.77734375" style="7" customWidth="1"/>
    <col min="21" max="22" width="12.44140625" style="7" customWidth="1"/>
    <col min="23" max="54" width="10" style="7"/>
    <col min="55" max="256" width="10" style="8"/>
    <col min="257" max="257" width="8.88671875" style="8" customWidth="1"/>
    <col min="258" max="259" width="11.77734375" style="8" customWidth="1"/>
    <col min="260" max="261" width="8.44140625" style="8" customWidth="1"/>
    <col min="262" max="262" width="12.88671875" style="8" customWidth="1"/>
    <col min="263" max="263" width="10" style="8"/>
    <col min="264" max="264" width="7.33203125" style="8" customWidth="1"/>
    <col min="265" max="270" width="11.21875" style="8" customWidth="1"/>
    <col min="271" max="275" width="10" style="8"/>
    <col min="276" max="276" width="15.77734375" style="8" customWidth="1"/>
    <col min="277" max="278" width="12.44140625" style="8" customWidth="1"/>
    <col min="279" max="512" width="10" style="8"/>
    <col min="513" max="513" width="8.88671875" style="8" customWidth="1"/>
    <col min="514" max="515" width="11.77734375" style="8" customWidth="1"/>
    <col min="516" max="517" width="8.44140625" style="8" customWidth="1"/>
    <col min="518" max="518" width="12.88671875" style="8" customWidth="1"/>
    <col min="519" max="519" width="10" style="8"/>
    <col min="520" max="520" width="7.33203125" style="8" customWidth="1"/>
    <col min="521" max="526" width="11.21875" style="8" customWidth="1"/>
    <col min="527" max="531" width="10" style="8"/>
    <col min="532" max="532" width="15.77734375" style="8" customWidth="1"/>
    <col min="533" max="534" width="12.44140625" style="8" customWidth="1"/>
    <col min="535" max="768" width="10" style="8"/>
    <col min="769" max="769" width="8.88671875" style="8" customWidth="1"/>
    <col min="770" max="771" width="11.77734375" style="8" customWidth="1"/>
    <col min="772" max="773" width="8.44140625" style="8" customWidth="1"/>
    <col min="774" max="774" width="12.88671875" style="8" customWidth="1"/>
    <col min="775" max="775" width="10" style="8"/>
    <col min="776" max="776" width="7.33203125" style="8" customWidth="1"/>
    <col min="777" max="782" width="11.21875" style="8" customWidth="1"/>
    <col min="783" max="787" width="10" style="8"/>
    <col min="788" max="788" width="15.77734375" style="8" customWidth="1"/>
    <col min="789" max="790" width="12.44140625" style="8" customWidth="1"/>
    <col min="791" max="1024" width="10" style="8"/>
    <col min="1025" max="1025" width="8.88671875" style="8" customWidth="1"/>
    <col min="1026" max="1027" width="11.77734375" style="8" customWidth="1"/>
    <col min="1028" max="1029" width="8.44140625" style="8" customWidth="1"/>
    <col min="1030" max="1030" width="12.88671875" style="8" customWidth="1"/>
    <col min="1031" max="1031" width="10" style="8"/>
    <col min="1032" max="1032" width="7.33203125" style="8" customWidth="1"/>
    <col min="1033" max="1038" width="11.21875" style="8" customWidth="1"/>
    <col min="1039" max="1043" width="10" style="8"/>
    <col min="1044" max="1044" width="15.77734375" style="8" customWidth="1"/>
    <col min="1045" max="1046" width="12.44140625" style="8" customWidth="1"/>
    <col min="1047" max="1280" width="10" style="8"/>
    <col min="1281" max="1281" width="8.88671875" style="8" customWidth="1"/>
    <col min="1282" max="1283" width="11.77734375" style="8" customWidth="1"/>
    <col min="1284" max="1285" width="8.44140625" style="8" customWidth="1"/>
    <col min="1286" max="1286" width="12.88671875" style="8" customWidth="1"/>
    <col min="1287" max="1287" width="10" style="8"/>
    <col min="1288" max="1288" width="7.33203125" style="8" customWidth="1"/>
    <col min="1289" max="1294" width="11.21875" style="8" customWidth="1"/>
    <col min="1295" max="1299" width="10" style="8"/>
    <col min="1300" max="1300" width="15.77734375" style="8" customWidth="1"/>
    <col min="1301" max="1302" width="12.44140625" style="8" customWidth="1"/>
    <col min="1303" max="1536" width="10" style="8"/>
    <col min="1537" max="1537" width="8.88671875" style="8" customWidth="1"/>
    <col min="1538" max="1539" width="11.77734375" style="8" customWidth="1"/>
    <col min="1540" max="1541" width="8.44140625" style="8" customWidth="1"/>
    <col min="1542" max="1542" width="12.88671875" style="8" customWidth="1"/>
    <col min="1543" max="1543" width="10" style="8"/>
    <col min="1544" max="1544" width="7.33203125" style="8" customWidth="1"/>
    <col min="1545" max="1550" width="11.21875" style="8" customWidth="1"/>
    <col min="1551" max="1555" width="10" style="8"/>
    <col min="1556" max="1556" width="15.77734375" style="8" customWidth="1"/>
    <col min="1557" max="1558" width="12.44140625" style="8" customWidth="1"/>
    <col min="1559" max="1792" width="10" style="8"/>
    <col min="1793" max="1793" width="8.88671875" style="8" customWidth="1"/>
    <col min="1794" max="1795" width="11.77734375" style="8" customWidth="1"/>
    <col min="1796" max="1797" width="8.44140625" style="8" customWidth="1"/>
    <col min="1798" max="1798" width="12.88671875" style="8" customWidth="1"/>
    <col min="1799" max="1799" width="10" style="8"/>
    <col min="1800" max="1800" width="7.33203125" style="8" customWidth="1"/>
    <col min="1801" max="1806" width="11.21875" style="8" customWidth="1"/>
    <col min="1807" max="1811" width="10" style="8"/>
    <col min="1812" max="1812" width="15.77734375" style="8" customWidth="1"/>
    <col min="1813" max="1814" width="12.44140625" style="8" customWidth="1"/>
    <col min="1815" max="2048" width="10" style="8"/>
    <col min="2049" max="2049" width="8.88671875" style="8" customWidth="1"/>
    <col min="2050" max="2051" width="11.77734375" style="8" customWidth="1"/>
    <col min="2052" max="2053" width="8.44140625" style="8" customWidth="1"/>
    <col min="2054" max="2054" width="12.88671875" style="8" customWidth="1"/>
    <col min="2055" max="2055" width="10" style="8"/>
    <col min="2056" max="2056" width="7.33203125" style="8" customWidth="1"/>
    <col min="2057" max="2062" width="11.21875" style="8" customWidth="1"/>
    <col min="2063" max="2067" width="10" style="8"/>
    <col min="2068" max="2068" width="15.77734375" style="8" customWidth="1"/>
    <col min="2069" max="2070" width="12.44140625" style="8" customWidth="1"/>
    <col min="2071" max="2304" width="10" style="8"/>
    <col min="2305" max="2305" width="8.88671875" style="8" customWidth="1"/>
    <col min="2306" max="2307" width="11.77734375" style="8" customWidth="1"/>
    <col min="2308" max="2309" width="8.44140625" style="8" customWidth="1"/>
    <col min="2310" max="2310" width="12.88671875" style="8" customWidth="1"/>
    <col min="2311" max="2311" width="10" style="8"/>
    <col min="2312" max="2312" width="7.33203125" style="8" customWidth="1"/>
    <col min="2313" max="2318" width="11.21875" style="8" customWidth="1"/>
    <col min="2319" max="2323" width="10" style="8"/>
    <col min="2324" max="2324" width="15.77734375" style="8" customWidth="1"/>
    <col min="2325" max="2326" width="12.44140625" style="8" customWidth="1"/>
    <col min="2327" max="2560" width="10" style="8"/>
    <col min="2561" max="2561" width="8.88671875" style="8" customWidth="1"/>
    <col min="2562" max="2563" width="11.77734375" style="8" customWidth="1"/>
    <col min="2564" max="2565" width="8.44140625" style="8" customWidth="1"/>
    <col min="2566" max="2566" width="12.88671875" style="8" customWidth="1"/>
    <col min="2567" max="2567" width="10" style="8"/>
    <col min="2568" max="2568" width="7.33203125" style="8" customWidth="1"/>
    <col min="2569" max="2574" width="11.21875" style="8" customWidth="1"/>
    <col min="2575" max="2579" width="10" style="8"/>
    <col min="2580" max="2580" width="15.77734375" style="8" customWidth="1"/>
    <col min="2581" max="2582" width="12.44140625" style="8" customWidth="1"/>
    <col min="2583" max="2816" width="10" style="8"/>
    <col min="2817" max="2817" width="8.88671875" style="8" customWidth="1"/>
    <col min="2818" max="2819" width="11.77734375" style="8" customWidth="1"/>
    <col min="2820" max="2821" width="8.44140625" style="8" customWidth="1"/>
    <col min="2822" max="2822" width="12.88671875" style="8" customWidth="1"/>
    <col min="2823" max="2823" width="10" style="8"/>
    <col min="2824" max="2824" width="7.33203125" style="8" customWidth="1"/>
    <col min="2825" max="2830" width="11.21875" style="8" customWidth="1"/>
    <col min="2831" max="2835" width="10" style="8"/>
    <col min="2836" max="2836" width="15.77734375" style="8" customWidth="1"/>
    <col min="2837" max="2838" width="12.44140625" style="8" customWidth="1"/>
    <col min="2839" max="3072" width="10" style="8"/>
    <col min="3073" max="3073" width="8.88671875" style="8" customWidth="1"/>
    <col min="3074" max="3075" width="11.77734375" style="8" customWidth="1"/>
    <col min="3076" max="3077" width="8.44140625" style="8" customWidth="1"/>
    <col min="3078" max="3078" width="12.88671875" style="8" customWidth="1"/>
    <col min="3079" max="3079" width="10" style="8"/>
    <col min="3080" max="3080" width="7.33203125" style="8" customWidth="1"/>
    <col min="3081" max="3086" width="11.21875" style="8" customWidth="1"/>
    <col min="3087" max="3091" width="10" style="8"/>
    <col min="3092" max="3092" width="15.77734375" style="8" customWidth="1"/>
    <col min="3093" max="3094" width="12.44140625" style="8" customWidth="1"/>
    <col min="3095" max="3328" width="10" style="8"/>
    <col min="3329" max="3329" width="8.88671875" style="8" customWidth="1"/>
    <col min="3330" max="3331" width="11.77734375" style="8" customWidth="1"/>
    <col min="3332" max="3333" width="8.44140625" style="8" customWidth="1"/>
    <col min="3334" max="3334" width="12.88671875" style="8" customWidth="1"/>
    <col min="3335" max="3335" width="10" style="8"/>
    <col min="3336" max="3336" width="7.33203125" style="8" customWidth="1"/>
    <col min="3337" max="3342" width="11.21875" style="8" customWidth="1"/>
    <col min="3343" max="3347" width="10" style="8"/>
    <col min="3348" max="3348" width="15.77734375" style="8" customWidth="1"/>
    <col min="3349" max="3350" width="12.44140625" style="8" customWidth="1"/>
    <col min="3351" max="3584" width="10" style="8"/>
    <col min="3585" max="3585" width="8.88671875" style="8" customWidth="1"/>
    <col min="3586" max="3587" width="11.77734375" style="8" customWidth="1"/>
    <col min="3588" max="3589" width="8.44140625" style="8" customWidth="1"/>
    <col min="3590" max="3590" width="12.88671875" style="8" customWidth="1"/>
    <col min="3591" max="3591" width="10" style="8"/>
    <col min="3592" max="3592" width="7.33203125" style="8" customWidth="1"/>
    <col min="3593" max="3598" width="11.21875" style="8" customWidth="1"/>
    <col min="3599" max="3603" width="10" style="8"/>
    <col min="3604" max="3604" width="15.77734375" style="8" customWidth="1"/>
    <col min="3605" max="3606" width="12.44140625" style="8" customWidth="1"/>
    <col min="3607" max="3840" width="10" style="8"/>
    <col min="3841" max="3841" width="8.88671875" style="8" customWidth="1"/>
    <col min="3842" max="3843" width="11.77734375" style="8" customWidth="1"/>
    <col min="3844" max="3845" width="8.44140625" style="8" customWidth="1"/>
    <col min="3846" max="3846" width="12.88671875" style="8" customWidth="1"/>
    <col min="3847" max="3847" width="10" style="8"/>
    <col min="3848" max="3848" width="7.33203125" style="8" customWidth="1"/>
    <col min="3849" max="3854" width="11.21875" style="8" customWidth="1"/>
    <col min="3855" max="3859" width="10" style="8"/>
    <col min="3860" max="3860" width="15.77734375" style="8" customWidth="1"/>
    <col min="3861" max="3862" width="12.44140625" style="8" customWidth="1"/>
    <col min="3863" max="4096" width="10" style="8"/>
    <col min="4097" max="4097" width="8.88671875" style="8" customWidth="1"/>
    <col min="4098" max="4099" width="11.77734375" style="8" customWidth="1"/>
    <col min="4100" max="4101" width="8.44140625" style="8" customWidth="1"/>
    <col min="4102" max="4102" width="12.88671875" style="8" customWidth="1"/>
    <col min="4103" max="4103" width="10" style="8"/>
    <col min="4104" max="4104" width="7.33203125" style="8" customWidth="1"/>
    <col min="4105" max="4110" width="11.21875" style="8" customWidth="1"/>
    <col min="4111" max="4115" width="10" style="8"/>
    <col min="4116" max="4116" width="15.77734375" style="8" customWidth="1"/>
    <col min="4117" max="4118" width="12.44140625" style="8" customWidth="1"/>
    <col min="4119" max="4352" width="10" style="8"/>
    <col min="4353" max="4353" width="8.88671875" style="8" customWidth="1"/>
    <col min="4354" max="4355" width="11.77734375" style="8" customWidth="1"/>
    <col min="4356" max="4357" width="8.44140625" style="8" customWidth="1"/>
    <col min="4358" max="4358" width="12.88671875" style="8" customWidth="1"/>
    <col min="4359" max="4359" width="10" style="8"/>
    <col min="4360" max="4360" width="7.33203125" style="8" customWidth="1"/>
    <col min="4361" max="4366" width="11.21875" style="8" customWidth="1"/>
    <col min="4367" max="4371" width="10" style="8"/>
    <col min="4372" max="4372" width="15.77734375" style="8" customWidth="1"/>
    <col min="4373" max="4374" width="12.44140625" style="8" customWidth="1"/>
    <col min="4375" max="4608" width="10" style="8"/>
    <col min="4609" max="4609" width="8.88671875" style="8" customWidth="1"/>
    <col min="4610" max="4611" width="11.77734375" style="8" customWidth="1"/>
    <col min="4612" max="4613" width="8.44140625" style="8" customWidth="1"/>
    <col min="4614" max="4614" width="12.88671875" style="8" customWidth="1"/>
    <col min="4615" max="4615" width="10" style="8"/>
    <col min="4616" max="4616" width="7.33203125" style="8" customWidth="1"/>
    <col min="4617" max="4622" width="11.21875" style="8" customWidth="1"/>
    <col min="4623" max="4627" width="10" style="8"/>
    <col min="4628" max="4628" width="15.77734375" style="8" customWidth="1"/>
    <col min="4629" max="4630" width="12.44140625" style="8" customWidth="1"/>
    <col min="4631" max="4864" width="10" style="8"/>
    <col min="4865" max="4865" width="8.88671875" style="8" customWidth="1"/>
    <col min="4866" max="4867" width="11.77734375" style="8" customWidth="1"/>
    <col min="4868" max="4869" width="8.44140625" style="8" customWidth="1"/>
    <col min="4870" max="4870" width="12.88671875" style="8" customWidth="1"/>
    <col min="4871" max="4871" width="10" style="8"/>
    <col min="4872" max="4872" width="7.33203125" style="8" customWidth="1"/>
    <col min="4873" max="4878" width="11.21875" style="8" customWidth="1"/>
    <col min="4879" max="4883" width="10" style="8"/>
    <col min="4884" max="4884" width="15.77734375" style="8" customWidth="1"/>
    <col min="4885" max="4886" width="12.44140625" style="8" customWidth="1"/>
    <col min="4887" max="5120" width="10" style="8"/>
    <col min="5121" max="5121" width="8.88671875" style="8" customWidth="1"/>
    <col min="5122" max="5123" width="11.77734375" style="8" customWidth="1"/>
    <col min="5124" max="5125" width="8.44140625" style="8" customWidth="1"/>
    <col min="5126" max="5126" width="12.88671875" style="8" customWidth="1"/>
    <col min="5127" max="5127" width="10" style="8"/>
    <col min="5128" max="5128" width="7.33203125" style="8" customWidth="1"/>
    <col min="5129" max="5134" width="11.21875" style="8" customWidth="1"/>
    <col min="5135" max="5139" width="10" style="8"/>
    <col min="5140" max="5140" width="15.77734375" style="8" customWidth="1"/>
    <col min="5141" max="5142" width="12.44140625" style="8" customWidth="1"/>
    <col min="5143" max="5376" width="10" style="8"/>
    <col min="5377" max="5377" width="8.88671875" style="8" customWidth="1"/>
    <col min="5378" max="5379" width="11.77734375" style="8" customWidth="1"/>
    <col min="5380" max="5381" width="8.44140625" style="8" customWidth="1"/>
    <col min="5382" max="5382" width="12.88671875" style="8" customWidth="1"/>
    <col min="5383" max="5383" width="10" style="8"/>
    <col min="5384" max="5384" width="7.33203125" style="8" customWidth="1"/>
    <col min="5385" max="5390" width="11.21875" style="8" customWidth="1"/>
    <col min="5391" max="5395" width="10" style="8"/>
    <col min="5396" max="5396" width="15.77734375" style="8" customWidth="1"/>
    <col min="5397" max="5398" width="12.44140625" style="8" customWidth="1"/>
    <col min="5399" max="5632" width="10" style="8"/>
    <col min="5633" max="5633" width="8.88671875" style="8" customWidth="1"/>
    <col min="5634" max="5635" width="11.77734375" style="8" customWidth="1"/>
    <col min="5636" max="5637" width="8.44140625" style="8" customWidth="1"/>
    <col min="5638" max="5638" width="12.88671875" style="8" customWidth="1"/>
    <col min="5639" max="5639" width="10" style="8"/>
    <col min="5640" max="5640" width="7.33203125" style="8" customWidth="1"/>
    <col min="5641" max="5646" width="11.21875" style="8" customWidth="1"/>
    <col min="5647" max="5651" width="10" style="8"/>
    <col min="5652" max="5652" width="15.77734375" style="8" customWidth="1"/>
    <col min="5653" max="5654" width="12.44140625" style="8" customWidth="1"/>
    <col min="5655" max="5888" width="10" style="8"/>
    <col min="5889" max="5889" width="8.88671875" style="8" customWidth="1"/>
    <col min="5890" max="5891" width="11.77734375" style="8" customWidth="1"/>
    <col min="5892" max="5893" width="8.44140625" style="8" customWidth="1"/>
    <col min="5894" max="5894" width="12.88671875" style="8" customWidth="1"/>
    <col min="5895" max="5895" width="10" style="8"/>
    <col min="5896" max="5896" width="7.33203125" style="8" customWidth="1"/>
    <col min="5897" max="5902" width="11.21875" style="8" customWidth="1"/>
    <col min="5903" max="5907" width="10" style="8"/>
    <col min="5908" max="5908" width="15.77734375" style="8" customWidth="1"/>
    <col min="5909" max="5910" width="12.44140625" style="8" customWidth="1"/>
    <col min="5911" max="6144" width="10" style="8"/>
    <col min="6145" max="6145" width="8.88671875" style="8" customWidth="1"/>
    <col min="6146" max="6147" width="11.77734375" style="8" customWidth="1"/>
    <col min="6148" max="6149" width="8.44140625" style="8" customWidth="1"/>
    <col min="6150" max="6150" width="12.88671875" style="8" customWidth="1"/>
    <col min="6151" max="6151" width="10" style="8"/>
    <col min="6152" max="6152" width="7.33203125" style="8" customWidth="1"/>
    <col min="6153" max="6158" width="11.21875" style="8" customWidth="1"/>
    <col min="6159" max="6163" width="10" style="8"/>
    <col min="6164" max="6164" width="15.77734375" style="8" customWidth="1"/>
    <col min="6165" max="6166" width="12.44140625" style="8" customWidth="1"/>
    <col min="6167" max="6400" width="10" style="8"/>
    <col min="6401" max="6401" width="8.88671875" style="8" customWidth="1"/>
    <col min="6402" max="6403" width="11.77734375" style="8" customWidth="1"/>
    <col min="6404" max="6405" width="8.44140625" style="8" customWidth="1"/>
    <col min="6406" max="6406" width="12.88671875" style="8" customWidth="1"/>
    <col min="6407" max="6407" width="10" style="8"/>
    <col min="6408" max="6408" width="7.33203125" style="8" customWidth="1"/>
    <col min="6409" max="6414" width="11.21875" style="8" customWidth="1"/>
    <col min="6415" max="6419" width="10" style="8"/>
    <col min="6420" max="6420" width="15.77734375" style="8" customWidth="1"/>
    <col min="6421" max="6422" width="12.44140625" style="8" customWidth="1"/>
    <col min="6423" max="6656" width="10" style="8"/>
    <col min="6657" max="6657" width="8.88671875" style="8" customWidth="1"/>
    <col min="6658" max="6659" width="11.77734375" style="8" customWidth="1"/>
    <col min="6660" max="6661" width="8.44140625" style="8" customWidth="1"/>
    <col min="6662" max="6662" width="12.88671875" style="8" customWidth="1"/>
    <col min="6663" max="6663" width="10" style="8"/>
    <col min="6664" max="6664" width="7.33203125" style="8" customWidth="1"/>
    <col min="6665" max="6670" width="11.21875" style="8" customWidth="1"/>
    <col min="6671" max="6675" width="10" style="8"/>
    <col min="6676" max="6676" width="15.77734375" style="8" customWidth="1"/>
    <col min="6677" max="6678" width="12.44140625" style="8" customWidth="1"/>
    <col min="6679" max="6912" width="10" style="8"/>
    <col min="6913" max="6913" width="8.88671875" style="8" customWidth="1"/>
    <col min="6914" max="6915" width="11.77734375" style="8" customWidth="1"/>
    <col min="6916" max="6917" width="8.44140625" style="8" customWidth="1"/>
    <col min="6918" max="6918" width="12.88671875" style="8" customWidth="1"/>
    <col min="6919" max="6919" width="10" style="8"/>
    <col min="6920" max="6920" width="7.33203125" style="8" customWidth="1"/>
    <col min="6921" max="6926" width="11.21875" style="8" customWidth="1"/>
    <col min="6927" max="6931" width="10" style="8"/>
    <col min="6932" max="6932" width="15.77734375" style="8" customWidth="1"/>
    <col min="6933" max="6934" width="12.44140625" style="8" customWidth="1"/>
    <col min="6935" max="7168" width="10" style="8"/>
    <col min="7169" max="7169" width="8.88671875" style="8" customWidth="1"/>
    <col min="7170" max="7171" width="11.77734375" style="8" customWidth="1"/>
    <col min="7172" max="7173" width="8.44140625" style="8" customWidth="1"/>
    <col min="7174" max="7174" width="12.88671875" style="8" customWidth="1"/>
    <col min="7175" max="7175" width="10" style="8"/>
    <col min="7176" max="7176" width="7.33203125" style="8" customWidth="1"/>
    <col min="7177" max="7182" width="11.21875" style="8" customWidth="1"/>
    <col min="7183" max="7187" width="10" style="8"/>
    <col min="7188" max="7188" width="15.77734375" style="8" customWidth="1"/>
    <col min="7189" max="7190" width="12.44140625" style="8" customWidth="1"/>
    <col min="7191" max="7424" width="10" style="8"/>
    <col min="7425" max="7425" width="8.88671875" style="8" customWidth="1"/>
    <col min="7426" max="7427" width="11.77734375" style="8" customWidth="1"/>
    <col min="7428" max="7429" width="8.44140625" style="8" customWidth="1"/>
    <col min="7430" max="7430" width="12.88671875" style="8" customWidth="1"/>
    <col min="7431" max="7431" width="10" style="8"/>
    <col min="7432" max="7432" width="7.33203125" style="8" customWidth="1"/>
    <col min="7433" max="7438" width="11.21875" style="8" customWidth="1"/>
    <col min="7439" max="7443" width="10" style="8"/>
    <col min="7444" max="7444" width="15.77734375" style="8" customWidth="1"/>
    <col min="7445" max="7446" width="12.44140625" style="8" customWidth="1"/>
    <col min="7447" max="7680" width="10" style="8"/>
    <col min="7681" max="7681" width="8.88671875" style="8" customWidth="1"/>
    <col min="7682" max="7683" width="11.77734375" style="8" customWidth="1"/>
    <col min="7684" max="7685" width="8.44140625" style="8" customWidth="1"/>
    <col min="7686" max="7686" width="12.88671875" style="8" customWidth="1"/>
    <col min="7687" max="7687" width="10" style="8"/>
    <col min="7688" max="7688" width="7.33203125" style="8" customWidth="1"/>
    <col min="7689" max="7694" width="11.21875" style="8" customWidth="1"/>
    <col min="7695" max="7699" width="10" style="8"/>
    <col min="7700" max="7700" width="15.77734375" style="8" customWidth="1"/>
    <col min="7701" max="7702" width="12.44140625" style="8" customWidth="1"/>
    <col min="7703" max="7936" width="10" style="8"/>
    <col min="7937" max="7937" width="8.88671875" style="8" customWidth="1"/>
    <col min="7938" max="7939" width="11.77734375" style="8" customWidth="1"/>
    <col min="7940" max="7941" width="8.44140625" style="8" customWidth="1"/>
    <col min="7942" max="7942" width="12.88671875" style="8" customWidth="1"/>
    <col min="7943" max="7943" width="10" style="8"/>
    <col min="7944" max="7944" width="7.33203125" style="8" customWidth="1"/>
    <col min="7945" max="7950" width="11.21875" style="8" customWidth="1"/>
    <col min="7951" max="7955" width="10" style="8"/>
    <col min="7956" max="7956" width="15.77734375" style="8" customWidth="1"/>
    <col min="7957" max="7958" width="12.44140625" style="8" customWidth="1"/>
    <col min="7959" max="8192" width="10" style="8"/>
    <col min="8193" max="8193" width="8.88671875" style="8" customWidth="1"/>
    <col min="8194" max="8195" width="11.77734375" style="8" customWidth="1"/>
    <col min="8196" max="8197" width="8.44140625" style="8" customWidth="1"/>
    <col min="8198" max="8198" width="12.88671875" style="8" customWidth="1"/>
    <col min="8199" max="8199" width="10" style="8"/>
    <col min="8200" max="8200" width="7.33203125" style="8" customWidth="1"/>
    <col min="8201" max="8206" width="11.21875" style="8" customWidth="1"/>
    <col min="8207" max="8211" width="10" style="8"/>
    <col min="8212" max="8212" width="15.77734375" style="8" customWidth="1"/>
    <col min="8213" max="8214" width="12.44140625" style="8" customWidth="1"/>
    <col min="8215" max="8448" width="10" style="8"/>
    <col min="8449" max="8449" width="8.88671875" style="8" customWidth="1"/>
    <col min="8450" max="8451" width="11.77734375" style="8" customWidth="1"/>
    <col min="8452" max="8453" width="8.44140625" style="8" customWidth="1"/>
    <col min="8454" max="8454" width="12.88671875" style="8" customWidth="1"/>
    <col min="8455" max="8455" width="10" style="8"/>
    <col min="8456" max="8456" width="7.33203125" style="8" customWidth="1"/>
    <col min="8457" max="8462" width="11.21875" style="8" customWidth="1"/>
    <col min="8463" max="8467" width="10" style="8"/>
    <col min="8468" max="8468" width="15.77734375" style="8" customWidth="1"/>
    <col min="8469" max="8470" width="12.44140625" style="8" customWidth="1"/>
    <col min="8471" max="8704" width="10" style="8"/>
    <col min="8705" max="8705" width="8.88671875" style="8" customWidth="1"/>
    <col min="8706" max="8707" width="11.77734375" style="8" customWidth="1"/>
    <col min="8708" max="8709" width="8.44140625" style="8" customWidth="1"/>
    <col min="8710" max="8710" width="12.88671875" style="8" customWidth="1"/>
    <col min="8711" max="8711" width="10" style="8"/>
    <col min="8712" max="8712" width="7.33203125" style="8" customWidth="1"/>
    <col min="8713" max="8718" width="11.21875" style="8" customWidth="1"/>
    <col min="8719" max="8723" width="10" style="8"/>
    <col min="8724" max="8724" width="15.77734375" style="8" customWidth="1"/>
    <col min="8725" max="8726" width="12.44140625" style="8" customWidth="1"/>
    <col min="8727" max="8960" width="10" style="8"/>
    <col min="8961" max="8961" width="8.88671875" style="8" customWidth="1"/>
    <col min="8962" max="8963" width="11.77734375" style="8" customWidth="1"/>
    <col min="8964" max="8965" width="8.44140625" style="8" customWidth="1"/>
    <col min="8966" max="8966" width="12.88671875" style="8" customWidth="1"/>
    <col min="8967" max="8967" width="10" style="8"/>
    <col min="8968" max="8968" width="7.33203125" style="8" customWidth="1"/>
    <col min="8969" max="8974" width="11.21875" style="8" customWidth="1"/>
    <col min="8975" max="8979" width="10" style="8"/>
    <col min="8980" max="8980" width="15.77734375" style="8" customWidth="1"/>
    <col min="8981" max="8982" width="12.44140625" style="8" customWidth="1"/>
    <col min="8983" max="9216" width="10" style="8"/>
    <col min="9217" max="9217" width="8.88671875" style="8" customWidth="1"/>
    <col min="9218" max="9219" width="11.77734375" style="8" customWidth="1"/>
    <col min="9220" max="9221" width="8.44140625" style="8" customWidth="1"/>
    <col min="9222" max="9222" width="12.88671875" style="8" customWidth="1"/>
    <col min="9223" max="9223" width="10" style="8"/>
    <col min="9224" max="9224" width="7.33203125" style="8" customWidth="1"/>
    <col min="9225" max="9230" width="11.21875" style="8" customWidth="1"/>
    <col min="9231" max="9235" width="10" style="8"/>
    <col min="9236" max="9236" width="15.77734375" style="8" customWidth="1"/>
    <col min="9237" max="9238" width="12.44140625" style="8" customWidth="1"/>
    <col min="9239" max="9472" width="10" style="8"/>
    <col min="9473" max="9473" width="8.88671875" style="8" customWidth="1"/>
    <col min="9474" max="9475" width="11.77734375" style="8" customWidth="1"/>
    <col min="9476" max="9477" width="8.44140625" style="8" customWidth="1"/>
    <col min="9478" max="9478" width="12.88671875" style="8" customWidth="1"/>
    <col min="9479" max="9479" width="10" style="8"/>
    <col min="9480" max="9480" width="7.33203125" style="8" customWidth="1"/>
    <col min="9481" max="9486" width="11.21875" style="8" customWidth="1"/>
    <col min="9487" max="9491" width="10" style="8"/>
    <col min="9492" max="9492" width="15.77734375" style="8" customWidth="1"/>
    <col min="9493" max="9494" width="12.44140625" style="8" customWidth="1"/>
    <col min="9495" max="9728" width="10" style="8"/>
    <col min="9729" max="9729" width="8.88671875" style="8" customWidth="1"/>
    <col min="9730" max="9731" width="11.77734375" style="8" customWidth="1"/>
    <col min="9732" max="9733" width="8.44140625" style="8" customWidth="1"/>
    <col min="9734" max="9734" width="12.88671875" style="8" customWidth="1"/>
    <col min="9735" max="9735" width="10" style="8"/>
    <col min="9736" max="9736" width="7.33203125" style="8" customWidth="1"/>
    <col min="9737" max="9742" width="11.21875" style="8" customWidth="1"/>
    <col min="9743" max="9747" width="10" style="8"/>
    <col min="9748" max="9748" width="15.77734375" style="8" customWidth="1"/>
    <col min="9749" max="9750" width="12.44140625" style="8" customWidth="1"/>
    <col min="9751" max="9984" width="10" style="8"/>
    <col min="9985" max="9985" width="8.88671875" style="8" customWidth="1"/>
    <col min="9986" max="9987" width="11.77734375" style="8" customWidth="1"/>
    <col min="9988" max="9989" width="8.44140625" style="8" customWidth="1"/>
    <col min="9990" max="9990" width="12.88671875" style="8" customWidth="1"/>
    <col min="9991" max="9991" width="10" style="8"/>
    <col min="9992" max="9992" width="7.33203125" style="8" customWidth="1"/>
    <col min="9993" max="9998" width="11.21875" style="8" customWidth="1"/>
    <col min="9999" max="10003" width="10" style="8"/>
    <col min="10004" max="10004" width="15.77734375" style="8" customWidth="1"/>
    <col min="10005" max="10006" width="12.44140625" style="8" customWidth="1"/>
    <col min="10007" max="10240" width="10" style="8"/>
    <col min="10241" max="10241" width="8.88671875" style="8" customWidth="1"/>
    <col min="10242" max="10243" width="11.77734375" style="8" customWidth="1"/>
    <col min="10244" max="10245" width="8.44140625" style="8" customWidth="1"/>
    <col min="10246" max="10246" width="12.88671875" style="8" customWidth="1"/>
    <col min="10247" max="10247" width="10" style="8"/>
    <col min="10248" max="10248" width="7.33203125" style="8" customWidth="1"/>
    <col min="10249" max="10254" width="11.21875" style="8" customWidth="1"/>
    <col min="10255" max="10259" width="10" style="8"/>
    <col min="10260" max="10260" width="15.77734375" style="8" customWidth="1"/>
    <col min="10261" max="10262" width="12.44140625" style="8" customWidth="1"/>
    <col min="10263" max="10496" width="10" style="8"/>
    <col min="10497" max="10497" width="8.88671875" style="8" customWidth="1"/>
    <col min="10498" max="10499" width="11.77734375" style="8" customWidth="1"/>
    <col min="10500" max="10501" width="8.44140625" style="8" customWidth="1"/>
    <col min="10502" max="10502" width="12.88671875" style="8" customWidth="1"/>
    <col min="10503" max="10503" width="10" style="8"/>
    <col min="10504" max="10504" width="7.33203125" style="8" customWidth="1"/>
    <col min="10505" max="10510" width="11.21875" style="8" customWidth="1"/>
    <col min="10511" max="10515" width="10" style="8"/>
    <col min="10516" max="10516" width="15.77734375" style="8" customWidth="1"/>
    <col min="10517" max="10518" width="12.44140625" style="8" customWidth="1"/>
    <col min="10519" max="10752" width="10" style="8"/>
    <col min="10753" max="10753" width="8.88671875" style="8" customWidth="1"/>
    <col min="10754" max="10755" width="11.77734375" style="8" customWidth="1"/>
    <col min="10756" max="10757" width="8.44140625" style="8" customWidth="1"/>
    <col min="10758" max="10758" width="12.88671875" style="8" customWidth="1"/>
    <col min="10759" max="10759" width="10" style="8"/>
    <col min="10760" max="10760" width="7.33203125" style="8" customWidth="1"/>
    <col min="10761" max="10766" width="11.21875" style="8" customWidth="1"/>
    <col min="10767" max="10771" width="10" style="8"/>
    <col min="10772" max="10772" width="15.77734375" style="8" customWidth="1"/>
    <col min="10773" max="10774" width="12.44140625" style="8" customWidth="1"/>
    <col min="10775" max="11008" width="10" style="8"/>
    <col min="11009" max="11009" width="8.88671875" style="8" customWidth="1"/>
    <col min="11010" max="11011" width="11.77734375" style="8" customWidth="1"/>
    <col min="11012" max="11013" width="8.44140625" style="8" customWidth="1"/>
    <col min="11014" max="11014" width="12.88671875" style="8" customWidth="1"/>
    <col min="11015" max="11015" width="10" style="8"/>
    <col min="11016" max="11016" width="7.33203125" style="8" customWidth="1"/>
    <col min="11017" max="11022" width="11.21875" style="8" customWidth="1"/>
    <col min="11023" max="11027" width="10" style="8"/>
    <col min="11028" max="11028" width="15.77734375" style="8" customWidth="1"/>
    <col min="11029" max="11030" width="12.44140625" style="8" customWidth="1"/>
    <col min="11031" max="11264" width="10" style="8"/>
    <col min="11265" max="11265" width="8.88671875" style="8" customWidth="1"/>
    <col min="11266" max="11267" width="11.77734375" style="8" customWidth="1"/>
    <col min="11268" max="11269" width="8.44140625" style="8" customWidth="1"/>
    <col min="11270" max="11270" width="12.88671875" style="8" customWidth="1"/>
    <col min="11271" max="11271" width="10" style="8"/>
    <col min="11272" max="11272" width="7.33203125" style="8" customWidth="1"/>
    <col min="11273" max="11278" width="11.21875" style="8" customWidth="1"/>
    <col min="11279" max="11283" width="10" style="8"/>
    <col min="11284" max="11284" width="15.77734375" style="8" customWidth="1"/>
    <col min="11285" max="11286" width="12.44140625" style="8" customWidth="1"/>
    <col min="11287" max="11520" width="10" style="8"/>
    <col min="11521" max="11521" width="8.88671875" style="8" customWidth="1"/>
    <col min="11522" max="11523" width="11.77734375" style="8" customWidth="1"/>
    <col min="11524" max="11525" width="8.44140625" style="8" customWidth="1"/>
    <col min="11526" max="11526" width="12.88671875" style="8" customWidth="1"/>
    <col min="11527" max="11527" width="10" style="8"/>
    <col min="11528" max="11528" width="7.33203125" style="8" customWidth="1"/>
    <col min="11529" max="11534" width="11.21875" style="8" customWidth="1"/>
    <col min="11535" max="11539" width="10" style="8"/>
    <col min="11540" max="11540" width="15.77734375" style="8" customWidth="1"/>
    <col min="11541" max="11542" width="12.44140625" style="8" customWidth="1"/>
    <col min="11543" max="11776" width="10" style="8"/>
    <col min="11777" max="11777" width="8.88671875" style="8" customWidth="1"/>
    <col min="11778" max="11779" width="11.77734375" style="8" customWidth="1"/>
    <col min="11780" max="11781" width="8.44140625" style="8" customWidth="1"/>
    <col min="11782" max="11782" width="12.88671875" style="8" customWidth="1"/>
    <col min="11783" max="11783" width="10" style="8"/>
    <col min="11784" max="11784" width="7.33203125" style="8" customWidth="1"/>
    <col min="11785" max="11790" width="11.21875" style="8" customWidth="1"/>
    <col min="11791" max="11795" width="10" style="8"/>
    <col min="11796" max="11796" width="15.77734375" style="8" customWidth="1"/>
    <col min="11797" max="11798" width="12.44140625" style="8" customWidth="1"/>
    <col min="11799" max="12032" width="10" style="8"/>
    <col min="12033" max="12033" width="8.88671875" style="8" customWidth="1"/>
    <col min="12034" max="12035" width="11.77734375" style="8" customWidth="1"/>
    <col min="12036" max="12037" width="8.44140625" style="8" customWidth="1"/>
    <col min="12038" max="12038" width="12.88671875" style="8" customWidth="1"/>
    <col min="12039" max="12039" width="10" style="8"/>
    <col min="12040" max="12040" width="7.33203125" style="8" customWidth="1"/>
    <col min="12041" max="12046" width="11.21875" style="8" customWidth="1"/>
    <col min="12047" max="12051" width="10" style="8"/>
    <col min="12052" max="12052" width="15.77734375" style="8" customWidth="1"/>
    <col min="12053" max="12054" width="12.44140625" style="8" customWidth="1"/>
    <col min="12055" max="12288" width="10" style="8"/>
    <col min="12289" max="12289" width="8.88671875" style="8" customWidth="1"/>
    <col min="12290" max="12291" width="11.77734375" style="8" customWidth="1"/>
    <col min="12292" max="12293" width="8.44140625" style="8" customWidth="1"/>
    <col min="12294" max="12294" width="12.88671875" style="8" customWidth="1"/>
    <col min="12295" max="12295" width="10" style="8"/>
    <col min="12296" max="12296" width="7.33203125" style="8" customWidth="1"/>
    <col min="12297" max="12302" width="11.21875" style="8" customWidth="1"/>
    <col min="12303" max="12307" width="10" style="8"/>
    <col min="12308" max="12308" width="15.77734375" style="8" customWidth="1"/>
    <col min="12309" max="12310" width="12.44140625" style="8" customWidth="1"/>
    <col min="12311" max="12544" width="10" style="8"/>
    <col min="12545" max="12545" width="8.88671875" style="8" customWidth="1"/>
    <col min="12546" max="12547" width="11.77734375" style="8" customWidth="1"/>
    <col min="12548" max="12549" width="8.44140625" style="8" customWidth="1"/>
    <col min="12550" max="12550" width="12.88671875" style="8" customWidth="1"/>
    <col min="12551" max="12551" width="10" style="8"/>
    <col min="12552" max="12552" width="7.33203125" style="8" customWidth="1"/>
    <col min="12553" max="12558" width="11.21875" style="8" customWidth="1"/>
    <col min="12559" max="12563" width="10" style="8"/>
    <col min="12564" max="12564" width="15.77734375" style="8" customWidth="1"/>
    <col min="12565" max="12566" width="12.44140625" style="8" customWidth="1"/>
    <col min="12567" max="12800" width="10" style="8"/>
    <col min="12801" max="12801" width="8.88671875" style="8" customWidth="1"/>
    <col min="12802" max="12803" width="11.77734375" style="8" customWidth="1"/>
    <col min="12804" max="12805" width="8.44140625" style="8" customWidth="1"/>
    <col min="12806" max="12806" width="12.88671875" style="8" customWidth="1"/>
    <col min="12807" max="12807" width="10" style="8"/>
    <col min="12808" max="12808" width="7.33203125" style="8" customWidth="1"/>
    <col min="12809" max="12814" width="11.21875" style="8" customWidth="1"/>
    <col min="12815" max="12819" width="10" style="8"/>
    <col min="12820" max="12820" width="15.77734375" style="8" customWidth="1"/>
    <col min="12821" max="12822" width="12.44140625" style="8" customWidth="1"/>
    <col min="12823" max="13056" width="10" style="8"/>
    <col min="13057" max="13057" width="8.88671875" style="8" customWidth="1"/>
    <col min="13058" max="13059" width="11.77734375" style="8" customWidth="1"/>
    <col min="13060" max="13061" width="8.44140625" style="8" customWidth="1"/>
    <col min="13062" max="13062" width="12.88671875" style="8" customWidth="1"/>
    <col min="13063" max="13063" width="10" style="8"/>
    <col min="13064" max="13064" width="7.33203125" style="8" customWidth="1"/>
    <col min="13065" max="13070" width="11.21875" style="8" customWidth="1"/>
    <col min="13071" max="13075" width="10" style="8"/>
    <col min="13076" max="13076" width="15.77734375" style="8" customWidth="1"/>
    <col min="13077" max="13078" width="12.44140625" style="8" customWidth="1"/>
    <col min="13079" max="13312" width="10" style="8"/>
    <col min="13313" max="13313" width="8.88671875" style="8" customWidth="1"/>
    <col min="13314" max="13315" width="11.77734375" style="8" customWidth="1"/>
    <col min="13316" max="13317" width="8.44140625" style="8" customWidth="1"/>
    <col min="13318" max="13318" width="12.88671875" style="8" customWidth="1"/>
    <col min="13319" max="13319" width="10" style="8"/>
    <col min="13320" max="13320" width="7.33203125" style="8" customWidth="1"/>
    <col min="13321" max="13326" width="11.21875" style="8" customWidth="1"/>
    <col min="13327" max="13331" width="10" style="8"/>
    <col min="13332" max="13332" width="15.77734375" style="8" customWidth="1"/>
    <col min="13333" max="13334" width="12.44140625" style="8" customWidth="1"/>
    <col min="13335" max="13568" width="10" style="8"/>
    <col min="13569" max="13569" width="8.88671875" style="8" customWidth="1"/>
    <col min="13570" max="13571" width="11.77734375" style="8" customWidth="1"/>
    <col min="13572" max="13573" width="8.44140625" style="8" customWidth="1"/>
    <col min="13574" max="13574" width="12.88671875" style="8" customWidth="1"/>
    <col min="13575" max="13575" width="10" style="8"/>
    <col min="13576" max="13576" width="7.33203125" style="8" customWidth="1"/>
    <col min="13577" max="13582" width="11.21875" style="8" customWidth="1"/>
    <col min="13583" max="13587" width="10" style="8"/>
    <col min="13588" max="13588" width="15.77734375" style="8" customWidth="1"/>
    <col min="13589" max="13590" width="12.44140625" style="8" customWidth="1"/>
    <col min="13591" max="13824" width="10" style="8"/>
    <col min="13825" max="13825" width="8.88671875" style="8" customWidth="1"/>
    <col min="13826" max="13827" width="11.77734375" style="8" customWidth="1"/>
    <col min="13828" max="13829" width="8.44140625" style="8" customWidth="1"/>
    <col min="13830" max="13830" width="12.88671875" style="8" customWidth="1"/>
    <col min="13831" max="13831" width="10" style="8"/>
    <col min="13832" max="13832" width="7.33203125" style="8" customWidth="1"/>
    <col min="13833" max="13838" width="11.21875" style="8" customWidth="1"/>
    <col min="13839" max="13843" width="10" style="8"/>
    <col min="13844" max="13844" width="15.77734375" style="8" customWidth="1"/>
    <col min="13845" max="13846" width="12.44140625" style="8" customWidth="1"/>
    <col min="13847" max="14080" width="10" style="8"/>
    <col min="14081" max="14081" width="8.88671875" style="8" customWidth="1"/>
    <col min="14082" max="14083" width="11.77734375" style="8" customWidth="1"/>
    <col min="14084" max="14085" width="8.44140625" style="8" customWidth="1"/>
    <col min="14086" max="14086" width="12.88671875" style="8" customWidth="1"/>
    <col min="14087" max="14087" width="10" style="8"/>
    <col min="14088" max="14088" width="7.33203125" style="8" customWidth="1"/>
    <col min="14089" max="14094" width="11.21875" style="8" customWidth="1"/>
    <col min="14095" max="14099" width="10" style="8"/>
    <col min="14100" max="14100" width="15.77734375" style="8" customWidth="1"/>
    <col min="14101" max="14102" width="12.44140625" style="8" customWidth="1"/>
    <col min="14103" max="14336" width="10" style="8"/>
    <col min="14337" max="14337" width="8.88671875" style="8" customWidth="1"/>
    <col min="14338" max="14339" width="11.77734375" style="8" customWidth="1"/>
    <col min="14340" max="14341" width="8.44140625" style="8" customWidth="1"/>
    <col min="14342" max="14342" width="12.88671875" style="8" customWidth="1"/>
    <col min="14343" max="14343" width="10" style="8"/>
    <col min="14344" max="14344" width="7.33203125" style="8" customWidth="1"/>
    <col min="14345" max="14350" width="11.21875" style="8" customWidth="1"/>
    <col min="14351" max="14355" width="10" style="8"/>
    <col min="14356" max="14356" width="15.77734375" style="8" customWidth="1"/>
    <col min="14357" max="14358" width="12.44140625" style="8" customWidth="1"/>
    <col min="14359" max="14592" width="10" style="8"/>
    <col min="14593" max="14593" width="8.88671875" style="8" customWidth="1"/>
    <col min="14594" max="14595" width="11.77734375" style="8" customWidth="1"/>
    <col min="14596" max="14597" width="8.44140625" style="8" customWidth="1"/>
    <col min="14598" max="14598" width="12.88671875" style="8" customWidth="1"/>
    <col min="14599" max="14599" width="10" style="8"/>
    <col min="14600" max="14600" width="7.33203125" style="8" customWidth="1"/>
    <col min="14601" max="14606" width="11.21875" style="8" customWidth="1"/>
    <col min="14607" max="14611" width="10" style="8"/>
    <col min="14612" max="14612" width="15.77734375" style="8" customWidth="1"/>
    <col min="14613" max="14614" width="12.44140625" style="8" customWidth="1"/>
    <col min="14615" max="14848" width="10" style="8"/>
    <col min="14849" max="14849" width="8.88671875" style="8" customWidth="1"/>
    <col min="14850" max="14851" width="11.77734375" style="8" customWidth="1"/>
    <col min="14852" max="14853" width="8.44140625" style="8" customWidth="1"/>
    <col min="14854" max="14854" width="12.88671875" style="8" customWidth="1"/>
    <col min="14855" max="14855" width="10" style="8"/>
    <col min="14856" max="14856" width="7.33203125" style="8" customWidth="1"/>
    <col min="14857" max="14862" width="11.21875" style="8" customWidth="1"/>
    <col min="14863" max="14867" width="10" style="8"/>
    <col min="14868" max="14868" width="15.77734375" style="8" customWidth="1"/>
    <col min="14869" max="14870" width="12.44140625" style="8" customWidth="1"/>
    <col min="14871" max="15104" width="10" style="8"/>
    <col min="15105" max="15105" width="8.88671875" style="8" customWidth="1"/>
    <col min="15106" max="15107" width="11.77734375" style="8" customWidth="1"/>
    <col min="15108" max="15109" width="8.44140625" style="8" customWidth="1"/>
    <col min="15110" max="15110" width="12.88671875" style="8" customWidth="1"/>
    <col min="15111" max="15111" width="10" style="8"/>
    <col min="15112" max="15112" width="7.33203125" style="8" customWidth="1"/>
    <col min="15113" max="15118" width="11.21875" style="8" customWidth="1"/>
    <col min="15119" max="15123" width="10" style="8"/>
    <col min="15124" max="15124" width="15.77734375" style="8" customWidth="1"/>
    <col min="15125" max="15126" width="12.44140625" style="8" customWidth="1"/>
    <col min="15127" max="15360" width="10" style="8"/>
    <col min="15361" max="15361" width="8.88671875" style="8" customWidth="1"/>
    <col min="15362" max="15363" width="11.77734375" style="8" customWidth="1"/>
    <col min="15364" max="15365" width="8.44140625" style="8" customWidth="1"/>
    <col min="15366" max="15366" width="12.88671875" style="8" customWidth="1"/>
    <col min="15367" max="15367" width="10" style="8"/>
    <col min="15368" max="15368" width="7.33203125" style="8" customWidth="1"/>
    <col min="15369" max="15374" width="11.21875" style="8" customWidth="1"/>
    <col min="15375" max="15379" width="10" style="8"/>
    <col min="15380" max="15380" width="15.77734375" style="8" customWidth="1"/>
    <col min="15381" max="15382" width="12.44140625" style="8" customWidth="1"/>
    <col min="15383" max="15616" width="10" style="8"/>
    <col min="15617" max="15617" width="8.88671875" style="8" customWidth="1"/>
    <col min="15618" max="15619" width="11.77734375" style="8" customWidth="1"/>
    <col min="15620" max="15621" width="8.44140625" style="8" customWidth="1"/>
    <col min="15622" max="15622" width="12.88671875" style="8" customWidth="1"/>
    <col min="15623" max="15623" width="10" style="8"/>
    <col min="15624" max="15624" width="7.33203125" style="8" customWidth="1"/>
    <col min="15625" max="15630" width="11.21875" style="8" customWidth="1"/>
    <col min="15631" max="15635" width="10" style="8"/>
    <col min="15636" max="15636" width="15.77734375" style="8" customWidth="1"/>
    <col min="15637" max="15638" width="12.44140625" style="8" customWidth="1"/>
    <col min="15639" max="15872" width="10" style="8"/>
    <col min="15873" max="15873" width="8.88671875" style="8" customWidth="1"/>
    <col min="15874" max="15875" width="11.77734375" style="8" customWidth="1"/>
    <col min="15876" max="15877" width="8.44140625" style="8" customWidth="1"/>
    <col min="15878" max="15878" width="12.88671875" style="8" customWidth="1"/>
    <col min="15879" max="15879" width="10" style="8"/>
    <col min="15880" max="15880" width="7.33203125" style="8" customWidth="1"/>
    <col min="15881" max="15886" width="11.21875" style="8" customWidth="1"/>
    <col min="15887" max="15891" width="10" style="8"/>
    <col min="15892" max="15892" width="15.77734375" style="8" customWidth="1"/>
    <col min="15893" max="15894" width="12.44140625" style="8" customWidth="1"/>
    <col min="15895" max="16128" width="10" style="8"/>
    <col min="16129" max="16129" width="8.88671875" style="8" customWidth="1"/>
    <col min="16130" max="16131" width="11.77734375" style="8" customWidth="1"/>
    <col min="16132" max="16133" width="8.44140625" style="8" customWidth="1"/>
    <col min="16134" max="16134" width="12.88671875" style="8" customWidth="1"/>
    <col min="16135" max="16135" width="10" style="8"/>
    <col min="16136" max="16136" width="7.33203125" style="8" customWidth="1"/>
    <col min="16137" max="16142" width="11.21875" style="8" customWidth="1"/>
    <col min="16143" max="16147" width="10" style="8"/>
    <col min="16148" max="16148" width="15.77734375" style="8" customWidth="1"/>
    <col min="16149" max="16150" width="12.44140625" style="8" customWidth="1"/>
    <col min="16151" max="16384" width="10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2"/>
      <c r="AI1" s="72"/>
      <c r="AJ1" s="72"/>
      <c r="AK1" s="72"/>
      <c r="AL1" s="72" t="s">
        <v>34</v>
      </c>
      <c r="AM1" s="72" t="s">
        <v>36</v>
      </c>
      <c r="AN1" s="72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39.75" customHeight="1" thickBot="1" x14ac:dyDescent="0.35">
      <c r="A2" s="10" t="s">
        <v>23</v>
      </c>
      <c r="B2" s="50" t="s">
        <v>34</v>
      </c>
      <c r="C2" s="51" t="s">
        <v>36</v>
      </c>
      <c r="D2" s="7"/>
      <c r="E2" s="12"/>
      <c r="F2" s="81" t="s">
        <v>24</v>
      </c>
      <c r="G2" s="88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"/>
      <c r="Z2" s="7"/>
      <c r="AA2" s="7"/>
      <c r="AB2" s="7"/>
      <c r="AC2" s="7"/>
      <c r="AD2" s="7"/>
      <c r="AE2" s="7"/>
      <c r="AF2" s="7"/>
      <c r="AG2" s="7"/>
      <c r="AH2" s="72">
        <v>-8250</v>
      </c>
      <c r="AI2" s="72"/>
      <c r="AJ2" s="72"/>
      <c r="AK2" s="72">
        <v>-8250</v>
      </c>
      <c r="AL2" s="72">
        <v>0</v>
      </c>
      <c r="AM2" s="72">
        <v>0</v>
      </c>
      <c r="AN2" s="72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52">
        <v>-1568.5665451650441</v>
      </c>
      <c r="C3" s="53">
        <v>1421.0631720152985</v>
      </c>
      <c r="E3" s="17"/>
      <c r="F3" s="18">
        <v>100000</v>
      </c>
      <c r="G3" s="19" t="s">
        <v>25</v>
      </c>
      <c r="AH3" s="72">
        <v>-8000</v>
      </c>
      <c r="AI3" s="72"/>
      <c r="AJ3" s="72"/>
      <c r="AK3" s="72">
        <v>-8250</v>
      </c>
      <c r="AL3" s="72">
        <v>1</v>
      </c>
      <c r="AM3" s="72">
        <v>0</v>
      </c>
      <c r="AN3" s="72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52">
        <v>-418.46239509309999</v>
      </c>
      <c r="C4" s="53">
        <v>1639.5845183892345</v>
      </c>
      <c r="E4" s="17"/>
      <c r="F4" s="20">
        <v>101.00000035017729</v>
      </c>
      <c r="G4" s="54" t="s">
        <v>35</v>
      </c>
      <c r="I4" s="89" t="s">
        <v>34</v>
      </c>
      <c r="J4" s="90"/>
      <c r="K4" s="91" t="s">
        <v>36</v>
      </c>
      <c r="L4" s="92"/>
      <c r="M4" s="86" t="s">
        <v>28</v>
      </c>
      <c r="N4" s="87"/>
      <c r="P4" s="73"/>
      <c r="AH4" s="72">
        <v>-7750</v>
      </c>
      <c r="AI4" s="72"/>
      <c r="AJ4" s="72"/>
      <c r="AK4" s="72">
        <v>-8000</v>
      </c>
      <c r="AL4" s="72">
        <v>1</v>
      </c>
      <c r="AM4" s="72">
        <v>0</v>
      </c>
      <c r="AN4" s="72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52">
        <v>215.13025971324416</v>
      </c>
      <c r="C5" s="53">
        <v>421.78252983135286</v>
      </c>
      <c r="E5" s="22"/>
      <c r="F5" s="23"/>
      <c r="G5" s="22"/>
      <c r="I5" s="55" t="s">
        <v>29</v>
      </c>
      <c r="J5" s="56">
        <v>195.7646677031334</v>
      </c>
      <c r="K5" s="57" t="s">
        <v>29</v>
      </c>
      <c r="L5" s="58">
        <v>1268.0079160816254</v>
      </c>
      <c r="M5" s="94">
        <f>(L5-J6)/J6</f>
        <v>-0.32677077425083317</v>
      </c>
      <c r="N5" s="59" t="s">
        <v>55</v>
      </c>
      <c r="P5" s="73"/>
      <c r="AH5" s="72">
        <v>-7500</v>
      </c>
      <c r="AI5" s="72"/>
      <c r="AJ5" s="72"/>
      <c r="AK5" s="72">
        <v>-8000</v>
      </c>
      <c r="AL5" s="72">
        <v>0</v>
      </c>
      <c r="AM5" s="72">
        <v>0</v>
      </c>
      <c r="AN5" s="72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52">
        <v>-1041.0833700579276</v>
      </c>
      <c r="C6" s="53">
        <v>474.75702591232601</v>
      </c>
      <c r="I6" s="55" t="s">
        <v>30</v>
      </c>
      <c r="J6" s="60">
        <v>1883.471286723465</v>
      </c>
      <c r="K6" s="57" t="s">
        <v>30</v>
      </c>
      <c r="L6" s="61">
        <v>735.06659784155408</v>
      </c>
      <c r="M6" s="62"/>
      <c r="N6" s="63"/>
      <c r="AH6" s="72">
        <v>-7250</v>
      </c>
      <c r="AI6" s="72"/>
      <c r="AJ6" s="72"/>
      <c r="AK6" s="72">
        <v>-7750</v>
      </c>
      <c r="AL6" s="72">
        <v>0</v>
      </c>
      <c r="AM6" s="72">
        <v>0</v>
      </c>
      <c r="AN6" s="72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52">
        <v>1742.2898851980669</v>
      </c>
      <c r="C7" s="53">
        <v>3362.4228916208212</v>
      </c>
      <c r="F7" s="64"/>
      <c r="I7" s="55" t="s">
        <v>31</v>
      </c>
      <c r="J7" s="56">
        <v>8494.4813661470344</v>
      </c>
      <c r="K7" s="57" t="s">
        <v>31</v>
      </c>
      <c r="L7" s="58">
        <v>5960.9808772117922</v>
      </c>
      <c r="M7" s="17"/>
      <c r="N7" s="32"/>
      <c r="AH7" s="72">
        <v>-7000</v>
      </c>
      <c r="AI7" s="72"/>
      <c r="AJ7" s="72"/>
      <c r="AK7" s="72">
        <v>-7750</v>
      </c>
      <c r="AL7" s="72">
        <v>1</v>
      </c>
      <c r="AM7" s="72">
        <v>0</v>
      </c>
      <c r="AN7" s="72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52">
        <v>2378.6893434867779</v>
      </c>
      <c r="C8" s="53">
        <v>814.81808605605693</v>
      </c>
      <c r="F8" s="64"/>
      <c r="I8" s="65" t="s">
        <v>32</v>
      </c>
      <c r="J8" s="66">
        <v>-8021.4172057094247</v>
      </c>
      <c r="K8" s="67" t="s">
        <v>32</v>
      </c>
      <c r="L8" s="68">
        <v>17.499269439399512</v>
      </c>
      <c r="M8" s="43"/>
      <c r="N8" s="44"/>
      <c r="AH8" s="72">
        <v>-6750</v>
      </c>
      <c r="AI8" s="72"/>
      <c r="AJ8" s="72"/>
      <c r="AK8" s="72">
        <v>-7500</v>
      </c>
      <c r="AL8" s="72">
        <v>1</v>
      </c>
      <c r="AM8" s="72">
        <v>0</v>
      </c>
      <c r="AN8" s="72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52">
        <v>-1341.8131910645379</v>
      </c>
      <c r="C9" s="53">
        <v>1673.2910539220945</v>
      </c>
      <c r="F9" s="64"/>
      <c r="I9" s="22"/>
      <c r="J9" s="45"/>
      <c r="K9" s="22"/>
      <c r="L9" s="22"/>
      <c r="M9" s="22"/>
      <c r="N9" s="22"/>
      <c r="AH9" s="72">
        <v>-6500</v>
      </c>
      <c r="AI9" s="72"/>
      <c r="AJ9" s="72"/>
      <c r="AK9" s="72">
        <v>-7500</v>
      </c>
      <c r="AL9" s="72">
        <v>1</v>
      </c>
      <c r="AM9" s="72">
        <v>0</v>
      </c>
      <c r="AN9" s="72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52">
        <v>668.95797407208556</v>
      </c>
      <c r="C10" s="53">
        <v>2842.4473803266537</v>
      </c>
      <c r="F10" s="64"/>
      <c r="I10" s="17"/>
      <c r="J10" s="45"/>
      <c r="K10" s="22"/>
      <c r="L10" s="22"/>
      <c r="M10" s="22"/>
      <c r="N10" s="22"/>
      <c r="P10" s="73"/>
      <c r="AH10" s="72">
        <v>-6250</v>
      </c>
      <c r="AI10" s="72"/>
      <c r="AJ10" s="72"/>
      <c r="AK10" s="72">
        <v>-7250</v>
      </c>
      <c r="AL10" s="72">
        <v>1</v>
      </c>
      <c r="AM10" s="72">
        <v>0</v>
      </c>
      <c r="AN10" s="72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52">
        <v>99.263610859640593</v>
      </c>
      <c r="C11" s="53">
        <v>527.92676189942119</v>
      </c>
      <c r="I11" s="22"/>
      <c r="J11" s="45"/>
      <c r="K11" s="22"/>
      <c r="L11" s="22"/>
      <c r="M11" s="22"/>
      <c r="N11" s="22"/>
      <c r="P11" s="73"/>
      <c r="AH11" s="72">
        <v>-6000</v>
      </c>
      <c r="AI11" s="72"/>
      <c r="AJ11" s="72"/>
      <c r="AK11" s="72">
        <v>-7250</v>
      </c>
      <c r="AL11" s="72">
        <v>3</v>
      </c>
      <c r="AM11" s="72">
        <v>0</v>
      </c>
      <c r="AN11" s="72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52">
        <v>112.90663773719622</v>
      </c>
      <c r="C12" s="53">
        <v>716.80891109655124</v>
      </c>
      <c r="I12" s="22"/>
      <c r="J12" s="22"/>
      <c r="K12" s="22"/>
      <c r="L12" s="22"/>
      <c r="M12" s="22"/>
      <c r="N12" s="22"/>
      <c r="P12" s="73"/>
      <c r="AH12" s="72">
        <v>-5750</v>
      </c>
      <c r="AI12" s="72"/>
      <c r="AJ12" s="72"/>
      <c r="AK12" s="72">
        <v>-7000</v>
      </c>
      <c r="AL12" s="72">
        <v>3</v>
      </c>
      <c r="AM12" s="72">
        <v>0</v>
      </c>
      <c r="AN12" s="72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52">
        <v>505.20912179452915</v>
      </c>
      <c r="C13" s="53">
        <v>716.27409728858379</v>
      </c>
      <c r="I13" s="22"/>
      <c r="J13" s="22"/>
      <c r="K13" s="22"/>
      <c r="L13" s="22"/>
      <c r="M13" s="22"/>
      <c r="N13" s="22"/>
      <c r="AH13" s="72">
        <v>-5500</v>
      </c>
      <c r="AI13" s="72"/>
      <c r="AJ13" s="72"/>
      <c r="AK13" s="72">
        <v>-7000</v>
      </c>
      <c r="AL13" s="72">
        <v>2</v>
      </c>
      <c r="AM13" s="72">
        <v>0</v>
      </c>
      <c r="AN13" s="72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52">
        <v>212.72392072763969</v>
      </c>
      <c r="C14" s="53">
        <v>411.95014389640909</v>
      </c>
      <c r="E14" s="74"/>
      <c r="I14" s="22"/>
      <c r="J14" s="22"/>
      <c r="K14" s="22"/>
      <c r="L14" s="22"/>
      <c r="M14" s="22"/>
      <c r="N14" s="22"/>
      <c r="AH14" s="72">
        <v>-5250</v>
      </c>
      <c r="AI14" s="72"/>
      <c r="AJ14" s="72"/>
      <c r="AK14" s="72">
        <v>-6750</v>
      </c>
      <c r="AL14" s="72">
        <v>2</v>
      </c>
      <c r="AM14" s="72">
        <v>0</v>
      </c>
      <c r="AN14" s="72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52">
        <v>-981.86568016424667</v>
      </c>
      <c r="C15" s="53">
        <v>279.44928587474777</v>
      </c>
      <c r="E15" s="74"/>
      <c r="I15" s="22"/>
      <c r="J15" s="22"/>
      <c r="K15" s="22"/>
      <c r="L15" s="22"/>
      <c r="M15" s="22"/>
      <c r="N15" s="22"/>
      <c r="AH15" s="72">
        <v>-5000</v>
      </c>
      <c r="AI15" s="72"/>
      <c r="AJ15" s="72"/>
      <c r="AK15" s="72">
        <v>-6750</v>
      </c>
      <c r="AL15" s="72">
        <v>6</v>
      </c>
      <c r="AM15" s="72">
        <v>0</v>
      </c>
      <c r="AN15" s="72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52">
        <v>648.92692839425536</v>
      </c>
      <c r="C16" s="53">
        <v>1371.2067622263767</v>
      </c>
      <c r="E16" s="74"/>
      <c r="I16" s="22"/>
      <c r="J16" s="22"/>
      <c r="K16" s="22"/>
      <c r="L16" s="22"/>
      <c r="M16" s="22"/>
      <c r="N16" s="22"/>
      <c r="AH16" s="72">
        <v>-4750</v>
      </c>
      <c r="AI16" s="72"/>
      <c r="AJ16" s="72"/>
      <c r="AK16" s="72">
        <v>-6500</v>
      </c>
      <c r="AL16" s="72">
        <v>6</v>
      </c>
      <c r="AM16" s="72">
        <v>0</v>
      </c>
      <c r="AN16" s="72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52">
        <v>-1211.023179749872</v>
      </c>
      <c r="C17" s="53">
        <v>1115.5626495963108</v>
      </c>
      <c r="I17" s="22"/>
      <c r="J17" s="22"/>
      <c r="K17" s="22"/>
      <c r="L17" s="22"/>
      <c r="M17" s="22"/>
      <c r="N17" s="22"/>
      <c r="AH17" s="72">
        <v>-4500</v>
      </c>
      <c r="AI17" s="72"/>
      <c r="AJ17" s="72"/>
      <c r="AK17" s="72">
        <v>-6500</v>
      </c>
      <c r="AL17" s="72">
        <v>12</v>
      </c>
      <c r="AM17" s="72">
        <v>0</v>
      </c>
      <c r="AN17" s="72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52">
        <v>-333.61532600013669</v>
      </c>
      <c r="C18" s="53">
        <v>581.73547471076517</v>
      </c>
      <c r="I18" s="22"/>
      <c r="J18" s="22"/>
      <c r="K18" s="22"/>
      <c r="L18" s="22"/>
      <c r="M18" s="22"/>
      <c r="N18" s="22"/>
      <c r="AH18" s="72">
        <v>-4250</v>
      </c>
      <c r="AI18" s="72"/>
      <c r="AJ18" s="72"/>
      <c r="AK18" s="72">
        <v>-6250</v>
      </c>
      <c r="AL18" s="72">
        <v>12</v>
      </c>
      <c r="AM18" s="72">
        <v>0</v>
      </c>
      <c r="AN18" s="72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52">
        <v>-427.20582066085649</v>
      </c>
      <c r="C19" s="53">
        <v>294.3902133423137</v>
      </c>
      <c r="F19" s="69">
        <v>1</v>
      </c>
      <c r="I19" s="22"/>
      <c r="J19" s="22"/>
      <c r="K19" s="22"/>
      <c r="L19" s="22"/>
      <c r="M19" s="22"/>
      <c r="N19" s="22"/>
      <c r="AH19" s="72">
        <v>-4000</v>
      </c>
      <c r="AI19" s="72"/>
      <c r="AJ19" s="72"/>
      <c r="AK19" s="72">
        <v>-6250</v>
      </c>
      <c r="AL19" s="72">
        <v>21</v>
      </c>
      <c r="AM19" s="72">
        <v>0</v>
      </c>
      <c r="AN19" s="72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52">
        <v>3121.8443701136066</v>
      </c>
      <c r="C20" s="53">
        <v>1622.8181333398286</v>
      </c>
      <c r="I20" s="22"/>
      <c r="J20" s="22"/>
      <c r="K20" s="22"/>
      <c r="L20" s="22"/>
      <c r="M20" s="22"/>
      <c r="N20" s="22"/>
      <c r="AH20" s="72">
        <v>-3750</v>
      </c>
      <c r="AI20" s="72"/>
      <c r="AJ20" s="72"/>
      <c r="AK20" s="72">
        <v>-6000</v>
      </c>
      <c r="AL20" s="72">
        <v>21</v>
      </c>
      <c r="AM20" s="72">
        <v>0</v>
      </c>
      <c r="AN20" s="72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52">
        <v>2348.0616876770237</v>
      </c>
      <c r="C21" s="53">
        <v>368.15050030358361</v>
      </c>
      <c r="I21" s="22"/>
      <c r="J21" s="22"/>
      <c r="K21" s="22"/>
      <c r="L21" s="22"/>
      <c r="M21" s="22"/>
      <c r="N21" s="22"/>
      <c r="AH21" s="72">
        <v>-3500</v>
      </c>
      <c r="AI21" s="72"/>
      <c r="AJ21" s="72"/>
      <c r="AK21" s="72">
        <v>-6000</v>
      </c>
      <c r="AL21" s="72">
        <v>35</v>
      </c>
      <c r="AM21" s="72">
        <v>0</v>
      </c>
      <c r="AN21" s="72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52">
        <v>2386.4909449552224</v>
      </c>
      <c r="C22" s="53">
        <v>2844.2293935197176</v>
      </c>
      <c r="I22" s="22"/>
      <c r="J22" s="22"/>
      <c r="K22" s="22"/>
      <c r="L22" s="22"/>
      <c r="M22" s="22"/>
      <c r="N22" s="22"/>
      <c r="AH22" s="72">
        <v>-3250</v>
      </c>
      <c r="AI22" s="72"/>
      <c r="AJ22" s="72"/>
      <c r="AK22" s="72">
        <v>-5750</v>
      </c>
      <c r="AL22" s="72">
        <v>35</v>
      </c>
      <c r="AM22" s="72">
        <v>0</v>
      </c>
      <c r="AN22" s="72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52">
        <v>-3320.787477068327</v>
      </c>
      <c r="C23" s="53">
        <v>1730.542867267015</v>
      </c>
      <c r="AH23" s="72">
        <v>-3000</v>
      </c>
      <c r="AI23" s="72"/>
      <c r="AJ23" s="72"/>
      <c r="AK23" s="72">
        <v>-5750</v>
      </c>
      <c r="AL23" s="72">
        <v>34</v>
      </c>
      <c r="AM23" s="72">
        <v>0</v>
      </c>
      <c r="AN23" s="72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52">
        <v>1376.0450716621278</v>
      </c>
      <c r="C24" s="53">
        <v>897.33439759513772</v>
      </c>
      <c r="I24" s="70"/>
      <c r="AH24" s="72">
        <v>-2750</v>
      </c>
      <c r="AI24" s="72"/>
      <c r="AJ24" s="72"/>
      <c r="AK24" s="72">
        <v>-5500</v>
      </c>
      <c r="AL24" s="72">
        <v>34</v>
      </c>
      <c r="AM24" s="72">
        <v>0</v>
      </c>
      <c r="AN24" s="72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52">
        <v>-141.40479502408652</v>
      </c>
      <c r="C25" s="53">
        <v>377.34794118325408</v>
      </c>
      <c r="AH25" s="72">
        <v>-2500</v>
      </c>
      <c r="AI25" s="72"/>
      <c r="AJ25" s="72"/>
      <c r="AK25" s="72">
        <v>-5500</v>
      </c>
      <c r="AL25" s="72">
        <v>89</v>
      </c>
      <c r="AM25" s="72">
        <v>0</v>
      </c>
      <c r="AN25" s="72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52">
        <v>-1941.2084891569725</v>
      </c>
      <c r="C26" s="53">
        <v>1855.9706697625445</v>
      </c>
      <c r="AH26" s="72">
        <v>-2250</v>
      </c>
      <c r="AI26" s="72"/>
      <c r="AJ26" s="72"/>
      <c r="AK26" s="72">
        <v>-5250</v>
      </c>
      <c r="AL26" s="72">
        <v>89</v>
      </c>
      <c r="AM26" s="72">
        <v>0</v>
      </c>
      <c r="AN26" s="72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52">
        <v>-146.83770733514291</v>
      </c>
      <c r="C27" s="53">
        <v>499.75011245013144</v>
      </c>
      <c r="AH27" s="72">
        <v>-2000</v>
      </c>
      <c r="AI27" s="72"/>
      <c r="AJ27" s="72"/>
      <c r="AK27" s="72">
        <v>-5250</v>
      </c>
      <c r="AL27" s="72">
        <v>98</v>
      </c>
      <c r="AM27" s="72">
        <v>0</v>
      </c>
      <c r="AN27" s="72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52">
        <v>374.98414366353796</v>
      </c>
      <c r="C28" s="53">
        <v>1063.3438151188366</v>
      </c>
      <c r="AH28" s="72">
        <v>-1750</v>
      </c>
      <c r="AI28" s="72"/>
      <c r="AJ28" s="72"/>
      <c r="AK28" s="72">
        <v>-5000</v>
      </c>
      <c r="AL28" s="72">
        <v>98</v>
      </c>
      <c r="AM28" s="72">
        <v>0</v>
      </c>
      <c r="AN28" s="72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52">
        <v>350.3292313755075</v>
      </c>
      <c r="C29" s="53">
        <v>562.23229883363967</v>
      </c>
      <c r="AH29" s="72">
        <v>-1500</v>
      </c>
      <c r="AI29" s="72"/>
      <c r="AJ29" s="72"/>
      <c r="AK29" s="72">
        <v>-5000</v>
      </c>
      <c r="AL29" s="72">
        <v>130</v>
      </c>
      <c r="AM29" s="72">
        <v>0</v>
      </c>
      <c r="AN29" s="72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52">
        <v>1171.2155580126905</v>
      </c>
      <c r="C30" s="53">
        <v>440.37550892789653</v>
      </c>
      <c r="AH30" s="72">
        <v>-1250</v>
      </c>
      <c r="AI30" s="72"/>
      <c r="AJ30" s="72"/>
      <c r="AK30" s="72">
        <v>-4750</v>
      </c>
      <c r="AL30" s="72">
        <v>130</v>
      </c>
      <c r="AM30" s="72">
        <v>0</v>
      </c>
      <c r="AN30" s="72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52">
        <v>-798.40949183046189</v>
      </c>
      <c r="C31" s="53">
        <v>207.3398141457285</v>
      </c>
      <c r="AH31" s="72">
        <v>-1000</v>
      </c>
      <c r="AI31" s="72"/>
      <c r="AJ31" s="72"/>
      <c r="AK31" s="72">
        <v>-4750</v>
      </c>
      <c r="AL31" s="72">
        <v>207</v>
      </c>
      <c r="AM31" s="72">
        <v>0</v>
      </c>
      <c r="AN31" s="72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52">
        <v>695.53752995537002</v>
      </c>
      <c r="C32" s="53">
        <v>484.79598129154897</v>
      </c>
      <c r="AH32" s="72">
        <v>-750</v>
      </c>
      <c r="AI32" s="72"/>
      <c r="AJ32" s="72"/>
      <c r="AK32" s="72">
        <v>-4500</v>
      </c>
      <c r="AL32" s="72">
        <v>207</v>
      </c>
      <c r="AM32" s="72">
        <v>0</v>
      </c>
      <c r="AN32" s="72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52">
        <v>502.23115047404497</v>
      </c>
      <c r="C33" s="53">
        <v>3421.4136612039115</v>
      </c>
      <c r="AH33" s="72">
        <v>-500</v>
      </c>
      <c r="AI33" s="72"/>
      <c r="AJ33" s="72"/>
      <c r="AK33" s="72">
        <v>-4500</v>
      </c>
      <c r="AL33" s="72">
        <v>263</v>
      </c>
      <c r="AM33" s="72">
        <v>0</v>
      </c>
      <c r="AN33" s="72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52">
        <v>-1114.5015479126043</v>
      </c>
      <c r="C34" s="53">
        <v>132.52662600931134</v>
      </c>
      <c r="AH34" s="72">
        <v>-250</v>
      </c>
      <c r="AI34" s="72"/>
      <c r="AJ34" s="72"/>
      <c r="AK34" s="72">
        <v>-4250</v>
      </c>
      <c r="AL34" s="72">
        <v>263</v>
      </c>
      <c r="AM34" s="72">
        <v>0</v>
      </c>
      <c r="AN34" s="72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52">
        <v>-710.69028350831979</v>
      </c>
      <c r="C35" s="53">
        <v>194.33503501686036</v>
      </c>
      <c r="AH35" s="72">
        <v>0</v>
      </c>
      <c r="AI35" s="72"/>
      <c r="AJ35" s="72"/>
      <c r="AK35" s="72">
        <v>-4250</v>
      </c>
      <c r="AL35" s="72">
        <v>364</v>
      </c>
      <c r="AM35" s="72">
        <v>0</v>
      </c>
      <c r="AN35" s="72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52">
        <v>3421.5716793311085</v>
      </c>
      <c r="C36" s="53">
        <v>3271.7481388153801</v>
      </c>
      <c r="AH36" s="72">
        <v>250</v>
      </c>
      <c r="AI36" s="72"/>
      <c r="AJ36" s="72"/>
      <c r="AK36" s="72">
        <v>-4000</v>
      </c>
      <c r="AL36" s="72">
        <v>364</v>
      </c>
      <c r="AM36" s="72">
        <v>0</v>
      </c>
      <c r="AN36" s="72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52">
        <v>3461.1976952864843</v>
      </c>
      <c r="C37" s="53">
        <v>2711.9320960294895</v>
      </c>
      <c r="AH37" s="72">
        <v>500</v>
      </c>
      <c r="AI37" s="72"/>
      <c r="AJ37" s="72"/>
      <c r="AK37" s="72">
        <v>-4000</v>
      </c>
      <c r="AL37" s="72">
        <v>544</v>
      </c>
      <c r="AM37" s="72">
        <v>0</v>
      </c>
      <c r="AN37" s="72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52">
        <v>-2521.716845238288</v>
      </c>
      <c r="C38" s="53">
        <v>1028.0960058146331</v>
      </c>
      <c r="AH38" s="72">
        <v>750</v>
      </c>
      <c r="AI38" s="72"/>
      <c r="AJ38" s="72"/>
      <c r="AK38" s="72">
        <v>-3750</v>
      </c>
      <c r="AL38" s="72">
        <v>544</v>
      </c>
      <c r="AM38" s="72">
        <v>0</v>
      </c>
      <c r="AN38" s="72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52">
        <v>-249.75479151538684</v>
      </c>
      <c r="C39" s="53">
        <v>1102.4160145720571</v>
      </c>
      <c r="AH39" s="72">
        <v>1000</v>
      </c>
      <c r="AI39" s="72"/>
      <c r="AJ39" s="72"/>
      <c r="AK39" s="72">
        <v>-3750</v>
      </c>
      <c r="AL39" s="72">
        <v>681</v>
      </c>
      <c r="AM39" s="72">
        <v>0</v>
      </c>
      <c r="AN39" s="72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52">
        <v>-4807.201254838963</v>
      </c>
      <c r="C40" s="53">
        <v>1106.8404182274974</v>
      </c>
      <c r="AH40" s="72">
        <v>1250</v>
      </c>
      <c r="AI40" s="72"/>
      <c r="AJ40" s="72"/>
      <c r="AK40" s="72">
        <v>-3500</v>
      </c>
      <c r="AL40" s="72">
        <v>681</v>
      </c>
      <c r="AM40" s="72">
        <v>0</v>
      </c>
      <c r="AN40" s="72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52">
        <v>1212.7229090878523</v>
      </c>
      <c r="C41" s="53">
        <v>2160.5953809365392</v>
      </c>
      <c r="AH41" s="72">
        <v>1500</v>
      </c>
      <c r="AI41" s="72"/>
      <c r="AJ41" s="72"/>
      <c r="AK41" s="72">
        <v>-3500</v>
      </c>
      <c r="AL41" s="72">
        <v>887</v>
      </c>
      <c r="AM41" s="72">
        <v>0</v>
      </c>
      <c r="AN41" s="72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52">
        <v>-200.53460966470305</v>
      </c>
      <c r="C42" s="53">
        <v>139.06016972895591</v>
      </c>
      <c r="AH42" s="72">
        <v>1750</v>
      </c>
      <c r="AI42" s="72"/>
      <c r="AJ42" s="72"/>
      <c r="AK42" s="72">
        <v>-3250</v>
      </c>
      <c r="AL42" s="72">
        <v>887</v>
      </c>
      <c r="AM42" s="72">
        <v>0</v>
      </c>
      <c r="AN42" s="72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52">
        <v>-834.1496532595587</v>
      </c>
      <c r="C43" s="53">
        <v>1796.1768946912478</v>
      </c>
      <c r="AH43" s="72">
        <v>2000</v>
      </c>
      <c r="AI43" s="72"/>
      <c r="AJ43" s="72"/>
      <c r="AK43" s="72">
        <v>-3250</v>
      </c>
      <c r="AL43" s="72">
        <v>1177</v>
      </c>
      <c r="AM43" s="72">
        <v>0</v>
      </c>
      <c r="AN43" s="72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52">
        <v>364.52410214204218</v>
      </c>
      <c r="C44" s="53">
        <v>2387.418441412718</v>
      </c>
      <c r="AH44" s="72">
        <v>2250</v>
      </c>
      <c r="AI44" s="72"/>
      <c r="AJ44" s="72"/>
      <c r="AK44" s="72">
        <v>-3000</v>
      </c>
      <c r="AL44" s="72">
        <v>1177</v>
      </c>
      <c r="AM44" s="72">
        <v>0</v>
      </c>
      <c r="AN44" s="72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52">
        <v>-1925.4965904327632</v>
      </c>
      <c r="C45" s="53">
        <v>971.97171488408503</v>
      </c>
      <c r="AH45" s="72">
        <v>2500</v>
      </c>
      <c r="AI45" s="72"/>
      <c r="AJ45" s="72"/>
      <c r="AK45" s="72">
        <v>-3000</v>
      </c>
      <c r="AL45" s="72">
        <v>1439</v>
      </c>
      <c r="AM45" s="72">
        <v>0</v>
      </c>
      <c r="AN45" s="72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52">
        <v>3575.4559279785685</v>
      </c>
      <c r="C46" s="53">
        <v>1508.7233216085679</v>
      </c>
      <c r="I46" s="70"/>
      <c r="AH46" s="72">
        <v>2750</v>
      </c>
      <c r="AI46" s="72"/>
      <c r="AJ46" s="72"/>
      <c r="AK46" s="72">
        <v>-2750</v>
      </c>
      <c r="AL46" s="72">
        <v>1439</v>
      </c>
      <c r="AM46" s="72">
        <v>0</v>
      </c>
      <c r="AN46" s="72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52">
        <v>-2788.2219255622408</v>
      </c>
      <c r="C47" s="53">
        <v>1838.9380627461524</v>
      </c>
      <c r="AH47" s="72">
        <v>3000</v>
      </c>
      <c r="AI47" s="72"/>
      <c r="AJ47" s="72"/>
      <c r="AK47" s="72">
        <v>-2750</v>
      </c>
      <c r="AL47" s="72">
        <v>1694</v>
      </c>
      <c r="AM47" s="72">
        <v>0</v>
      </c>
      <c r="AN47" s="72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52">
        <v>-1438.5175664589005</v>
      </c>
      <c r="C48" s="53">
        <v>1136.8367362620706</v>
      </c>
      <c r="AH48" s="72">
        <v>3250</v>
      </c>
      <c r="AI48" s="72"/>
      <c r="AJ48" s="72"/>
      <c r="AK48" s="72">
        <v>-2500</v>
      </c>
      <c r="AL48" s="72">
        <v>1694</v>
      </c>
      <c r="AM48" s="72">
        <v>0</v>
      </c>
      <c r="AN48" s="72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52">
        <v>-912.78726728567403</v>
      </c>
      <c r="C49" s="53">
        <v>1772.9890803457504</v>
      </c>
      <c r="AH49" s="72">
        <v>3500</v>
      </c>
      <c r="AI49" s="72"/>
      <c r="AJ49" s="72"/>
      <c r="AK49" s="72">
        <v>-2500</v>
      </c>
      <c r="AL49" s="72">
        <v>2089</v>
      </c>
      <c r="AM49" s="72">
        <v>0</v>
      </c>
      <c r="AN49" s="72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52">
        <v>1469.1004502632404</v>
      </c>
      <c r="C50" s="53">
        <v>1397.6087028219106</v>
      </c>
      <c r="AH50" s="72">
        <v>3750</v>
      </c>
      <c r="AI50" s="72"/>
      <c r="AJ50" s="72"/>
      <c r="AK50" s="72">
        <v>-2250</v>
      </c>
      <c r="AL50" s="72">
        <v>2089</v>
      </c>
      <c r="AM50" s="72">
        <v>0</v>
      </c>
      <c r="AN50" s="72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52">
        <v>2688.4848955211351</v>
      </c>
      <c r="C51" s="53">
        <v>1902.1317058389238</v>
      </c>
      <c r="AH51" s="72">
        <v>4000</v>
      </c>
      <c r="AI51" s="72"/>
      <c r="AJ51" s="72"/>
      <c r="AK51" s="72">
        <v>-2250</v>
      </c>
      <c r="AL51" s="72">
        <v>2571</v>
      </c>
      <c r="AM51" s="72">
        <v>0</v>
      </c>
      <c r="AN51" s="72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52">
        <v>2871.0352094654418</v>
      </c>
      <c r="C52" s="53">
        <v>1247.7829280524786</v>
      </c>
      <c r="AH52" s="72">
        <v>4250</v>
      </c>
      <c r="AI52" s="72"/>
      <c r="AJ52" s="72"/>
      <c r="AK52" s="72">
        <v>-2000</v>
      </c>
      <c r="AL52" s="72">
        <v>2571</v>
      </c>
      <c r="AM52" s="72">
        <v>0</v>
      </c>
      <c r="AN52" s="72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52">
        <v>-1070.7482669751705</v>
      </c>
      <c r="C53" s="53">
        <v>320.847461043279</v>
      </c>
      <c r="AH53" s="72">
        <v>4500</v>
      </c>
      <c r="AI53" s="72"/>
      <c r="AJ53" s="72"/>
      <c r="AK53" s="72">
        <v>-2000</v>
      </c>
      <c r="AL53" s="72">
        <v>2943</v>
      </c>
      <c r="AM53" s="72">
        <v>0</v>
      </c>
      <c r="AN53" s="72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52">
        <v>-466.36802753577774</v>
      </c>
      <c r="C54" s="53">
        <v>327.21548863637639</v>
      </c>
      <c r="AH54" s="72">
        <v>4750</v>
      </c>
      <c r="AI54" s="72"/>
      <c r="AJ54" s="72"/>
      <c r="AK54" s="72">
        <v>-1750</v>
      </c>
      <c r="AL54" s="72">
        <v>2943</v>
      </c>
      <c r="AM54" s="72">
        <v>0</v>
      </c>
      <c r="AN54" s="72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52">
        <v>1544.8613262355984</v>
      </c>
      <c r="C55" s="53">
        <v>1862.690049917903</v>
      </c>
      <c r="AH55" s="72">
        <v>5000</v>
      </c>
      <c r="AI55" s="72"/>
      <c r="AJ55" s="72"/>
      <c r="AK55" s="72">
        <v>-1750</v>
      </c>
      <c r="AL55" s="72">
        <v>3257</v>
      </c>
      <c r="AM55" s="72">
        <v>0</v>
      </c>
      <c r="AN55" s="72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52">
        <v>-372.13372804537352</v>
      </c>
      <c r="C56" s="53">
        <v>283.9990746577069</v>
      </c>
      <c r="AH56" s="72">
        <v>5250</v>
      </c>
      <c r="AI56" s="72"/>
      <c r="AJ56" s="72"/>
      <c r="AK56" s="72">
        <v>-1500</v>
      </c>
      <c r="AL56" s="72">
        <v>3257</v>
      </c>
      <c r="AM56" s="72">
        <v>0</v>
      </c>
      <c r="AN56" s="72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52">
        <v>-2019.5582308526966</v>
      </c>
      <c r="C57" s="53">
        <v>883.63759722092016</v>
      </c>
      <c r="AH57" s="72">
        <v>5500</v>
      </c>
      <c r="AI57" s="72"/>
      <c r="AJ57" s="72"/>
      <c r="AK57" s="72">
        <v>-1500</v>
      </c>
      <c r="AL57" s="72">
        <v>3667</v>
      </c>
      <c r="AM57" s="72">
        <v>0</v>
      </c>
      <c r="AN57" s="72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52">
        <v>1965.7882104223122</v>
      </c>
      <c r="C58" s="53">
        <v>1054.3648846268202</v>
      </c>
      <c r="AH58" s="72">
        <v>5750</v>
      </c>
      <c r="AI58" s="72"/>
      <c r="AJ58" s="72"/>
      <c r="AK58" s="72">
        <v>-1250</v>
      </c>
      <c r="AL58" s="72">
        <v>3667</v>
      </c>
      <c r="AM58" s="72">
        <v>0</v>
      </c>
      <c r="AN58" s="72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52">
        <v>-751.73105880118658</v>
      </c>
      <c r="C59" s="53">
        <v>599.96723311660401</v>
      </c>
      <c r="AH59" s="72">
        <v>6000</v>
      </c>
      <c r="AI59" s="72"/>
      <c r="AJ59" s="72"/>
      <c r="AK59" s="72">
        <v>-1250</v>
      </c>
      <c r="AL59" s="72">
        <v>4079</v>
      </c>
      <c r="AM59" s="72">
        <v>0</v>
      </c>
      <c r="AN59" s="72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52">
        <v>4536.6376102118675</v>
      </c>
      <c r="C60" s="53">
        <v>1841.1034423229264</v>
      </c>
      <c r="AH60" s="72">
        <v>6250</v>
      </c>
      <c r="AI60" s="72"/>
      <c r="AJ60" s="72"/>
      <c r="AK60" s="72">
        <v>-1000</v>
      </c>
      <c r="AL60" s="72">
        <v>4079</v>
      </c>
      <c r="AM60" s="72">
        <v>0</v>
      </c>
      <c r="AN60" s="72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52">
        <v>47.804781637179225</v>
      </c>
      <c r="C61" s="53">
        <v>1197.901138684457</v>
      </c>
      <c r="AH61" s="72">
        <v>6500</v>
      </c>
      <c r="AI61" s="72"/>
      <c r="AJ61" s="72"/>
      <c r="AK61" s="72">
        <v>-1000</v>
      </c>
      <c r="AL61" s="72">
        <v>4390</v>
      </c>
      <c r="AM61" s="72">
        <v>0</v>
      </c>
      <c r="AN61" s="72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52">
        <v>3982.6646139220452</v>
      </c>
      <c r="C62" s="53">
        <v>2047.2355594409239</v>
      </c>
      <c r="AH62" s="72">
        <v>6750</v>
      </c>
      <c r="AI62" s="72"/>
      <c r="AJ62" s="72"/>
      <c r="AK62" s="72">
        <v>-750</v>
      </c>
      <c r="AL62" s="72">
        <v>4390</v>
      </c>
      <c r="AM62" s="72">
        <v>0</v>
      </c>
      <c r="AN62" s="72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52">
        <v>-656.53319151043195</v>
      </c>
      <c r="C63" s="53">
        <v>296.92545031487543</v>
      </c>
      <c r="AH63" s="72">
        <v>7000</v>
      </c>
      <c r="AI63" s="72"/>
      <c r="AJ63" s="72"/>
      <c r="AK63" s="72">
        <v>-750</v>
      </c>
      <c r="AL63" s="72">
        <v>4792</v>
      </c>
      <c r="AM63" s="72">
        <v>0</v>
      </c>
      <c r="AN63" s="72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52">
        <v>-2629.9338834051064</v>
      </c>
      <c r="C64" s="53">
        <v>903.26868047473579</v>
      </c>
      <c r="AH64" s="72">
        <v>7250</v>
      </c>
      <c r="AI64" s="72"/>
      <c r="AJ64" s="72"/>
      <c r="AK64" s="72">
        <v>-500</v>
      </c>
      <c r="AL64" s="72">
        <v>4792</v>
      </c>
      <c r="AM64" s="72">
        <v>0</v>
      </c>
      <c r="AN64" s="72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52">
        <v>2363.0625573968455</v>
      </c>
      <c r="C65" s="53">
        <v>1395.7182235405639</v>
      </c>
      <c r="AH65" s="72">
        <v>7500</v>
      </c>
      <c r="AI65" s="72"/>
      <c r="AJ65" s="72"/>
      <c r="AK65" s="72">
        <v>-500</v>
      </c>
      <c r="AL65" s="72">
        <v>4993</v>
      </c>
      <c r="AM65" s="72">
        <v>0</v>
      </c>
      <c r="AN65" s="72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52">
        <v>1750.6034413437917</v>
      </c>
      <c r="C66" s="53">
        <v>1154.7035036996872</v>
      </c>
      <c r="AH66" s="72">
        <v>7750</v>
      </c>
      <c r="AI66" s="72"/>
      <c r="AJ66" s="72"/>
      <c r="AK66" s="72">
        <v>-250</v>
      </c>
      <c r="AL66" s="72">
        <v>4993</v>
      </c>
      <c r="AM66" s="72">
        <v>0</v>
      </c>
      <c r="AN66" s="72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52">
        <v>-1298.3384877453091</v>
      </c>
      <c r="C67" s="53">
        <v>661.29784289137956</v>
      </c>
      <c r="AH67" s="72">
        <v>8000</v>
      </c>
      <c r="AI67" s="72"/>
      <c r="AJ67" s="72"/>
      <c r="AK67" s="72">
        <v>-250</v>
      </c>
      <c r="AL67" s="72">
        <v>5187</v>
      </c>
      <c r="AM67" s="72">
        <v>0</v>
      </c>
      <c r="AN67" s="72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52">
        <v>1944.8893960308139</v>
      </c>
      <c r="C68" s="53">
        <v>610.74359775313178</v>
      </c>
      <c r="AH68" s="7">
        <v>8250</v>
      </c>
      <c r="AK68" s="7">
        <v>0</v>
      </c>
      <c r="AL68" s="7">
        <v>5187</v>
      </c>
      <c r="AM68" s="7">
        <v>0</v>
      </c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52">
        <v>2100.5468374328834</v>
      </c>
      <c r="C69" s="53">
        <v>837.9396334411706</v>
      </c>
      <c r="AH69" s="7">
        <v>8500</v>
      </c>
      <c r="AK69" s="7">
        <v>0</v>
      </c>
      <c r="AL69" s="7">
        <v>5261</v>
      </c>
      <c r="AM69" s="7">
        <v>2302</v>
      </c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52">
        <v>1835.82394310478</v>
      </c>
      <c r="C70" s="53">
        <v>1174.1360238861507</v>
      </c>
      <c r="AK70" s="7">
        <v>250</v>
      </c>
      <c r="AL70" s="7">
        <v>5261</v>
      </c>
      <c r="AM70" s="7">
        <v>2302</v>
      </c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52">
        <v>-976.86245884083132</v>
      </c>
      <c r="C71" s="53">
        <v>2645.903002229184</v>
      </c>
      <c r="AK71" s="7">
        <v>250</v>
      </c>
      <c r="AL71" s="7">
        <v>5274</v>
      </c>
      <c r="AM71" s="7">
        <v>9988</v>
      </c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52">
        <v>-2036.4666091491877</v>
      </c>
      <c r="C72" s="53">
        <v>438.66807402094912</v>
      </c>
      <c r="AK72" s="7">
        <v>500</v>
      </c>
      <c r="AL72" s="7">
        <v>5274</v>
      </c>
      <c r="AM72" s="7">
        <v>9988</v>
      </c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52">
        <v>1199.9202132468981</v>
      </c>
      <c r="C73" s="53">
        <v>259.67048619292768</v>
      </c>
      <c r="AK73" s="7">
        <v>500</v>
      </c>
      <c r="AL73" s="7">
        <v>5259</v>
      </c>
      <c r="AM73" s="7">
        <v>14800</v>
      </c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52">
        <v>2848.8639859376385</v>
      </c>
      <c r="C74" s="53">
        <v>1575.7327424156454</v>
      </c>
      <c r="AK74" s="7">
        <v>750</v>
      </c>
      <c r="AL74" s="7">
        <v>5259</v>
      </c>
      <c r="AM74" s="7">
        <v>14800</v>
      </c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52">
        <v>1584.1415816494223</v>
      </c>
      <c r="C75" s="53">
        <v>794.65968062612194</v>
      </c>
      <c r="AK75" s="7">
        <v>750</v>
      </c>
      <c r="AL75" s="7">
        <v>4914</v>
      </c>
      <c r="AM75" s="7">
        <v>15602</v>
      </c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52">
        <v>-1154.6780156864252</v>
      </c>
      <c r="C76" s="53">
        <v>1373.2402998348955</v>
      </c>
      <c r="AK76" s="7">
        <v>1000</v>
      </c>
      <c r="AL76" s="7">
        <v>4914</v>
      </c>
      <c r="AM76" s="7">
        <v>15602</v>
      </c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52">
        <v>-2001.4698814094525</v>
      </c>
      <c r="C77" s="53">
        <v>444.66828393942853</v>
      </c>
      <c r="AK77" s="7">
        <v>1000</v>
      </c>
      <c r="AL77" s="7">
        <v>4706</v>
      </c>
      <c r="AM77" s="7">
        <v>14031</v>
      </c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52">
        <v>-2298.1194767720153</v>
      </c>
      <c r="C78" s="53">
        <v>1507.7328149223686</v>
      </c>
      <c r="AK78" s="7">
        <v>1250</v>
      </c>
      <c r="AL78" s="7">
        <v>4706</v>
      </c>
      <c r="AM78" s="7">
        <v>14031</v>
      </c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52">
        <v>1102.5006302923682</v>
      </c>
      <c r="C79" s="53">
        <v>1418.6005436337111</v>
      </c>
      <c r="AK79" s="7">
        <v>1250</v>
      </c>
      <c r="AL79" s="7">
        <v>4375</v>
      </c>
      <c r="AM79" s="7">
        <v>11744</v>
      </c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52">
        <v>-569.16870852683837</v>
      </c>
      <c r="C80" s="53">
        <v>328.48642326095677</v>
      </c>
      <c r="AK80" s="7">
        <v>1500</v>
      </c>
      <c r="AL80" s="7">
        <v>4375</v>
      </c>
      <c r="AM80" s="7">
        <v>11744</v>
      </c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52">
        <v>1957.5314819654677</v>
      </c>
      <c r="C81" s="53">
        <v>1455.9748421002714</v>
      </c>
      <c r="AK81" s="7">
        <v>1500</v>
      </c>
      <c r="AL81" s="7">
        <v>4062</v>
      </c>
      <c r="AM81" s="7">
        <v>9053</v>
      </c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52">
        <v>130.21907415703038</v>
      </c>
      <c r="C82" s="53">
        <v>415.34366836324375</v>
      </c>
      <c r="AK82" s="7">
        <v>1750</v>
      </c>
      <c r="AL82" s="7">
        <v>4062</v>
      </c>
      <c r="AM82" s="7">
        <v>9053</v>
      </c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52">
        <v>453.98818996315737</v>
      </c>
      <c r="C83" s="53">
        <v>2761.9342483548357</v>
      </c>
      <c r="AK83" s="7">
        <v>1750</v>
      </c>
      <c r="AL83" s="7">
        <v>3541</v>
      </c>
      <c r="AM83" s="7">
        <v>6818</v>
      </c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52">
        <v>-1035.3118052239142</v>
      </c>
      <c r="C84" s="53">
        <v>1136.4371038765648</v>
      </c>
      <c r="AK84" s="7">
        <v>2000</v>
      </c>
      <c r="AL84" s="7">
        <v>3541</v>
      </c>
      <c r="AM84" s="7">
        <v>6818</v>
      </c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52">
        <v>-1226.92824630987</v>
      </c>
      <c r="C85" s="53">
        <v>458.96060077436454</v>
      </c>
      <c r="AK85" s="7">
        <v>2000</v>
      </c>
      <c r="AL85" s="7">
        <v>3161</v>
      </c>
      <c r="AM85" s="7">
        <v>5023</v>
      </c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52">
        <v>-3196.740478390921</v>
      </c>
      <c r="C86" s="53">
        <v>991.19849689873456</v>
      </c>
      <c r="AK86" s="7">
        <v>2250</v>
      </c>
      <c r="AL86" s="7">
        <v>3161</v>
      </c>
      <c r="AM86" s="7">
        <v>5023</v>
      </c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52">
        <v>1518.9831339303432</v>
      </c>
      <c r="C87" s="53">
        <v>491.19956471952679</v>
      </c>
      <c r="AK87" s="7">
        <v>2250</v>
      </c>
      <c r="AL87" s="7">
        <v>2785</v>
      </c>
      <c r="AM87" s="7">
        <v>3655</v>
      </c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52">
        <v>-1854.2335830933148</v>
      </c>
      <c r="C88" s="53">
        <v>1102.4504954146685</v>
      </c>
      <c r="AK88" s="7">
        <v>2500</v>
      </c>
      <c r="AL88" s="7">
        <v>2785</v>
      </c>
      <c r="AM88" s="7">
        <v>3655</v>
      </c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52">
        <v>-90.871460904262975</v>
      </c>
      <c r="C89" s="53">
        <v>1094.4444706040517</v>
      </c>
      <c r="AK89" s="7">
        <v>2500</v>
      </c>
      <c r="AL89" s="7">
        <v>2291</v>
      </c>
      <c r="AM89" s="7">
        <v>2515</v>
      </c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52">
        <v>-622.25336149449186</v>
      </c>
      <c r="C90" s="53">
        <v>752.96558939053193</v>
      </c>
      <c r="AK90" s="7">
        <v>2750</v>
      </c>
      <c r="AL90" s="7">
        <v>2291</v>
      </c>
      <c r="AM90" s="7">
        <v>2515</v>
      </c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52">
        <v>5220.842099506056</v>
      </c>
      <c r="C91" s="53">
        <v>2424.6191041710385</v>
      </c>
      <c r="AK91" s="7">
        <v>2750</v>
      </c>
      <c r="AL91" s="7">
        <v>1991</v>
      </c>
      <c r="AM91" s="7">
        <v>1726</v>
      </c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52">
        <v>-356.60657635712812</v>
      </c>
      <c r="C92" s="53">
        <v>840.69597942622886</v>
      </c>
      <c r="AK92" s="7">
        <v>3000</v>
      </c>
      <c r="AL92" s="7">
        <v>1991</v>
      </c>
      <c r="AM92" s="7">
        <v>1726</v>
      </c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52">
        <v>-1136.4567657119353</v>
      </c>
      <c r="C93" s="53">
        <v>860.33781583136692</v>
      </c>
      <c r="AK93" s="7">
        <v>3000</v>
      </c>
      <c r="AL93" s="7">
        <v>1544</v>
      </c>
      <c r="AM93" s="7">
        <v>1082</v>
      </c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52">
        <v>2949.2755915621983</v>
      </c>
      <c r="C94" s="53">
        <v>2236.0876619525807</v>
      </c>
      <c r="AK94" s="7">
        <v>3250</v>
      </c>
      <c r="AL94" s="7">
        <v>1544</v>
      </c>
      <c r="AM94" s="7">
        <v>1082</v>
      </c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52">
        <v>-328.03039170068132</v>
      </c>
      <c r="C95" s="53">
        <v>449.40754496405214</v>
      </c>
      <c r="AK95" s="7">
        <v>3250</v>
      </c>
      <c r="AL95" s="7">
        <v>1293</v>
      </c>
      <c r="AM95" s="7">
        <v>697</v>
      </c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52">
        <v>-808.00440058015306</v>
      </c>
      <c r="C96" s="53">
        <v>1240.1435827482367</v>
      </c>
      <c r="AK96" s="7">
        <v>3500</v>
      </c>
      <c r="AL96" s="7">
        <v>1293</v>
      </c>
      <c r="AM96" s="7">
        <v>697</v>
      </c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52">
        <v>1712.6323452812182</v>
      </c>
      <c r="C97" s="53">
        <v>1939.364010875204</v>
      </c>
      <c r="AK97" s="7">
        <v>3500</v>
      </c>
      <c r="AL97" s="7">
        <v>1006</v>
      </c>
      <c r="AM97" s="7">
        <v>432</v>
      </c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52">
        <v>1274.739882625589</v>
      </c>
      <c r="C98" s="53">
        <v>1287.9480733551941</v>
      </c>
      <c r="AK98" s="7">
        <v>3750</v>
      </c>
      <c r="AL98" s="7">
        <v>1006</v>
      </c>
      <c r="AM98" s="7">
        <v>432</v>
      </c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52">
        <v>-514.47665072898633</v>
      </c>
      <c r="C99" s="53">
        <v>1740.7830857263145</v>
      </c>
      <c r="AK99" s="7">
        <v>3750</v>
      </c>
      <c r="AL99" s="7">
        <v>801</v>
      </c>
      <c r="AM99" s="7">
        <v>233</v>
      </c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52">
        <v>-617.65583661102926</v>
      </c>
      <c r="C100" s="53">
        <v>581.51753731972883</v>
      </c>
      <c r="AK100" s="7">
        <v>4000</v>
      </c>
      <c r="AL100" s="7">
        <v>801</v>
      </c>
      <c r="AM100" s="7">
        <v>233</v>
      </c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52">
        <v>-450.97278039368734</v>
      </c>
      <c r="C101" s="53">
        <v>963.38192841031514</v>
      </c>
      <c r="AK101" s="7">
        <v>4000</v>
      </c>
      <c r="AL101" s="7">
        <v>602</v>
      </c>
      <c r="AM101" s="7">
        <v>142</v>
      </c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52">
        <v>-2732.5560705459557</v>
      </c>
      <c r="C102" s="53">
        <v>2801.1974282169044</v>
      </c>
      <c r="AK102" s="7">
        <v>4250</v>
      </c>
      <c r="AL102" s="7">
        <v>602</v>
      </c>
      <c r="AM102" s="7">
        <v>142</v>
      </c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  <c r="AK103" s="7">
        <v>4250</v>
      </c>
      <c r="AL103" s="7">
        <v>430</v>
      </c>
      <c r="AM103" s="7">
        <v>75</v>
      </c>
    </row>
    <row r="104" spans="1:66" x14ac:dyDescent="0.3">
      <c r="AK104" s="7">
        <v>4500</v>
      </c>
      <c r="AL104" s="7">
        <v>430</v>
      </c>
      <c r="AM104" s="7">
        <v>75</v>
      </c>
    </row>
    <row r="105" spans="1:66" x14ac:dyDescent="0.3">
      <c r="AK105" s="7">
        <v>4500</v>
      </c>
      <c r="AL105" s="7">
        <v>314</v>
      </c>
      <c r="AM105" s="7">
        <v>36</v>
      </c>
    </row>
    <row r="106" spans="1:66" x14ac:dyDescent="0.3">
      <c r="AK106" s="7">
        <v>4750</v>
      </c>
      <c r="AL106" s="7">
        <v>314</v>
      </c>
      <c r="AM106" s="7">
        <v>36</v>
      </c>
    </row>
    <row r="107" spans="1:66" x14ac:dyDescent="0.3">
      <c r="AK107" s="7">
        <v>4750</v>
      </c>
      <c r="AL107" s="7">
        <v>221</v>
      </c>
      <c r="AM107" s="7">
        <v>28</v>
      </c>
    </row>
    <row r="108" spans="1:66" x14ac:dyDescent="0.3">
      <c r="AK108" s="7">
        <v>5000</v>
      </c>
      <c r="AL108" s="7">
        <v>221</v>
      </c>
      <c r="AM108" s="7">
        <v>28</v>
      </c>
    </row>
    <row r="109" spans="1:66" x14ac:dyDescent="0.3">
      <c r="AK109" s="7">
        <v>5000</v>
      </c>
      <c r="AL109" s="7">
        <v>147</v>
      </c>
      <c r="AM109" s="7">
        <v>12</v>
      </c>
    </row>
    <row r="110" spans="1:66" x14ac:dyDescent="0.3">
      <c r="AK110" s="7">
        <v>5250</v>
      </c>
      <c r="AL110" s="7">
        <v>147</v>
      </c>
      <c r="AM110" s="7">
        <v>12</v>
      </c>
    </row>
    <row r="111" spans="1:66" x14ac:dyDescent="0.3">
      <c r="AK111" s="7">
        <v>5250</v>
      </c>
      <c r="AL111" s="7">
        <v>114</v>
      </c>
      <c r="AM111" s="7">
        <v>1</v>
      </c>
    </row>
    <row r="112" spans="1:66" x14ac:dyDescent="0.3">
      <c r="AK112" s="7">
        <v>5500</v>
      </c>
      <c r="AL112" s="7">
        <v>114</v>
      </c>
      <c r="AM112" s="7">
        <v>1</v>
      </c>
    </row>
    <row r="113" spans="37:39" x14ac:dyDescent="0.3">
      <c r="AK113" s="7">
        <v>5500</v>
      </c>
      <c r="AL113" s="7">
        <v>95</v>
      </c>
      <c r="AM113" s="7">
        <v>2</v>
      </c>
    </row>
    <row r="114" spans="37:39" x14ac:dyDescent="0.3">
      <c r="AK114" s="7">
        <v>5750</v>
      </c>
      <c r="AL114" s="7">
        <v>95</v>
      </c>
      <c r="AM114" s="7">
        <v>2</v>
      </c>
    </row>
    <row r="115" spans="37:39" x14ac:dyDescent="0.3">
      <c r="AK115" s="7">
        <v>5750</v>
      </c>
      <c r="AL115" s="7">
        <v>67</v>
      </c>
      <c r="AM115" s="7">
        <v>3</v>
      </c>
    </row>
    <row r="116" spans="37:39" x14ac:dyDescent="0.3">
      <c r="AK116" s="7">
        <v>6000</v>
      </c>
      <c r="AL116" s="7">
        <v>67</v>
      </c>
      <c r="AM116" s="7">
        <v>3</v>
      </c>
    </row>
    <row r="117" spans="37:39" x14ac:dyDescent="0.3">
      <c r="AK117" s="7">
        <v>6000</v>
      </c>
      <c r="AL117" s="7">
        <v>23</v>
      </c>
      <c r="AM117" s="7">
        <v>0</v>
      </c>
    </row>
    <row r="118" spans="37:39" x14ac:dyDescent="0.3">
      <c r="AK118" s="7">
        <v>6250</v>
      </c>
      <c r="AL118" s="7">
        <v>23</v>
      </c>
    </row>
    <row r="119" spans="37:39" x14ac:dyDescent="0.3">
      <c r="AK119" s="7">
        <v>6250</v>
      </c>
      <c r="AL119" s="7">
        <v>21</v>
      </c>
    </row>
    <row r="120" spans="37:39" x14ac:dyDescent="0.3">
      <c r="AK120" s="7">
        <v>6500</v>
      </c>
      <c r="AL120" s="7">
        <v>21</v>
      </c>
    </row>
    <row r="121" spans="37:39" x14ac:dyDescent="0.3">
      <c r="AK121" s="7">
        <v>6500</v>
      </c>
      <c r="AL121" s="7">
        <v>17</v>
      </c>
    </row>
    <row r="122" spans="37:39" x14ac:dyDescent="0.3">
      <c r="AK122" s="7">
        <v>6750</v>
      </c>
      <c r="AL122" s="7">
        <v>17</v>
      </c>
    </row>
    <row r="123" spans="37:39" x14ac:dyDescent="0.3">
      <c r="AK123" s="7">
        <v>6750</v>
      </c>
      <c r="AL123" s="7">
        <v>9</v>
      </c>
    </row>
    <row r="124" spans="37:39" x14ac:dyDescent="0.3">
      <c r="AK124" s="7">
        <v>7000</v>
      </c>
      <c r="AL124" s="7">
        <v>9</v>
      </c>
    </row>
    <row r="125" spans="37:39" x14ac:dyDescent="0.3">
      <c r="AK125" s="7">
        <v>7000</v>
      </c>
      <c r="AL125" s="7">
        <v>8</v>
      </c>
    </row>
    <row r="126" spans="37:39" x14ac:dyDescent="0.3">
      <c r="AK126" s="7">
        <v>7250</v>
      </c>
      <c r="AL126" s="7">
        <v>8</v>
      </c>
    </row>
    <row r="127" spans="37:39" x14ac:dyDescent="0.3">
      <c r="AK127" s="7">
        <v>7250</v>
      </c>
      <c r="AL127" s="7">
        <v>3</v>
      </c>
    </row>
    <row r="128" spans="37:39" x14ac:dyDescent="0.3">
      <c r="AK128" s="7">
        <v>7500</v>
      </c>
      <c r="AL128" s="7">
        <v>3</v>
      </c>
    </row>
    <row r="129" spans="37:38" x14ac:dyDescent="0.3">
      <c r="AK129" s="7">
        <v>7500</v>
      </c>
      <c r="AL129" s="7">
        <v>6</v>
      </c>
    </row>
    <row r="130" spans="37:38" x14ac:dyDescent="0.3">
      <c r="AK130" s="7">
        <v>7750</v>
      </c>
      <c r="AL130" s="7">
        <v>6</v>
      </c>
    </row>
    <row r="131" spans="37:38" x14ac:dyDescent="0.3">
      <c r="AK131" s="7">
        <v>7750</v>
      </c>
      <c r="AL131" s="7">
        <v>0</v>
      </c>
    </row>
    <row r="132" spans="37:38" x14ac:dyDescent="0.3">
      <c r="AK132" s="7">
        <v>8000</v>
      </c>
      <c r="AL132" s="7">
        <v>0</v>
      </c>
    </row>
    <row r="133" spans="37:38" x14ac:dyDescent="0.3">
      <c r="AK133" s="7">
        <v>8000</v>
      </c>
      <c r="AL133" s="7">
        <v>0</v>
      </c>
    </row>
    <row r="134" spans="37:38" x14ac:dyDescent="0.3">
      <c r="AK134" s="7">
        <v>8250</v>
      </c>
      <c r="AL134" s="7">
        <v>0</v>
      </c>
    </row>
    <row r="135" spans="37:38" x14ac:dyDescent="0.3">
      <c r="AK135" s="7">
        <v>8250</v>
      </c>
      <c r="AL135" s="7">
        <v>2</v>
      </c>
    </row>
    <row r="136" spans="37:38" x14ac:dyDescent="0.3">
      <c r="AK136" s="7">
        <v>8500</v>
      </c>
      <c r="AL136" s="7">
        <v>2</v>
      </c>
    </row>
    <row r="137" spans="37:38" x14ac:dyDescent="0.3">
      <c r="AK137" s="7">
        <v>8500</v>
      </c>
      <c r="AL137" s="7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Q28"/>
  <sheetViews>
    <sheetView topLeftCell="A2" workbookViewId="0">
      <selection activeCell="H3" sqref="H3"/>
    </sheetView>
  </sheetViews>
  <sheetFormatPr defaultRowHeight="14.4" x14ac:dyDescent="0.3"/>
  <cols>
    <col min="3" max="3" width="9.5546875" customWidth="1"/>
    <col min="5" max="5" width="11.6640625" bestFit="1" customWidth="1"/>
    <col min="6" max="6" width="11" bestFit="1" customWidth="1"/>
    <col min="7" max="9" width="12" bestFit="1" customWidth="1"/>
    <col min="10" max="11" width="11" bestFit="1" customWidth="1"/>
    <col min="12" max="12" width="10.33203125" customWidth="1"/>
    <col min="14" max="14" width="14" customWidth="1"/>
    <col min="15" max="15" width="10" customWidth="1"/>
    <col min="16" max="16" width="11.88671875" customWidth="1"/>
    <col min="18" max="20" width="11" bestFit="1" customWidth="1"/>
  </cols>
  <sheetData>
    <row r="1" spans="1:17" x14ac:dyDescent="0.3">
      <c r="A1" t="s">
        <v>51</v>
      </c>
      <c r="H1" t="s">
        <v>43</v>
      </c>
      <c r="K1" t="s">
        <v>45</v>
      </c>
      <c r="N1" t="s">
        <v>44</v>
      </c>
    </row>
    <row r="2" spans="1:17" x14ac:dyDescent="0.3">
      <c r="H2" t="s">
        <v>39</v>
      </c>
      <c r="K2">
        <f t="array" aca="1" ref="K2:K4" ca="1">lms(F11:F15,C11:C15)</f>
        <v>-2971.8846485888066</v>
      </c>
      <c r="L2" t="s">
        <v>46</v>
      </c>
      <c r="N2" t="str">
        <f t="array" aca="1" ref="N2:Q8" ca="1">olsreg(C10:C15,F10:F15,1,1)</f>
        <v>No. obs.</v>
      </c>
      <c r="O2">
        <f ca="1"/>
        <v>5</v>
      </c>
      <c r="P2" t="str">
        <f ca="1"/>
        <v>SSR</v>
      </c>
      <c r="Q2">
        <f ca="1"/>
        <v>281934573.26447505</v>
      </c>
    </row>
    <row r="3" spans="1:17" x14ac:dyDescent="0.3">
      <c r="C3" s="1" t="s">
        <v>14</v>
      </c>
      <c r="H3">
        <f t="array" aca="1" ref="H3:I7" ca="1">LINEST(F11:F15,C11:C15,1,1)</f>
        <v>-1127.5154252404284</v>
      </c>
      <c r="I3">
        <f ca="1"/>
        <v>4617.6092743137542</v>
      </c>
      <c r="K3">
        <f ca="1"/>
        <v>1449.1228496087342</v>
      </c>
      <c r="L3" t="s">
        <v>47</v>
      </c>
      <c r="N3" t="str">
        <f ca="1"/>
        <v>No. missing obs.</v>
      </c>
      <c r="O3">
        <f ca="1"/>
        <v>0</v>
      </c>
      <c r="P3" t="str">
        <f ca="1"/>
        <v>TSS</v>
      </c>
      <c r="Q3">
        <f ca="1"/>
        <v>329961218.46328652</v>
      </c>
    </row>
    <row r="4" spans="1:17" x14ac:dyDescent="0.3">
      <c r="C4" s="1" t="s">
        <v>0</v>
      </c>
      <c r="D4" s="1">
        <v>100</v>
      </c>
      <c r="F4" s="80" t="s">
        <v>53</v>
      </c>
      <c r="G4" s="77">
        <f ca="1">I5/(SQRT(5)*_xlfn.STDEV.P(C11:C15))</f>
        <v>1577.2295576795398</v>
      </c>
      <c r="H4" s="77">
        <f ca="1"/>
        <v>1577.2295576795391</v>
      </c>
      <c r="I4">
        <f ca="1"/>
        <v>9619.3308828118788</v>
      </c>
      <c r="K4">
        <f ca="1"/>
        <v>490063.72073847946</v>
      </c>
      <c r="L4" t="s">
        <v>48</v>
      </c>
      <c r="N4" t="str">
        <f ca="1"/>
        <v>Mean Dep Var</v>
      </c>
      <c r="O4">
        <f ca="1"/>
        <v>-1520.958334464513</v>
      </c>
      <c r="P4" t="str">
        <f ca="1"/>
        <v>R2</v>
      </c>
      <c r="Q4">
        <f ca="1"/>
        <v>0.14555239377064916</v>
      </c>
    </row>
    <row r="5" spans="1:17" x14ac:dyDescent="0.3">
      <c r="C5" s="1" t="s">
        <v>1</v>
      </c>
      <c r="D5" s="1">
        <v>200</v>
      </c>
      <c r="F5" s="71" t="s">
        <v>37</v>
      </c>
      <c r="G5" s="1">
        <f>D7/(SQRT(5)*_xlfn.STDEV.P(C11:C15))</f>
        <v>32.53953648338647</v>
      </c>
      <c r="H5">
        <f ca="1"/>
        <v>0.14555239377064899</v>
      </c>
      <c r="I5">
        <f ca="1"/>
        <v>9694.2349408376922</v>
      </c>
      <c r="N5" t="str">
        <f ca="1"/>
        <v>RMSE</v>
      </c>
      <c r="O5">
        <f ca="1"/>
        <v>9694.2349408376904</v>
      </c>
      <c r="P5" t="str">
        <f ca="1"/>
        <v>F stat.</v>
      </c>
      <c r="Q5">
        <f ca="1"/>
        <v>0.51104032374659136</v>
      </c>
    </row>
    <row r="6" spans="1:17" x14ac:dyDescent="0.3">
      <c r="C6" s="1" t="s">
        <v>2</v>
      </c>
      <c r="D6" s="1">
        <v>0</v>
      </c>
      <c r="H6">
        <f ca="1"/>
        <v>0.51104032374659059</v>
      </c>
      <c r="I6">
        <f ca="1"/>
        <v>3</v>
      </c>
      <c r="N6" t="str">
        <f ca="1"/>
        <v>Variable</v>
      </c>
      <c r="O6" t="str">
        <f ca="1"/>
        <v>Estimate</v>
      </c>
      <c r="P6" t="str">
        <f ca="1"/>
        <v>SE</v>
      </c>
      <c r="Q6" t="str">
        <f ca="1"/>
        <v>RSE (HC1)</v>
      </c>
    </row>
    <row r="7" spans="1:17" x14ac:dyDescent="0.3">
      <c r="C7" s="1" t="s">
        <v>3</v>
      </c>
      <c r="D7" s="1">
        <v>200</v>
      </c>
      <c r="H7">
        <f ca="1"/>
        <v>48026645.198811412</v>
      </c>
      <c r="I7">
        <f ca="1"/>
        <v>281934573.26447511</v>
      </c>
      <c r="N7" t="str">
        <f ca="1"/>
        <v>Intercept</v>
      </c>
      <c r="O7">
        <f ca="1"/>
        <v>4617.6092743137633</v>
      </c>
      <c r="P7">
        <f ca="1"/>
        <v>9619.3308828118825</v>
      </c>
      <c r="Q7">
        <f ca="1"/>
        <v>5470.0348367382312</v>
      </c>
    </row>
    <row r="8" spans="1:17" x14ac:dyDescent="0.3">
      <c r="C8" s="1" t="s">
        <v>9</v>
      </c>
      <c r="D8" s="1">
        <v>2</v>
      </c>
      <c r="E8" t="s">
        <v>54</v>
      </c>
      <c r="N8" t="str">
        <f ca="1"/>
        <v>X1</v>
      </c>
      <c r="O8">
        <f ca="1"/>
        <v>-1127.5154252404297</v>
      </c>
      <c r="P8" s="77">
        <f ca="1"/>
        <v>1577.2295576795395</v>
      </c>
      <c r="Q8">
        <f ca="1"/>
        <v>1707.1183129738693</v>
      </c>
    </row>
    <row r="10" spans="1:17" x14ac:dyDescent="0.3">
      <c r="B10" s="75" t="s">
        <v>8</v>
      </c>
      <c r="C10" s="75" t="s">
        <v>4</v>
      </c>
      <c r="D10" s="75" t="s">
        <v>5</v>
      </c>
      <c r="E10" s="76" t="s">
        <v>6</v>
      </c>
      <c r="F10" s="75" t="s">
        <v>7</v>
      </c>
      <c r="H10" t="s">
        <v>38</v>
      </c>
      <c r="L10" t="s">
        <v>18</v>
      </c>
      <c r="N10" t="s">
        <v>19</v>
      </c>
    </row>
    <row r="11" spans="1:17" x14ac:dyDescent="0.3">
      <c r="B11">
        <v>1</v>
      </c>
      <c r="C11">
        <v>7.7864733306865102</v>
      </c>
      <c r="D11">
        <v>11.673060740548923</v>
      </c>
      <c r="E11" s="1">
        <f ca="1">NORMINV(RAND(),0,$D$7)*C11^alpha</f>
        <v>7354.4226199743207</v>
      </c>
      <c r="F11">
        <f ca="1">$D$4+$D$5*C11+$D$6*D11+E11</f>
        <v>9011.7172861116233</v>
      </c>
      <c r="H11">
        <f t="array" aca="1" ref="H11:J15" ca="1">LINEST(F11:F15,C11:D15,1,1)</f>
        <v>-179.31003164510741</v>
      </c>
      <c r="I11">
        <f ca="1"/>
        <v>-414.99322100916464</v>
      </c>
      <c r="J11">
        <f ca="1"/>
        <v>7059.0463195924112</v>
      </c>
      <c r="L11">
        <f ca="1">(F11-AVERAGE($F$11:$F$15))^2</f>
        <v>110937255.72827889</v>
      </c>
      <c r="N11">
        <f t="array" aca="1" ref="N11:O15" ca="1">LINEST(F11:F15,B11:B15,0,1)</f>
        <v>-1520.958334464513</v>
      </c>
      <c r="O11">
        <f ca="1"/>
        <v>0</v>
      </c>
    </row>
    <row r="12" spans="1:17" x14ac:dyDescent="0.3">
      <c r="B12">
        <v>1</v>
      </c>
      <c r="C12">
        <v>3.202871671019544</v>
      </c>
      <c r="D12">
        <v>10.710664227974986</v>
      </c>
      <c r="E12" s="1">
        <f ca="1">NORMINV(RAND(),0,$D$7)*C12^alpha</f>
        <v>228.85002671263157</v>
      </c>
      <c r="F12">
        <f t="shared" ref="F12:F15" ca="1" si="0">$D$4+$D$5*C12+$D$6*D12+E12</f>
        <v>969.42436091654042</v>
      </c>
      <c r="H12">
        <f ca="1"/>
        <v>109.59702545614876</v>
      </c>
      <c r="I12">
        <f ca="1"/>
        <v>1336.1937118713288</v>
      </c>
      <c r="J12">
        <f ca="1"/>
        <v>7847.4704298510787</v>
      </c>
      <c r="L12">
        <f ca="1">(F12-AVERAGE($F$11:$F$15))^2</f>
        <v>6202005.9694534009</v>
      </c>
      <c r="N12">
        <f ca="1"/>
        <v>4061.7805114462212</v>
      </c>
      <c r="O12" t="e">
        <f ca="1"/>
        <v>#N/A</v>
      </c>
    </row>
    <row r="13" spans="1:17" x14ac:dyDescent="0.3">
      <c r="B13">
        <v>1</v>
      </c>
      <c r="C13">
        <v>5.117138776710382</v>
      </c>
      <c r="D13">
        <v>6.2520286273914705</v>
      </c>
      <c r="E13" s="1">
        <f ca="1">NORMINV(RAND(),0,$D$7)*C13^alpha</f>
        <v>-3187.1597663607708</v>
      </c>
      <c r="F13">
        <f t="shared" ca="1" si="0"/>
        <v>-2063.7320110186947</v>
      </c>
      <c r="H13">
        <f ca="1"/>
        <v>0.63459954242038141</v>
      </c>
      <c r="I13">
        <f ca="1"/>
        <v>7764.276534552765</v>
      </c>
      <c r="J13" t="e">
        <f ca="1"/>
        <v>#N/A</v>
      </c>
      <c r="L13">
        <f ca="1">(F13-AVERAGE($F$11:$F$15))^2</f>
        <v>294603.26396014349</v>
      </c>
      <c r="N13">
        <f ca="1"/>
        <v>3.3867145290632977E-2</v>
      </c>
      <c r="O13">
        <f ca="1"/>
        <v>9082.4173332776136</v>
      </c>
    </row>
    <row r="14" spans="1:17" x14ac:dyDescent="0.3">
      <c r="B14">
        <v>1</v>
      </c>
      <c r="C14">
        <v>1.8741524578225699</v>
      </c>
      <c r="D14">
        <v>55.873291534527439</v>
      </c>
      <c r="E14" s="1">
        <f ca="1">NORMINV(RAND(),0,$D$7)*C14^alpha</f>
        <v>-30.792476538682433</v>
      </c>
      <c r="F14">
        <f t="shared" ca="1" si="0"/>
        <v>444.03801502583156</v>
      </c>
      <c r="H14" s="3">
        <f ca="1"/>
        <v>1.7367234475400346</v>
      </c>
      <c r="I14">
        <f ca="1"/>
        <v>2</v>
      </c>
      <c r="J14" t="e">
        <f ca="1"/>
        <v>#N/A</v>
      </c>
      <c r="L14">
        <f ca="1">(F14-AVERAGE($F$11:$F$15))^2</f>
        <v>3861210.6535103801</v>
      </c>
      <c r="N14">
        <f ca="1"/>
        <v>0.14021734226529714</v>
      </c>
      <c r="O14">
        <f ca="1"/>
        <v>4</v>
      </c>
    </row>
    <row r="15" spans="1:17" x14ac:dyDescent="0.3">
      <c r="B15">
        <v>1</v>
      </c>
      <c r="C15">
        <v>9.2410206535959851</v>
      </c>
      <c r="D15">
        <v>91.739990723363519</v>
      </c>
      <c r="E15" s="1">
        <f ca="1">NORMINV(RAND(),0,$D$7)*C15^alpha</f>
        <v>-17914.443454077064</v>
      </c>
      <c r="F15">
        <f t="shared" ca="1" si="0"/>
        <v>-15966.239323357866</v>
      </c>
      <c r="H15">
        <f ca="1"/>
        <v>209393238.25327313</v>
      </c>
      <c r="I15">
        <f ca="1"/>
        <v>120567980.21001339</v>
      </c>
      <c r="J15" t="e">
        <f ca="1"/>
        <v>#N/A</v>
      </c>
      <c r="L15">
        <f ca="1">(F15-AVERAGE($F$11:$F$15))^2</f>
        <v>208666142.84808373</v>
      </c>
      <c r="N15">
        <f ca="1"/>
        <v>11566571.275885284</v>
      </c>
      <c r="O15" s="4">
        <f ca="1"/>
        <v>329961218.46328658</v>
      </c>
    </row>
    <row r="17" spans="3:17" x14ac:dyDescent="0.3">
      <c r="D17">
        <f>CORREL(C11:C15,D11:D15)</f>
        <v>0.32592911632259391</v>
      </c>
      <c r="E17" t="s">
        <v>11</v>
      </c>
      <c r="L17" s="4">
        <f ca="1">SUM(L11:L15)</f>
        <v>329961218.46328652</v>
      </c>
    </row>
    <row r="18" spans="3:17" x14ac:dyDescent="0.3">
      <c r="D18" s="2">
        <f>D17^2</f>
        <v>0.10622978886682695</v>
      </c>
      <c r="E18" t="s">
        <v>12</v>
      </c>
      <c r="H18" s="78">
        <f ca="1">_xlfn.F.DIST.RT(H14,2,2)</f>
        <v>0.36540045757961859</v>
      </c>
      <c r="I18" t="s">
        <v>21</v>
      </c>
    </row>
    <row r="19" spans="3:17" x14ac:dyDescent="0.3">
      <c r="H19">
        <f ca="1">IF(H18&lt;0.05,1,0)</f>
        <v>0</v>
      </c>
      <c r="I19" t="s">
        <v>10</v>
      </c>
    </row>
    <row r="20" spans="3:17" x14ac:dyDescent="0.3">
      <c r="C20" t="s">
        <v>13</v>
      </c>
    </row>
    <row r="21" spans="3:17" x14ac:dyDescent="0.3">
      <c r="C21">
        <f t="array" ref="C21:D25">LINEST(C11:C15,D11:D15,1,1)</f>
        <v>2.6733295734853144E-2</v>
      </c>
      <c r="D21">
        <v>4.5019878582744903</v>
      </c>
      <c r="H21" t="s">
        <v>50</v>
      </c>
      <c r="P21" t="s">
        <v>20</v>
      </c>
    </row>
    <row r="22" spans="3:17" x14ac:dyDescent="0.3">
      <c r="C22">
        <v>4.4769439185543131E-2</v>
      </c>
      <c r="D22">
        <v>2.1774814325795533</v>
      </c>
      <c r="H22" s="1">
        <f>D7/(SQRT(5)*_xlfn.STDEV.P(C11:C15)*SQRT(1-C23))</f>
        <v>34.419013952554849</v>
      </c>
      <c r="I22" s="1" t="s">
        <v>40</v>
      </c>
      <c r="P22">
        <f ca="1">(O15-I15)/2</f>
        <v>104696619.12663659</v>
      </c>
      <c r="Q22" t="s">
        <v>15</v>
      </c>
    </row>
    <row r="23" spans="3:17" x14ac:dyDescent="0.3">
      <c r="C23" s="2">
        <v>0.10622978886682666</v>
      </c>
      <c r="D23">
        <v>3.3548332906077944</v>
      </c>
      <c r="H23" s="1">
        <f>D7/(SQRT(5)*_xlfn.STDEV.P(D11:D15)*SQRT(1-C23))</f>
        <v>2.8231097892615624</v>
      </c>
      <c r="I23" s="1" t="s">
        <v>41</v>
      </c>
      <c r="P23">
        <f ca="1">I15/I14</f>
        <v>60283990.105006695</v>
      </c>
      <c r="Q23" t="s">
        <v>16</v>
      </c>
    </row>
    <row r="24" spans="3:17" x14ac:dyDescent="0.3">
      <c r="C24">
        <v>0.35656745171270282</v>
      </c>
      <c r="D24">
        <v>3</v>
      </c>
      <c r="P24" s="3">
        <f ca="1">P22/P23</f>
        <v>1.7367234475400353</v>
      </c>
      <c r="Q24" t="s">
        <v>17</v>
      </c>
    </row>
    <row r="25" spans="3:17" x14ac:dyDescent="0.3">
      <c r="C25">
        <v>4.013133297083634</v>
      </c>
      <c r="D25">
        <v>33.764719223310969</v>
      </c>
      <c r="P25" s="78">
        <f ca="1">_xlfn.F.DIST.RT(P24,2,2)</f>
        <v>0.36540045757961853</v>
      </c>
      <c r="Q25" t="s">
        <v>52</v>
      </c>
    </row>
    <row r="27" spans="3:17" x14ac:dyDescent="0.3">
      <c r="C27">
        <f>SQRT(1-C23)</f>
        <v>0.94539420938208274</v>
      </c>
    </row>
    <row r="28" spans="3:17" x14ac:dyDescent="0.3">
      <c r="C28">
        <f>1/C27</f>
        <v>1.0577598107498543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A0EB5-B543-463E-9D12-FE04822761EC}">
  <sheetPr codeName="Sheet9"/>
  <dimension ref="A1:BN103"/>
  <sheetViews>
    <sheetView showGridLines="0" workbookViewId="0">
      <selection activeCell="G7" sqref="G7"/>
    </sheetView>
  </sheetViews>
  <sheetFormatPr defaultRowHeight="15.6" x14ac:dyDescent="0.3"/>
  <cols>
    <col min="1" max="1" width="9.109375" style="15" customWidth="1"/>
    <col min="2" max="2" width="12.109375" style="6" customWidth="1"/>
    <col min="3" max="3" width="12.109375" style="7" customWidth="1"/>
    <col min="4" max="4" width="8.6640625" style="7" customWidth="1"/>
    <col min="5" max="5" width="8.6640625" style="8" customWidth="1"/>
    <col min="6" max="6" width="13.33203125" style="9" customWidth="1"/>
    <col min="7" max="7" width="9.109375" style="8"/>
    <col min="8" max="8" width="6.5546875" style="8" customWidth="1"/>
    <col min="9" max="14" width="10.5546875" style="8" customWidth="1"/>
    <col min="15" max="17" width="9.109375" style="8"/>
    <col min="18" max="19" width="9.109375" style="7"/>
    <col min="20" max="20" width="16.33203125" style="7" customWidth="1"/>
    <col min="21" max="22" width="12.88671875" style="7" customWidth="1"/>
    <col min="23" max="24" width="9.109375" style="7"/>
    <col min="25" max="26" width="10" style="72" customWidth="1"/>
    <col min="27" max="33" width="9.109375" style="7"/>
    <col min="34" max="43" width="9.109375" style="8"/>
    <col min="44" max="50" width="9.109375" style="7"/>
    <col min="51" max="257" width="9.109375" style="8"/>
    <col min="258" max="259" width="12.109375" style="8" customWidth="1"/>
    <col min="260" max="261" width="8.6640625" style="8" customWidth="1"/>
    <col min="262" max="262" width="13.33203125" style="8" customWidth="1"/>
    <col min="263" max="263" width="9.109375" style="8"/>
    <col min="264" max="264" width="6.5546875" style="8" customWidth="1"/>
    <col min="265" max="270" width="10.5546875" style="8" customWidth="1"/>
    <col min="271" max="275" width="9.109375" style="8"/>
    <col min="276" max="276" width="16.33203125" style="8" customWidth="1"/>
    <col min="277" max="278" width="12.88671875" style="8" customWidth="1"/>
    <col min="279" max="280" width="9.109375" style="8"/>
    <col min="281" max="282" width="10" style="8" customWidth="1"/>
    <col min="283" max="513" width="9.109375" style="8"/>
    <col min="514" max="515" width="12.109375" style="8" customWidth="1"/>
    <col min="516" max="517" width="8.6640625" style="8" customWidth="1"/>
    <col min="518" max="518" width="13.33203125" style="8" customWidth="1"/>
    <col min="519" max="519" width="9.109375" style="8"/>
    <col min="520" max="520" width="6.5546875" style="8" customWidth="1"/>
    <col min="521" max="526" width="10.5546875" style="8" customWidth="1"/>
    <col min="527" max="531" width="9.109375" style="8"/>
    <col min="532" max="532" width="16.33203125" style="8" customWidth="1"/>
    <col min="533" max="534" width="12.88671875" style="8" customWidth="1"/>
    <col min="535" max="536" width="9.109375" style="8"/>
    <col min="537" max="538" width="10" style="8" customWidth="1"/>
    <col min="539" max="769" width="9.109375" style="8"/>
    <col min="770" max="771" width="12.109375" style="8" customWidth="1"/>
    <col min="772" max="773" width="8.6640625" style="8" customWidth="1"/>
    <col min="774" max="774" width="13.33203125" style="8" customWidth="1"/>
    <col min="775" max="775" width="9.109375" style="8"/>
    <col min="776" max="776" width="6.5546875" style="8" customWidth="1"/>
    <col min="777" max="782" width="10.5546875" style="8" customWidth="1"/>
    <col min="783" max="787" width="9.109375" style="8"/>
    <col min="788" max="788" width="16.33203125" style="8" customWidth="1"/>
    <col min="789" max="790" width="12.88671875" style="8" customWidth="1"/>
    <col min="791" max="792" width="9.109375" style="8"/>
    <col min="793" max="794" width="10" style="8" customWidth="1"/>
    <col min="795" max="1025" width="9.109375" style="8"/>
    <col min="1026" max="1027" width="12.109375" style="8" customWidth="1"/>
    <col min="1028" max="1029" width="8.6640625" style="8" customWidth="1"/>
    <col min="1030" max="1030" width="13.33203125" style="8" customWidth="1"/>
    <col min="1031" max="1031" width="9.109375" style="8"/>
    <col min="1032" max="1032" width="6.5546875" style="8" customWidth="1"/>
    <col min="1033" max="1038" width="10.5546875" style="8" customWidth="1"/>
    <col min="1039" max="1043" width="9.109375" style="8"/>
    <col min="1044" max="1044" width="16.33203125" style="8" customWidth="1"/>
    <col min="1045" max="1046" width="12.88671875" style="8" customWidth="1"/>
    <col min="1047" max="1048" width="9.109375" style="8"/>
    <col min="1049" max="1050" width="10" style="8" customWidth="1"/>
    <col min="1051" max="1281" width="9.109375" style="8"/>
    <col min="1282" max="1283" width="12.109375" style="8" customWidth="1"/>
    <col min="1284" max="1285" width="8.6640625" style="8" customWidth="1"/>
    <col min="1286" max="1286" width="13.33203125" style="8" customWidth="1"/>
    <col min="1287" max="1287" width="9.109375" style="8"/>
    <col min="1288" max="1288" width="6.5546875" style="8" customWidth="1"/>
    <col min="1289" max="1294" width="10.5546875" style="8" customWidth="1"/>
    <col min="1295" max="1299" width="9.109375" style="8"/>
    <col min="1300" max="1300" width="16.33203125" style="8" customWidth="1"/>
    <col min="1301" max="1302" width="12.88671875" style="8" customWidth="1"/>
    <col min="1303" max="1304" width="9.109375" style="8"/>
    <col min="1305" max="1306" width="10" style="8" customWidth="1"/>
    <col min="1307" max="1537" width="9.109375" style="8"/>
    <col min="1538" max="1539" width="12.109375" style="8" customWidth="1"/>
    <col min="1540" max="1541" width="8.6640625" style="8" customWidth="1"/>
    <col min="1542" max="1542" width="13.33203125" style="8" customWidth="1"/>
    <col min="1543" max="1543" width="9.109375" style="8"/>
    <col min="1544" max="1544" width="6.5546875" style="8" customWidth="1"/>
    <col min="1545" max="1550" width="10.5546875" style="8" customWidth="1"/>
    <col min="1551" max="1555" width="9.109375" style="8"/>
    <col min="1556" max="1556" width="16.33203125" style="8" customWidth="1"/>
    <col min="1557" max="1558" width="12.88671875" style="8" customWidth="1"/>
    <col min="1559" max="1560" width="9.109375" style="8"/>
    <col min="1561" max="1562" width="10" style="8" customWidth="1"/>
    <col min="1563" max="1793" width="9.109375" style="8"/>
    <col min="1794" max="1795" width="12.109375" style="8" customWidth="1"/>
    <col min="1796" max="1797" width="8.6640625" style="8" customWidth="1"/>
    <col min="1798" max="1798" width="13.33203125" style="8" customWidth="1"/>
    <col min="1799" max="1799" width="9.109375" style="8"/>
    <col min="1800" max="1800" width="6.5546875" style="8" customWidth="1"/>
    <col min="1801" max="1806" width="10.5546875" style="8" customWidth="1"/>
    <col min="1807" max="1811" width="9.109375" style="8"/>
    <col min="1812" max="1812" width="16.33203125" style="8" customWidth="1"/>
    <col min="1813" max="1814" width="12.88671875" style="8" customWidth="1"/>
    <col min="1815" max="1816" width="9.109375" style="8"/>
    <col min="1817" max="1818" width="10" style="8" customWidth="1"/>
    <col min="1819" max="2049" width="9.109375" style="8"/>
    <col min="2050" max="2051" width="12.109375" style="8" customWidth="1"/>
    <col min="2052" max="2053" width="8.6640625" style="8" customWidth="1"/>
    <col min="2054" max="2054" width="13.33203125" style="8" customWidth="1"/>
    <col min="2055" max="2055" width="9.109375" style="8"/>
    <col min="2056" max="2056" width="6.5546875" style="8" customWidth="1"/>
    <col min="2057" max="2062" width="10.5546875" style="8" customWidth="1"/>
    <col min="2063" max="2067" width="9.109375" style="8"/>
    <col min="2068" max="2068" width="16.33203125" style="8" customWidth="1"/>
    <col min="2069" max="2070" width="12.88671875" style="8" customWidth="1"/>
    <col min="2071" max="2072" width="9.109375" style="8"/>
    <col min="2073" max="2074" width="10" style="8" customWidth="1"/>
    <col min="2075" max="2305" width="9.109375" style="8"/>
    <col min="2306" max="2307" width="12.109375" style="8" customWidth="1"/>
    <col min="2308" max="2309" width="8.6640625" style="8" customWidth="1"/>
    <col min="2310" max="2310" width="13.33203125" style="8" customWidth="1"/>
    <col min="2311" max="2311" width="9.109375" style="8"/>
    <col min="2312" max="2312" width="6.5546875" style="8" customWidth="1"/>
    <col min="2313" max="2318" width="10.5546875" style="8" customWidth="1"/>
    <col min="2319" max="2323" width="9.109375" style="8"/>
    <col min="2324" max="2324" width="16.33203125" style="8" customWidth="1"/>
    <col min="2325" max="2326" width="12.88671875" style="8" customWidth="1"/>
    <col min="2327" max="2328" width="9.109375" style="8"/>
    <col min="2329" max="2330" width="10" style="8" customWidth="1"/>
    <col min="2331" max="2561" width="9.109375" style="8"/>
    <col min="2562" max="2563" width="12.109375" style="8" customWidth="1"/>
    <col min="2564" max="2565" width="8.6640625" style="8" customWidth="1"/>
    <col min="2566" max="2566" width="13.33203125" style="8" customWidth="1"/>
    <col min="2567" max="2567" width="9.109375" style="8"/>
    <col min="2568" max="2568" width="6.5546875" style="8" customWidth="1"/>
    <col min="2569" max="2574" width="10.5546875" style="8" customWidth="1"/>
    <col min="2575" max="2579" width="9.109375" style="8"/>
    <col min="2580" max="2580" width="16.33203125" style="8" customWidth="1"/>
    <col min="2581" max="2582" width="12.88671875" style="8" customWidth="1"/>
    <col min="2583" max="2584" width="9.109375" style="8"/>
    <col min="2585" max="2586" width="10" style="8" customWidth="1"/>
    <col min="2587" max="2817" width="9.109375" style="8"/>
    <col min="2818" max="2819" width="12.109375" style="8" customWidth="1"/>
    <col min="2820" max="2821" width="8.6640625" style="8" customWidth="1"/>
    <col min="2822" max="2822" width="13.33203125" style="8" customWidth="1"/>
    <col min="2823" max="2823" width="9.109375" style="8"/>
    <col min="2824" max="2824" width="6.5546875" style="8" customWidth="1"/>
    <col min="2825" max="2830" width="10.5546875" style="8" customWidth="1"/>
    <col min="2831" max="2835" width="9.109375" style="8"/>
    <col min="2836" max="2836" width="16.33203125" style="8" customWidth="1"/>
    <col min="2837" max="2838" width="12.88671875" style="8" customWidth="1"/>
    <col min="2839" max="2840" width="9.109375" style="8"/>
    <col min="2841" max="2842" width="10" style="8" customWidth="1"/>
    <col min="2843" max="3073" width="9.109375" style="8"/>
    <col min="3074" max="3075" width="12.109375" style="8" customWidth="1"/>
    <col min="3076" max="3077" width="8.6640625" style="8" customWidth="1"/>
    <col min="3078" max="3078" width="13.33203125" style="8" customWidth="1"/>
    <col min="3079" max="3079" width="9.109375" style="8"/>
    <col min="3080" max="3080" width="6.5546875" style="8" customWidth="1"/>
    <col min="3081" max="3086" width="10.5546875" style="8" customWidth="1"/>
    <col min="3087" max="3091" width="9.109375" style="8"/>
    <col min="3092" max="3092" width="16.33203125" style="8" customWidth="1"/>
    <col min="3093" max="3094" width="12.88671875" style="8" customWidth="1"/>
    <col min="3095" max="3096" width="9.109375" style="8"/>
    <col min="3097" max="3098" width="10" style="8" customWidth="1"/>
    <col min="3099" max="3329" width="9.109375" style="8"/>
    <col min="3330" max="3331" width="12.109375" style="8" customWidth="1"/>
    <col min="3332" max="3333" width="8.6640625" style="8" customWidth="1"/>
    <col min="3334" max="3334" width="13.33203125" style="8" customWidth="1"/>
    <col min="3335" max="3335" width="9.109375" style="8"/>
    <col min="3336" max="3336" width="6.5546875" style="8" customWidth="1"/>
    <col min="3337" max="3342" width="10.5546875" style="8" customWidth="1"/>
    <col min="3343" max="3347" width="9.109375" style="8"/>
    <col min="3348" max="3348" width="16.33203125" style="8" customWidth="1"/>
    <col min="3349" max="3350" width="12.88671875" style="8" customWidth="1"/>
    <col min="3351" max="3352" width="9.109375" style="8"/>
    <col min="3353" max="3354" width="10" style="8" customWidth="1"/>
    <col min="3355" max="3585" width="9.109375" style="8"/>
    <col min="3586" max="3587" width="12.109375" style="8" customWidth="1"/>
    <col min="3588" max="3589" width="8.6640625" style="8" customWidth="1"/>
    <col min="3590" max="3590" width="13.33203125" style="8" customWidth="1"/>
    <col min="3591" max="3591" width="9.109375" style="8"/>
    <col min="3592" max="3592" width="6.5546875" style="8" customWidth="1"/>
    <col min="3593" max="3598" width="10.5546875" style="8" customWidth="1"/>
    <col min="3599" max="3603" width="9.109375" style="8"/>
    <col min="3604" max="3604" width="16.33203125" style="8" customWidth="1"/>
    <col min="3605" max="3606" width="12.88671875" style="8" customWidth="1"/>
    <col min="3607" max="3608" width="9.109375" style="8"/>
    <col min="3609" max="3610" width="10" style="8" customWidth="1"/>
    <col min="3611" max="3841" width="9.109375" style="8"/>
    <col min="3842" max="3843" width="12.109375" style="8" customWidth="1"/>
    <col min="3844" max="3845" width="8.6640625" style="8" customWidth="1"/>
    <col min="3846" max="3846" width="13.33203125" style="8" customWidth="1"/>
    <col min="3847" max="3847" width="9.109375" style="8"/>
    <col min="3848" max="3848" width="6.5546875" style="8" customWidth="1"/>
    <col min="3849" max="3854" width="10.5546875" style="8" customWidth="1"/>
    <col min="3855" max="3859" width="9.109375" style="8"/>
    <col min="3860" max="3860" width="16.33203125" style="8" customWidth="1"/>
    <col min="3861" max="3862" width="12.88671875" style="8" customWidth="1"/>
    <col min="3863" max="3864" width="9.109375" style="8"/>
    <col min="3865" max="3866" width="10" style="8" customWidth="1"/>
    <col min="3867" max="4097" width="9.109375" style="8"/>
    <col min="4098" max="4099" width="12.109375" style="8" customWidth="1"/>
    <col min="4100" max="4101" width="8.6640625" style="8" customWidth="1"/>
    <col min="4102" max="4102" width="13.33203125" style="8" customWidth="1"/>
    <col min="4103" max="4103" width="9.109375" style="8"/>
    <col min="4104" max="4104" width="6.5546875" style="8" customWidth="1"/>
    <col min="4105" max="4110" width="10.5546875" style="8" customWidth="1"/>
    <col min="4111" max="4115" width="9.109375" style="8"/>
    <col min="4116" max="4116" width="16.33203125" style="8" customWidth="1"/>
    <col min="4117" max="4118" width="12.88671875" style="8" customWidth="1"/>
    <col min="4119" max="4120" width="9.109375" style="8"/>
    <col min="4121" max="4122" width="10" style="8" customWidth="1"/>
    <col min="4123" max="4353" width="9.109375" style="8"/>
    <col min="4354" max="4355" width="12.109375" style="8" customWidth="1"/>
    <col min="4356" max="4357" width="8.6640625" style="8" customWidth="1"/>
    <col min="4358" max="4358" width="13.33203125" style="8" customWidth="1"/>
    <col min="4359" max="4359" width="9.109375" style="8"/>
    <col min="4360" max="4360" width="6.5546875" style="8" customWidth="1"/>
    <col min="4361" max="4366" width="10.5546875" style="8" customWidth="1"/>
    <col min="4367" max="4371" width="9.109375" style="8"/>
    <col min="4372" max="4372" width="16.33203125" style="8" customWidth="1"/>
    <col min="4373" max="4374" width="12.88671875" style="8" customWidth="1"/>
    <col min="4375" max="4376" width="9.109375" style="8"/>
    <col min="4377" max="4378" width="10" style="8" customWidth="1"/>
    <col min="4379" max="4609" width="9.109375" style="8"/>
    <col min="4610" max="4611" width="12.109375" style="8" customWidth="1"/>
    <col min="4612" max="4613" width="8.6640625" style="8" customWidth="1"/>
    <col min="4614" max="4614" width="13.33203125" style="8" customWidth="1"/>
    <col min="4615" max="4615" width="9.109375" style="8"/>
    <col min="4616" max="4616" width="6.5546875" style="8" customWidth="1"/>
    <col min="4617" max="4622" width="10.5546875" style="8" customWidth="1"/>
    <col min="4623" max="4627" width="9.109375" style="8"/>
    <col min="4628" max="4628" width="16.33203125" style="8" customWidth="1"/>
    <col min="4629" max="4630" width="12.88671875" style="8" customWidth="1"/>
    <col min="4631" max="4632" width="9.109375" style="8"/>
    <col min="4633" max="4634" width="10" style="8" customWidth="1"/>
    <col min="4635" max="4865" width="9.109375" style="8"/>
    <col min="4866" max="4867" width="12.109375" style="8" customWidth="1"/>
    <col min="4868" max="4869" width="8.6640625" style="8" customWidth="1"/>
    <col min="4870" max="4870" width="13.33203125" style="8" customWidth="1"/>
    <col min="4871" max="4871" width="9.109375" style="8"/>
    <col min="4872" max="4872" width="6.5546875" style="8" customWidth="1"/>
    <col min="4873" max="4878" width="10.5546875" style="8" customWidth="1"/>
    <col min="4879" max="4883" width="9.109375" style="8"/>
    <col min="4884" max="4884" width="16.33203125" style="8" customWidth="1"/>
    <col min="4885" max="4886" width="12.88671875" style="8" customWidth="1"/>
    <col min="4887" max="4888" width="9.109375" style="8"/>
    <col min="4889" max="4890" width="10" style="8" customWidth="1"/>
    <col min="4891" max="5121" width="9.109375" style="8"/>
    <col min="5122" max="5123" width="12.109375" style="8" customWidth="1"/>
    <col min="5124" max="5125" width="8.6640625" style="8" customWidth="1"/>
    <col min="5126" max="5126" width="13.33203125" style="8" customWidth="1"/>
    <col min="5127" max="5127" width="9.109375" style="8"/>
    <col min="5128" max="5128" width="6.5546875" style="8" customWidth="1"/>
    <col min="5129" max="5134" width="10.5546875" style="8" customWidth="1"/>
    <col min="5135" max="5139" width="9.109375" style="8"/>
    <col min="5140" max="5140" width="16.33203125" style="8" customWidth="1"/>
    <col min="5141" max="5142" width="12.88671875" style="8" customWidth="1"/>
    <col min="5143" max="5144" width="9.109375" style="8"/>
    <col min="5145" max="5146" width="10" style="8" customWidth="1"/>
    <col min="5147" max="5377" width="9.109375" style="8"/>
    <col min="5378" max="5379" width="12.109375" style="8" customWidth="1"/>
    <col min="5380" max="5381" width="8.6640625" style="8" customWidth="1"/>
    <col min="5382" max="5382" width="13.33203125" style="8" customWidth="1"/>
    <col min="5383" max="5383" width="9.109375" style="8"/>
    <col min="5384" max="5384" width="6.5546875" style="8" customWidth="1"/>
    <col min="5385" max="5390" width="10.5546875" style="8" customWidth="1"/>
    <col min="5391" max="5395" width="9.109375" style="8"/>
    <col min="5396" max="5396" width="16.33203125" style="8" customWidth="1"/>
    <col min="5397" max="5398" width="12.88671875" style="8" customWidth="1"/>
    <col min="5399" max="5400" width="9.109375" style="8"/>
    <col min="5401" max="5402" width="10" style="8" customWidth="1"/>
    <col min="5403" max="5633" width="9.109375" style="8"/>
    <col min="5634" max="5635" width="12.109375" style="8" customWidth="1"/>
    <col min="5636" max="5637" width="8.6640625" style="8" customWidth="1"/>
    <col min="5638" max="5638" width="13.33203125" style="8" customWidth="1"/>
    <col min="5639" max="5639" width="9.109375" style="8"/>
    <col min="5640" max="5640" width="6.5546875" style="8" customWidth="1"/>
    <col min="5641" max="5646" width="10.5546875" style="8" customWidth="1"/>
    <col min="5647" max="5651" width="9.109375" style="8"/>
    <col min="5652" max="5652" width="16.33203125" style="8" customWidth="1"/>
    <col min="5653" max="5654" width="12.88671875" style="8" customWidth="1"/>
    <col min="5655" max="5656" width="9.109375" style="8"/>
    <col min="5657" max="5658" width="10" style="8" customWidth="1"/>
    <col min="5659" max="5889" width="9.109375" style="8"/>
    <col min="5890" max="5891" width="12.109375" style="8" customWidth="1"/>
    <col min="5892" max="5893" width="8.6640625" style="8" customWidth="1"/>
    <col min="5894" max="5894" width="13.33203125" style="8" customWidth="1"/>
    <col min="5895" max="5895" width="9.109375" style="8"/>
    <col min="5896" max="5896" width="6.5546875" style="8" customWidth="1"/>
    <col min="5897" max="5902" width="10.5546875" style="8" customWidth="1"/>
    <col min="5903" max="5907" width="9.109375" style="8"/>
    <col min="5908" max="5908" width="16.33203125" style="8" customWidth="1"/>
    <col min="5909" max="5910" width="12.88671875" style="8" customWidth="1"/>
    <col min="5911" max="5912" width="9.109375" style="8"/>
    <col min="5913" max="5914" width="10" style="8" customWidth="1"/>
    <col min="5915" max="6145" width="9.109375" style="8"/>
    <col min="6146" max="6147" width="12.109375" style="8" customWidth="1"/>
    <col min="6148" max="6149" width="8.6640625" style="8" customWidth="1"/>
    <col min="6150" max="6150" width="13.33203125" style="8" customWidth="1"/>
    <col min="6151" max="6151" width="9.109375" style="8"/>
    <col min="6152" max="6152" width="6.5546875" style="8" customWidth="1"/>
    <col min="6153" max="6158" width="10.5546875" style="8" customWidth="1"/>
    <col min="6159" max="6163" width="9.109375" style="8"/>
    <col min="6164" max="6164" width="16.33203125" style="8" customWidth="1"/>
    <col min="6165" max="6166" width="12.88671875" style="8" customWidth="1"/>
    <col min="6167" max="6168" width="9.109375" style="8"/>
    <col min="6169" max="6170" width="10" style="8" customWidth="1"/>
    <col min="6171" max="6401" width="9.109375" style="8"/>
    <col min="6402" max="6403" width="12.109375" style="8" customWidth="1"/>
    <col min="6404" max="6405" width="8.6640625" style="8" customWidth="1"/>
    <col min="6406" max="6406" width="13.33203125" style="8" customWidth="1"/>
    <col min="6407" max="6407" width="9.109375" style="8"/>
    <col min="6408" max="6408" width="6.5546875" style="8" customWidth="1"/>
    <col min="6409" max="6414" width="10.5546875" style="8" customWidth="1"/>
    <col min="6415" max="6419" width="9.109375" style="8"/>
    <col min="6420" max="6420" width="16.33203125" style="8" customWidth="1"/>
    <col min="6421" max="6422" width="12.88671875" style="8" customWidth="1"/>
    <col min="6423" max="6424" width="9.109375" style="8"/>
    <col min="6425" max="6426" width="10" style="8" customWidth="1"/>
    <col min="6427" max="6657" width="9.109375" style="8"/>
    <col min="6658" max="6659" width="12.109375" style="8" customWidth="1"/>
    <col min="6660" max="6661" width="8.6640625" style="8" customWidth="1"/>
    <col min="6662" max="6662" width="13.33203125" style="8" customWidth="1"/>
    <col min="6663" max="6663" width="9.109375" style="8"/>
    <col min="6664" max="6664" width="6.5546875" style="8" customWidth="1"/>
    <col min="6665" max="6670" width="10.5546875" style="8" customWidth="1"/>
    <col min="6671" max="6675" width="9.109375" style="8"/>
    <col min="6676" max="6676" width="16.33203125" style="8" customWidth="1"/>
    <col min="6677" max="6678" width="12.88671875" style="8" customWidth="1"/>
    <col min="6679" max="6680" width="9.109375" style="8"/>
    <col min="6681" max="6682" width="10" style="8" customWidth="1"/>
    <col min="6683" max="6913" width="9.109375" style="8"/>
    <col min="6914" max="6915" width="12.109375" style="8" customWidth="1"/>
    <col min="6916" max="6917" width="8.6640625" style="8" customWidth="1"/>
    <col min="6918" max="6918" width="13.33203125" style="8" customWidth="1"/>
    <col min="6919" max="6919" width="9.109375" style="8"/>
    <col min="6920" max="6920" width="6.5546875" style="8" customWidth="1"/>
    <col min="6921" max="6926" width="10.5546875" style="8" customWidth="1"/>
    <col min="6927" max="6931" width="9.109375" style="8"/>
    <col min="6932" max="6932" width="16.33203125" style="8" customWidth="1"/>
    <col min="6933" max="6934" width="12.88671875" style="8" customWidth="1"/>
    <col min="6935" max="6936" width="9.109375" style="8"/>
    <col min="6937" max="6938" width="10" style="8" customWidth="1"/>
    <col min="6939" max="7169" width="9.109375" style="8"/>
    <col min="7170" max="7171" width="12.109375" style="8" customWidth="1"/>
    <col min="7172" max="7173" width="8.6640625" style="8" customWidth="1"/>
    <col min="7174" max="7174" width="13.33203125" style="8" customWidth="1"/>
    <col min="7175" max="7175" width="9.109375" style="8"/>
    <col min="7176" max="7176" width="6.5546875" style="8" customWidth="1"/>
    <col min="7177" max="7182" width="10.5546875" style="8" customWidth="1"/>
    <col min="7183" max="7187" width="9.109375" style="8"/>
    <col min="7188" max="7188" width="16.33203125" style="8" customWidth="1"/>
    <col min="7189" max="7190" width="12.88671875" style="8" customWidth="1"/>
    <col min="7191" max="7192" width="9.109375" style="8"/>
    <col min="7193" max="7194" width="10" style="8" customWidth="1"/>
    <col min="7195" max="7425" width="9.109375" style="8"/>
    <col min="7426" max="7427" width="12.109375" style="8" customWidth="1"/>
    <col min="7428" max="7429" width="8.6640625" style="8" customWidth="1"/>
    <col min="7430" max="7430" width="13.33203125" style="8" customWidth="1"/>
    <col min="7431" max="7431" width="9.109375" style="8"/>
    <col min="7432" max="7432" width="6.5546875" style="8" customWidth="1"/>
    <col min="7433" max="7438" width="10.5546875" style="8" customWidth="1"/>
    <col min="7439" max="7443" width="9.109375" style="8"/>
    <col min="7444" max="7444" width="16.33203125" style="8" customWidth="1"/>
    <col min="7445" max="7446" width="12.88671875" style="8" customWidth="1"/>
    <col min="7447" max="7448" width="9.109375" style="8"/>
    <col min="7449" max="7450" width="10" style="8" customWidth="1"/>
    <col min="7451" max="7681" width="9.109375" style="8"/>
    <col min="7682" max="7683" width="12.109375" style="8" customWidth="1"/>
    <col min="7684" max="7685" width="8.6640625" style="8" customWidth="1"/>
    <col min="7686" max="7686" width="13.33203125" style="8" customWidth="1"/>
    <col min="7687" max="7687" width="9.109375" style="8"/>
    <col min="7688" max="7688" width="6.5546875" style="8" customWidth="1"/>
    <col min="7689" max="7694" width="10.5546875" style="8" customWidth="1"/>
    <col min="7695" max="7699" width="9.109375" style="8"/>
    <col min="7700" max="7700" width="16.33203125" style="8" customWidth="1"/>
    <col min="7701" max="7702" width="12.88671875" style="8" customWidth="1"/>
    <col min="7703" max="7704" width="9.109375" style="8"/>
    <col min="7705" max="7706" width="10" style="8" customWidth="1"/>
    <col min="7707" max="7937" width="9.109375" style="8"/>
    <col min="7938" max="7939" width="12.109375" style="8" customWidth="1"/>
    <col min="7940" max="7941" width="8.6640625" style="8" customWidth="1"/>
    <col min="7942" max="7942" width="13.33203125" style="8" customWidth="1"/>
    <col min="7943" max="7943" width="9.109375" style="8"/>
    <col min="7944" max="7944" width="6.5546875" style="8" customWidth="1"/>
    <col min="7945" max="7950" width="10.5546875" style="8" customWidth="1"/>
    <col min="7951" max="7955" width="9.109375" style="8"/>
    <col min="7956" max="7956" width="16.33203125" style="8" customWidth="1"/>
    <col min="7957" max="7958" width="12.88671875" style="8" customWidth="1"/>
    <col min="7959" max="7960" width="9.109375" style="8"/>
    <col min="7961" max="7962" width="10" style="8" customWidth="1"/>
    <col min="7963" max="8193" width="9.109375" style="8"/>
    <col min="8194" max="8195" width="12.109375" style="8" customWidth="1"/>
    <col min="8196" max="8197" width="8.6640625" style="8" customWidth="1"/>
    <col min="8198" max="8198" width="13.33203125" style="8" customWidth="1"/>
    <col min="8199" max="8199" width="9.109375" style="8"/>
    <col min="8200" max="8200" width="6.5546875" style="8" customWidth="1"/>
    <col min="8201" max="8206" width="10.5546875" style="8" customWidth="1"/>
    <col min="8207" max="8211" width="9.109375" style="8"/>
    <col min="8212" max="8212" width="16.33203125" style="8" customWidth="1"/>
    <col min="8213" max="8214" width="12.88671875" style="8" customWidth="1"/>
    <col min="8215" max="8216" width="9.109375" style="8"/>
    <col min="8217" max="8218" width="10" style="8" customWidth="1"/>
    <col min="8219" max="8449" width="9.109375" style="8"/>
    <col min="8450" max="8451" width="12.109375" style="8" customWidth="1"/>
    <col min="8452" max="8453" width="8.6640625" style="8" customWidth="1"/>
    <col min="8454" max="8454" width="13.33203125" style="8" customWidth="1"/>
    <col min="8455" max="8455" width="9.109375" style="8"/>
    <col min="8456" max="8456" width="6.5546875" style="8" customWidth="1"/>
    <col min="8457" max="8462" width="10.5546875" style="8" customWidth="1"/>
    <col min="8463" max="8467" width="9.109375" style="8"/>
    <col min="8468" max="8468" width="16.33203125" style="8" customWidth="1"/>
    <col min="8469" max="8470" width="12.88671875" style="8" customWidth="1"/>
    <col min="8471" max="8472" width="9.109375" style="8"/>
    <col min="8473" max="8474" width="10" style="8" customWidth="1"/>
    <col min="8475" max="8705" width="9.109375" style="8"/>
    <col min="8706" max="8707" width="12.109375" style="8" customWidth="1"/>
    <col min="8708" max="8709" width="8.6640625" style="8" customWidth="1"/>
    <col min="8710" max="8710" width="13.33203125" style="8" customWidth="1"/>
    <col min="8711" max="8711" width="9.109375" style="8"/>
    <col min="8712" max="8712" width="6.5546875" style="8" customWidth="1"/>
    <col min="8713" max="8718" width="10.5546875" style="8" customWidth="1"/>
    <col min="8719" max="8723" width="9.109375" style="8"/>
    <col min="8724" max="8724" width="16.33203125" style="8" customWidth="1"/>
    <col min="8725" max="8726" width="12.88671875" style="8" customWidth="1"/>
    <col min="8727" max="8728" width="9.109375" style="8"/>
    <col min="8729" max="8730" width="10" style="8" customWidth="1"/>
    <col min="8731" max="8961" width="9.109375" style="8"/>
    <col min="8962" max="8963" width="12.109375" style="8" customWidth="1"/>
    <col min="8964" max="8965" width="8.6640625" style="8" customWidth="1"/>
    <col min="8966" max="8966" width="13.33203125" style="8" customWidth="1"/>
    <col min="8967" max="8967" width="9.109375" style="8"/>
    <col min="8968" max="8968" width="6.5546875" style="8" customWidth="1"/>
    <col min="8969" max="8974" width="10.5546875" style="8" customWidth="1"/>
    <col min="8975" max="8979" width="9.109375" style="8"/>
    <col min="8980" max="8980" width="16.33203125" style="8" customWidth="1"/>
    <col min="8981" max="8982" width="12.88671875" style="8" customWidth="1"/>
    <col min="8983" max="8984" width="9.109375" style="8"/>
    <col min="8985" max="8986" width="10" style="8" customWidth="1"/>
    <col min="8987" max="9217" width="9.109375" style="8"/>
    <col min="9218" max="9219" width="12.109375" style="8" customWidth="1"/>
    <col min="9220" max="9221" width="8.6640625" style="8" customWidth="1"/>
    <col min="9222" max="9222" width="13.33203125" style="8" customWidth="1"/>
    <col min="9223" max="9223" width="9.109375" style="8"/>
    <col min="9224" max="9224" width="6.5546875" style="8" customWidth="1"/>
    <col min="9225" max="9230" width="10.5546875" style="8" customWidth="1"/>
    <col min="9231" max="9235" width="9.109375" style="8"/>
    <col min="9236" max="9236" width="16.33203125" style="8" customWidth="1"/>
    <col min="9237" max="9238" width="12.88671875" style="8" customWidth="1"/>
    <col min="9239" max="9240" width="9.109375" style="8"/>
    <col min="9241" max="9242" width="10" style="8" customWidth="1"/>
    <col min="9243" max="9473" width="9.109375" style="8"/>
    <col min="9474" max="9475" width="12.109375" style="8" customWidth="1"/>
    <col min="9476" max="9477" width="8.6640625" style="8" customWidth="1"/>
    <col min="9478" max="9478" width="13.33203125" style="8" customWidth="1"/>
    <col min="9479" max="9479" width="9.109375" style="8"/>
    <col min="9480" max="9480" width="6.5546875" style="8" customWidth="1"/>
    <col min="9481" max="9486" width="10.5546875" style="8" customWidth="1"/>
    <col min="9487" max="9491" width="9.109375" style="8"/>
    <col min="9492" max="9492" width="16.33203125" style="8" customWidth="1"/>
    <col min="9493" max="9494" width="12.88671875" style="8" customWidth="1"/>
    <col min="9495" max="9496" width="9.109375" style="8"/>
    <col min="9497" max="9498" width="10" style="8" customWidth="1"/>
    <col min="9499" max="9729" width="9.109375" style="8"/>
    <col min="9730" max="9731" width="12.109375" style="8" customWidth="1"/>
    <col min="9732" max="9733" width="8.6640625" style="8" customWidth="1"/>
    <col min="9734" max="9734" width="13.33203125" style="8" customWidth="1"/>
    <col min="9735" max="9735" width="9.109375" style="8"/>
    <col min="9736" max="9736" width="6.5546875" style="8" customWidth="1"/>
    <col min="9737" max="9742" width="10.5546875" style="8" customWidth="1"/>
    <col min="9743" max="9747" width="9.109375" style="8"/>
    <col min="9748" max="9748" width="16.33203125" style="8" customWidth="1"/>
    <col min="9749" max="9750" width="12.88671875" style="8" customWidth="1"/>
    <col min="9751" max="9752" width="9.109375" style="8"/>
    <col min="9753" max="9754" width="10" style="8" customWidth="1"/>
    <col min="9755" max="9985" width="9.109375" style="8"/>
    <col min="9986" max="9987" width="12.109375" style="8" customWidth="1"/>
    <col min="9988" max="9989" width="8.6640625" style="8" customWidth="1"/>
    <col min="9990" max="9990" width="13.33203125" style="8" customWidth="1"/>
    <col min="9991" max="9991" width="9.109375" style="8"/>
    <col min="9992" max="9992" width="6.5546875" style="8" customWidth="1"/>
    <col min="9993" max="9998" width="10.5546875" style="8" customWidth="1"/>
    <col min="9999" max="10003" width="9.109375" style="8"/>
    <col min="10004" max="10004" width="16.33203125" style="8" customWidth="1"/>
    <col min="10005" max="10006" width="12.88671875" style="8" customWidth="1"/>
    <col min="10007" max="10008" width="9.109375" style="8"/>
    <col min="10009" max="10010" width="10" style="8" customWidth="1"/>
    <col min="10011" max="10241" width="9.109375" style="8"/>
    <col min="10242" max="10243" width="12.109375" style="8" customWidth="1"/>
    <col min="10244" max="10245" width="8.6640625" style="8" customWidth="1"/>
    <col min="10246" max="10246" width="13.33203125" style="8" customWidth="1"/>
    <col min="10247" max="10247" width="9.109375" style="8"/>
    <col min="10248" max="10248" width="6.5546875" style="8" customWidth="1"/>
    <col min="10249" max="10254" width="10.5546875" style="8" customWidth="1"/>
    <col min="10255" max="10259" width="9.109375" style="8"/>
    <col min="10260" max="10260" width="16.33203125" style="8" customWidth="1"/>
    <col min="10261" max="10262" width="12.88671875" style="8" customWidth="1"/>
    <col min="10263" max="10264" width="9.109375" style="8"/>
    <col min="10265" max="10266" width="10" style="8" customWidth="1"/>
    <col min="10267" max="10497" width="9.109375" style="8"/>
    <col min="10498" max="10499" width="12.109375" style="8" customWidth="1"/>
    <col min="10500" max="10501" width="8.6640625" style="8" customWidth="1"/>
    <col min="10502" max="10502" width="13.33203125" style="8" customWidth="1"/>
    <col min="10503" max="10503" width="9.109375" style="8"/>
    <col min="10504" max="10504" width="6.5546875" style="8" customWidth="1"/>
    <col min="10505" max="10510" width="10.5546875" style="8" customWidth="1"/>
    <col min="10511" max="10515" width="9.109375" style="8"/>
    <col min="10516" max="10516" width="16.33203125" style="8" customWidth="1"/>
    <col min="10517" max="10518" width="12.88671875" style="8" customWidth="1"/>
    <col min="10519" max="10520" width="9.109375" style="8"/>
    <col min="10521" max="10522" width="10" style="8" customWidth="1"/>
    <col min="10523" max="10753" width="9.109375" style="8"/>
    <col min="10754" max="10755" width="12.109375" style="8" customWidth="1"/>
    <col min="10756" max="10757" width="8.6640625" style="8" customWidth="1"/>
    <col min="10758" max="10758" width="13.33203125" style="8" customWidth="1"/>
    <col min="10759" max="10759" width="9.109375" style="8"/>
    <col min="10760" max="10760" width="6.5546875" style="8" customWidth="1"/>
    <col min="10761" max="10766" width="10.5546875" style="8" customWidth="1"/>
    <col min="10767" max="10771" width="9.109375" style="8"/>
    <col min="10772" max="10772" width="16.33203125" style="8" customWidth="1"/>
    <col min="10773" max="10774" width="12.88671875" style="8" customWidth="1"/>
    <col min="10775" max="10776" width="9.109375" style="8"/>
    <col min="10777" max="10778" width="10" style="8" customWidth="1"/>
    <col min="10779" max="11009" width="9.109375" style="8"/>
    <col min="11010" max="11011" width="12.109375" style="8" customWidth="1"/>
    <col min="11012" max="11013" width="8.6640625" style="8" customWidth="1"/>
    <col min="11014" max="11014" width="13.33203125" style="8" customWidth="1"/>
    <col min="11015" max="11015" width="9.109375" style="8"/>
    <col min="11016" max="11016" width="6.5546875" style="8" customWidth="1"/>
    <col min="11017" max="11022" width="10.5546875" style="8" customWidth="1"/>
    <col min="11023" max="11027" width="9.109375" style="8"/>
    <col min="11028" max="11028" width="16.33203125" style="8" customWidth="1"/>
    <col min="11029" max="11030" width="12.88671875" style="8" customWidth="1"/>
    <col min="11031" max="11032" width="9.109375" style="8"/>
    <col min="11033" max="11034" width="10" style="8" customWidth="1"/>
    <col min="11035" max="11265" width="9.109375" style="8"/>
    <col min="11266" max="11267" width="12.109375" style="8" customWidth="1"/>
    <col min="11268" max="11269" width="8.6640625" style="8" customWidth="1"/>
    <col min="11270" max="11270" width="13.33203125" style="8" customWidth="1"/>
    <col min="11271" max="11271" width="9.109375" style="8"/>
    <col min="11272" max="11272" width="6.5546875" style="8" customWidth="1"/>
    <col min="11273" max="11278" width="10.5546875" style="8" customWidth="1"/>
    <col min="11279" max="11283" width="9.109375" style="8"/>
    <col min="11284" max="11284" width="16.33203125" style="8" customWidth="1"/>
    <col min="11285" max="11286" width="12.88671875" style="8" customWidth="1"/>
    <col min="11287" max="11288" width="9.109375" style="8"/>
    <col min="11289" max="11290" width="10" style="8" customWidth="1"/>
    <col min="11291" max="11521" width="9.109375" style="8"/>
    <col min="11522" max="11523" width="12.109375" style="8" customWidth="1"/>
    <col min="11524" max="11525" width="8.6640625" style="8" customWidth="1"/>
    <col min="11526" max="11526" width="13.33203125" style="8" customWidth="1"/>
    <col min="11527" max="11527" width="9.109375" style="8"/>
    <col min="11528" max="11528" width="6.5546875" style="8" customWidth="1"/>
    <col min="11529" max="11534" width="10.5546875" style="8" customWidth="1"/>
    <col min="11535" max="11539" width="9.109375" style="8"/>
    <col min="11540" max="11540" width="16.33203125" style="8" customWidth="1"/>
    <col min="11541" max="11542" width="12.88671875" style="8" customWidth="1"/>
    <col min="11543" max="11544" width="9.109375" style="8"/>
    <col min="11545" max="11546" width="10" style="8" customWidth="1"/>
    <col min="11547" max="11777" width="9.109375" style="8"/>
    <col min="11778" max="11779" width="12.109375" style="8" customWidth="1"/>
    <col min="11780" max="11781" width="8.6640625" style="8" customWidth="1"/>
    <col min="11782" max="11782" width="13.33203125" style="8" customWidth="1"/>
    <col min="11783" max="11783" width="9.109375" style="8"/>
    <col min="11784" max="11784" width="6.5546875" style="8" customWidth="1"/>
    <col min="11785" max="11790" width="10.5546875" style="8" customWidth="1"/>
    <col min="11791" max="11795" width="9.109375" style="8"/>
    <col min="11796" max="11796" width="16.33203125" style="8" customWidth="1"/>
    <col min="11797" max="11798" width="12.88671875" style="8" customWidth="1"/>
    <col min="11799" max="11800" width="9.109375" style="8"/>
    <col min="11801" max="11802" width="10" style="8" customWidth="1"/>
    <col min="11803" max="12033" width="9.109375" style="8"/>
    <col min="12034" max="12035" width="12.109375" style="8" customWidth="1"/>
    <col min="12036" max="12037" width="8.6640625" style="8" customWidth="1"/>
    <col min="12038" max="12038" width="13.33203125" style="8" customWidth="1"/>
    <col min="12039" max="12039" width="9.109375" style="8"/>
    <col min="12040" max="12040" width="6.5546875" style="8" customWidth="1"/>
    <col min="12041" max="12046" width="10.5546875" style="8" customWidth="1"/>
    <col min="12047" max="12051" width="9.109375" style="8"/>
    <col min="12052" max="12052" width="16.33203125" style="8" customWidth="1"/>
    <col min="12053" max="12054" width="12.88671875" style="8" customWidth="1"/>
    <col min="12055" max="12056" width="9.109375" style="8"/>
    <col min="12057" max="12058" width="10" style="8" customWidth="1"/>
    <col min="12059" max="12289" width="9.109375" style="8"/>
    <col min="12290" max="12291" width="12.109375" style="8" customWidth="1"/>
    <col min="12292" max="12293" width="8.6640625" style="8" customWidth="1"/>
    <col min="12294" max="12294" width="13.33203125" style="8" customWidth="1"/>
    <col min="12295" max="12295" width="9.109375" style="8"/>
    <col min="12296" max="12296" width="6.5546875" style="8" customWidth="1"/>
    <col min="12297" max="12302" width="10.5546875" style="8" customWidth="1"/>
    <col min="12303" max="12307" width="9.109375" style="8"/>
    <col min="12308" max="12308" width="16.33203125" style="8" customWidth="1"/>
    <col min="12309" max="12310" width="12.88671875" style="8" customWidth="1"/>
    <col min="12311" max="12312" width="9.109375" style="8"/>
    <col min="12313" max="12314" width="10" style="8" customWidth="1"/>
    <col min="12315" max="12545" width="9.109375" style="8"/>
    <col min="12546" max="12547" width="12.109375" style="8" customWidth="1"/>
    <col min="12548" max="12549" width="8.6640625" style="8" customWidth="1"/>
    <col min="12550" max="12550" width="13.33203125" style="8" customWidth="1"/>
    <col min="12551" max="12551" width="9.109375" style="8"/>
    <col min="12552" max="12552" width="6.5546875" style="8" customWidth="1"/>
    <col min="12553" max="12558" width="10.5546875" style="8" customWidth="1"/>
    <col min="12559" max="12563" width="9.109375" style="8"/>
    <col min="12564" max="12564" width="16.33203125" style="8" customWidth="1"/>
    <col min="12565" max="12566" width="12.88671875" style="8" customWidth="1"/>
    <col min="12567" max="12568" width="9.109375" style="8"/>
    <col min="12569" max="12570" width="10" style="8" customWidth="1"/>
    <col min="12571" max="12801" width="9.109375" style="8"/>
    <col min="12802" max="12803" width="12.109375" style="8" customWidth="1"/>
    <col min="12804" max="12805" width="8.6640625" style="8" customWidth="1"/>
    <col min="12806" max="12806" width="13.33203125" style="8" customWidth="1"/>
    <col min="12807" max="12807" width="9.109375" style="8"/>
    <col min="12808" max="12808" width="6.5546875" style="8" customWidth="1"/>
    <col min="12809" max="12814" width="10.5546875" style="8" customWidth="1"/>
    <col min="12815" max="12819" width="9.109375" style="8"/>
    <col min="12820" max="12820" width="16.33203125" style="8" customWidth="1"/>
    <col min="12821" max="12822" width="12.88671875" style="8" customWidth="1"/>
    <col min="12823" max="12824" width="9.109375" style="8"/>
    <col min="12825" max="12826" width="10" style="8" customWidth="1"/>
    <col min="12827" max="13057" width="9.109375" style="8"/>
    <col min="13058" max="13059" width="12.109375" style="8" customWidth="1"/>
    <col min="13060" max="13061" width="8.6640625" style="8" customWidth="1"/>
    <col min="13062" max="13062" width="13.33203125" style="8" customWidth="1"/>
    <col min="13063" max="13063" width="9.109375" style="8"/>
    <col min="13064" max="13064" width="6.5546875" style="8" customWidth="1"/>
    <col min="13065" max="13070" width="10.5546875" style="8" customWidth="1"/>
    <col min="13071" max="13075" width="9.109375" style="8"/>
    <col min="13076" max="13076" width="16.33203125" style="8" customWidth="1"/>
    <col min="13077" max="13078" width="12.88671875" style="8" customWidth="1"/>
    <col min="13079" max="13080" width="9.109375" style="8"/>
    <col min="13081" max="13082" width="10" style="8" customWidth="1"/>
    <col min="13083" max="13313" width="9.109375" style="8"/>
    <col min="13314" max="13315" width="12.109375" style="8" customWidth="1"/>
    <col min="13316" max="13317" width="8.6640625" style="8" customWidth="1"/>
    <col min="13318" max="13318" width="13.33203125" style="8" customWidth="1"/>
    <col min="13319" max="13319" width="9.109375" style="8"/>
    <col min="13320" max="13320" width="6.5546875" style="8" customWidth="1"/>
    <col min="13321" max="13326" width="10.5546875" style="8" customWidth="1"/>
    <col min="13327" max="13331" width="9.109375" style="8"/>
    <col min="13332" max="13332" width="16.33203125" style="8" customWidth="1"/>
    <col min="13333" max="13334" width="12.88671875" style="8" customWidth="1"/>
    <col min="13335" max="13336" width="9.109375" style="8"/>
    <col min="13337" max="13338" width="10" style="8" customWidth="1"/>
    <col min="13339" max="13569" width="9.109375" style="8"/>
    <col min="13570" max="13571" width="12.109375" style="8" customWidth="1"/>
    <col min="13572" max="13573" width="8.6640625" style="8" customWidth="1"/>
    <col min="13574" max="13574" width="13.33203125" style="8" customWidth="1"/>
    <col min="13575" max="13575" width="9.109375" style="8"/>
    <col min="13576" max="13576" width="6.5546875" style="8" customWidth="1"/>
    <col min="13577" max="13582" width="10.5546875" style="8" customWidth="1"/>
    <col min="13583" max="13587" width="9.109375" style="8"/>
    <col min="13588" max="13588" width="16.33203125" style="8" customWidth="1"/>
    <col min="13589" max="13590" width="12.88671875" style="8" customWidth="1"/>
    <col min="13591" max="13592" width="9.109375" style="8"/>
    <col min="13593" max="13594" width="10" style="8" customWidth="1"/>
    <col min="13595" max="13825" width="9.109375" style="8"/>
    <col min="13826" max="13827" width="12.109375" style="8" customWidth="1"/>
    <col min="13828" max="13829" width="8.6640625" style="8" customWidth="1"/>
    <col min="13830" max="13830" width="13.33203125" style="8" customWidth="1"/>
    <col min="13831" max="13831" width="9.109375" style="8"/>
    <col min="13832" max="13832" width="6.5546875" style="8" customWidth="1"/>
    <col min="13833" max="13838" width="10.5546875" style="8" customWidth="1"/>
    <col min="13839" max="13843" width="9.109375" style="8"/>
    <col min="13844" max="13844" width="16.33203125" style="8" customWidth="1"/>
    <col min="13845" max="13846" width="12.88671875" style="8" customWidth="1"/>
    <col min="13847" max="13848" width="9.109375" style="8"/>
    <col min="13849" max="13850" width="10" style="8" customWidth="1"/>
    <col min="13851" max="14081" width="9.109375" style="8"/>
    <col min="14082" max="14083" width="12.109375" style="8" customWidth="1"/>
    <col min="14084" max="14085" width="8.6640625" style="8" customWidth="1"/>
    <col min="14086" max="14086" width="13.33203125" style="8" customWidth="1"/>
    <col min="14087" max="14087" width="9.109375" style="8"/>
    <col min="14088" max="14088" width="6.5546875" style="8" customWidth="1"/>
    <col min="14089" max="14094" width="10.5546875" style="8" customWidth="1"/>
    <col min="14095" max="14099" width="9.109375" style="8"/>
    <col min="14100" max="14100" width="16.33203125" style="8" customWidth="1"/>
    <col min="14101" max="14102" width="12.88671875" style="8" customWidth="1"/>
    <col min="14103" max="14104" width="9.109375" style="8"/>
    <col min="14105" max="14106" width="10" style="8" customWidth="1"/>
    <col min="14107" max="14337" width="9.109375" style="8"/>
    <col min="14338" max="14339" width="12.109375" style="8" customWidth="1"/>
    <col min="14340" max="14341" width="8.6640625" style="8" customWidth="1"/>
    <col min="14342" max="14342" width="13.33203125" style="8" customWidth="1"/>
    <col min="14343" max="14343" width="9.109375" style="8"/>
    <col min="14344" max="14344" width="6.5546875" style="8" customWidth="1"/>
    <col min="14345" max="14350" width="10.5546875" style="8" customWidth="1"/>
    <col min="14351" max="14355" width="9.109375" style="8"/>
    <col min="14356" max="14356" width="16.33203125" style="8" customWidth="1"/>
    <col min="14357" max="14358" width="12.88671875" style="8" customWidth="1"/>
    <col min="14359" max="14360" width="9.109375" style="8"/>
    <col min="14361" max="14362" width="10" style="8" customWidth="1"/>
    <col min="14363" max="14593" width="9.109375" style="8"/>
    <col min="14594" max="14595" width="12.109375" style="8" customWidth="1"/>
    <col min="14596" max="14597" width="8.6640625" style="8" customWidth="1"/>
    <col min="14598" max="14598" width="13.33203125" style="8" customWidth="1"/>
    <col min="14599" max="14599" width="9.109375" style="8"/>
    <col min="14600" max="14600" width="6.5546875" style="8" customWidth="1"/>
    <col min="14601" max="14606" width="10.5546875" style="8" customWidth="1"/>
    <col min="14607" max="14611" width="9.109375" style="8"/>
    <col min="14612" max="14612" width="16.33203125" style="8" customWidth="1"/>
    <col min="14613" max="14614" width="12.88671875" style="8" customWidth="1"/>
    <col min="14615" max="14616" width="9.109375" style="8"/>
    <col min="14617" max="14618" width="10" style="8" customWidth="1"/>
    <col min="14619" max="14849" width="9.109375" style="8"/>
    <col min="14850" max="14851" width="12.109375" style="8" customWidth="1"/>
    <col min="14852" max="14853" width="8.6640625" style="8" customWidth="1"/>
    <col min="14854" max="14854" width="13.33203125" style="8" customWidth="1"/>
    <col min="14855" max="14855" width="9.109375" style="8"/>
    <col min="14856" max="14856" width="6.5546875" style="8" customWidth="1"/>
    <col min="14857" max="14862" width="10.5546875" style="8" customWidth="1"/>
    <col min="14863" max="14867" width="9.109375" style="8"/>
    <col min="14868" max="14868" width="16.33203125" style="8" customWidth="1"/>
    <col min="14869" max="14870" width="12.88671875" style="8" customWidth="1"/>
    <col min="14871" max="14872" width="9.109375" style="8"/>
    <col min="14873" max="14874" width="10" style="8" customWidth="1"/>
    <col min="14875" max="15105" width="9.109375" style="8"/>
    <col min="15106" max="15107" width="12.109375" style="8" customWidth="1"/>
    <col min="15108" max="15109" width="8.6640625" style="8" customWidth="1"/>
    <col min="15110" max="15110" width="13.33203125" style="8" customWidth="1"/>
    <col min="15111" max="15111" width="9.109375" style="8"/>
    <col min="15112" max="15112" width="6.5546875" style="8" customWidth="1"/>
    <col min="15113" max="15118" width="10.5546875" style="8" customWidth="1"/>
    <col min="15119" max="15123" width="9.109375" style="8"/>
    <col min="15124" max="15124" width="16.33203125" style="8" customWidth="1"/>
    <col min="15125" max="15126" width="12.88671875" style="8" customWidth="1"/>
    <col min="15127" max="15128" width="9.109375" style="8"/>
    <col min="15129" max="15130" width="10" style="8" customWidth="1"/>
    <col min="15131" max="15361" width="9.109375" style="8"/>
    <col min="15362" max="15363" width="12.109375" style="8" customWidth="1"/>
    <col min="15364" max="15365" width="8.6640625" style="8" customWidth="1"/>
    <col min="15366" max="15366" width="13.33203125" style="8" customWidth="1"/>
    <col min="15367" max="15367" width="9.109375" style="8"/>
    <col min="15368" max="15368" width="6.5546875" style="8" customWidth="1"/>
    <col min="15369" max="15374" width="10.5546875" style="8" customWidth="1"/>
    <col min="15375" max="15379" width="9.109375" style="8"/>
    <col min="15380" max="15380" width="16.33203125" style="8" customWidth="1"/>
    <col min="15381" max="15382" width="12.88671875" style="8" customWidth="1"/>
    <col min="15383" max="15384" width="9.109375" style="8"/>
    <col min="15385" max="15386" width="10" style="8" customWidth="1"/>
    <col min="15387" max="15617" width="9.109375" style="8"/>
    <col min="15618" max="15619" width="12.109375" style="8" customWidth="1"/>
    <col min="15620" max="15621" width="8.6640625" style="8" customWidth="1"/>
    <col min="15622" max="15622" width="13.33203125" style="8" customWidth="1"/>
    <col min="15623" max="15623" width="9.109375" style="8"/>
    <col min="15624" max="15624" width="6.5546875" style="8" customWidth="1"/>
    <col min="15625" max="15630" width="10.5546875" style="8" customWidth="1"/>
    <col min="15631" max="15635" width="9.109375" style="8"/>
    <col min="15636" max="15636" width="16.33203125" style="8" customWidth="1"/>
    <col min="15637" max="15638" width="12.88671875" style="8" customWidth="1"/>
    <col min="15639" max="15640" width="9.109375" style="8"/>
    <col min="15641" max="15642" width="10" style="8" customWidth="1"/>
    <col min="15643" max="15873" width="9.109375" style="8"/>
    <col min="15874" max="15875" width="12.109375" style="8" customWidth="1"/>
    <col min="15876" max="15877" width="8.6640625" style="8" customWidth="1"/>
    <col min="15878" max="15878" width="13.33203125" style="8" customWidth="1"/>
    <col min="15879" max="15879" width="9.109375" style="8"/>
    <col min="15880" max="15880" width="6.5546875" style="8" customWidth="1"/>
    <col min="15881" max="15886" width="10.5546875" style="8" customWidth="1"/>
    <col min="15887" max="15891" width="9.109375" style="8"/>
    <col min="15892" max="15892" width="16.33203125" style="8" customWidth="1"/>
    <col min="15893" max="15894" width="12.88671875" style="8" customWidth="1"/>
    <col min="15895" max="15896" width="9.109375" style="8"/>
    <col min="15897" max="15898" width="10" style="8" customWidth="1"/>
    <col min="15899" max="16129" width="9.109375" style="8"/>
    <col min="16130" max="16131" width="12.109375" style="8" customWidth="1"/>
    <col min="16132" max="16133" width="8.6640625" style="8" customWidth="1"/>
    <col min="16134" max="16134" width="13.33203125" style="8" customWidth="1"/>
    <col min="16135" max="16135" width="9.109375" style="8"/>
    <col min="16136" max="16136" width="6.5546875" style="8" customWidth="1"/>
    <col min="16137" max="16142" width="10.5546875" style="8" customWidth="1"/>
    <col min="16143" max="16147" width="9.109375" style="8"/>
    <col min="16148" max="16148" width="16.33203125" style="8" customWidth="1"/>
    <col min="16149" max="16150" width="12.88671875" style="8" customWidth="1"/>
    <col min="16151" max="16152" width="9.109375" style="8"/>
    <col min="16153" max="16154" width="10" style="8" customWidth="1"/>
    <col min="16155" max="16384" width="9.109375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"/>
      <c r="AI1" s="7"/>
      <c r="AJ1" s="7"/>
      <c r="AK1" s="7">
        <v>0</v>
      </c>
      <c r="AL1" s="7" t="s">
        <v>34</v>
      </c>
      <c r="AM1" s="7"/>
      <c r="AN1" s="7"/>
      <c r="AO1" s="7"/>
      <c r="AP1" s="7"/>
      <c r="AQ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42" customHeight="1" thickBot="1" x14ac:dyDescent="0.35">
      <c r="A2" s="10" t="s">
        <v>23</v>
      </c>
      <c r="B2" s="11" t="s">
        <v>34</v>
      </c>
      <c r="C2" s="7"/>
      <c r="D2" s="7"/>
      <c r="E2" s="12"/>
      <c r="F2" s="81" t="s">
        <v>24</v>
      </c>
      <c r="G2" s="82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2"/>
      <c r="Z2" s="72"/>
      <c r="AA2" s="14"/>
      <c r="AB2" s="14"/>
      <c r="AC2" s="14"/>
      <c r="AD2" s="14"/>
      <c r="AE2" s="14"/>
      <c r="AF2" s="14"/>
      <c r="AG2" s="14"/>
      <c r="AH2" s="14">
        <v>0</v>
      </c>
      <c r="AI2" s="14"/>
      <c r="AJ2" s="14"/>
      <c r="AK2" s="14">
        <v>80</v>
      </c>
      <c r="AL2" s="14">
        <v>0</v>
      </c>
      <c r="AM2" s="14"/>
      <c r="AN2" s="14"/>
      <c r="AO2" s="14"/>
      <c r="AP2" s="14"/>
      <c r="AQ2" s="14"/>
      <c r="AR2" s="7"/>
      <c r="AS2" s="7"/>
      <c r="AT2" s="7"/>
      <c r="AU2" s="7"/>
      <c r="AV2" s="7"/>
      <c r="AW2" s="7"/>
      <c r="AX2" s="7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16">
        <v>176.92058732053607</v>
      </c>
      <c r="E3" s="17"/>
      <c r="F3" s="18">
        <v>10000</v>
      </c>
      <c r="G3" s="19" t="s">
        <v>25</v>
      </c>
      <c r="AH3" s="7">
        <v>0.12903225421905518</v>
      </c>
      <c r="AI3" s="7">
        <v>0</v>
      </c>
      <c r="AJ3" s="7"/>
      <c r="AK3" s="7">
        <v>80</v>
      </c>
      <c r="AL3" s="7">
        <v>2</v>
      </c>
      <c r="AM3" s="7"/>
      <c r="AN3" s="7"/>
      <c r="AO3" s="7"/>
      <c r="AP3" s="7"/>
      <c r="AQ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16">
        <v>250.4534171606189</v>
      </c>
      <c r="E4" s="17"/>
      <c r="F4" s="20">
        <v>8.9999995892867446</v>
      </c>
      <c r="G4" s="21" t="s">
        <v>26</v>
      </c>
      <c r="I4" s="83" t="s">
        <v>27</v>
      </c>
      <c r="J4" s="84"/>
      <c r="K4" s="85"/>
      <c r="L4" s="86" t="s">
        <v>28</v>
      </c>
      <c r="M4" s="86"/>
      <c r="N4" s="87"/>
      <c r="P4" s="73"/>
      <c r="AH4" s="7">
        <v>0.25806450843811035</v>
      </c>
      <c r="AI4" s="7">
        <v>3</v>
      </c>
      <c r="AJ4" s="7"/>
      <c r="AK4" s="7">
        <v>85</v>
      </c>
      <c r="AL4" s="7">
        <v>2</v>
      </c>
      <c r="AM4" s="7"/>
      <c r="AN4" s="7"/>
      <c r="AO4" s="7"/>
      <c r="AP4" s="7"/>
      <c r="AQ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16">
        <v>124.91368227982979</v>
      </c>
      <c r="E5" s="22"/>
      <c r="F5" s="23"/>
      <c r="G5" s="22"/>
      <c r="I5" s="24" t="s">
        <v>29</v>
      </c>
      <c r="J5" s="25">
        <v>199.95878609786337</v>
      </c>
      <c r="K5" s="26"/>
      <c r="L5" s="27"/>
      <c r="M5" s="28"/>
      <c r="N5" s="29"/>
      <c r="P5" s="73"/>
      <c r="AH5" s="7">
        <v>0.38709676265716553</v>
      </c>
      <c r="AI5" s="7">
        <v>4</v>
      </c>
      <c r="AJ5" s="7"/>
      <c r="AK5" s="7">
        <v>85</v>
      </c>
      <c r="AL5" s="7">
        <v>0</v>
      </c>
      <c r="AM5" s="7"/>
      <c r="AN5" s="7"/>
      <c r="AO5" s="7"/>
      <c r="AP5" s="7"/>
      <c r="AQ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16">
        <v>149.5141300878316</v>
      </c>
      <c r="I6" s="30" t="s">
        <v>30</v>
      </c>
      <c r="J6" s="31">
        <v>32.547659987589668</v>
      </c>
      <c r="K6" s="32"/>
      <c r="L6" s="33"/>
      <c r="M6" s="34"/>
      <c r="N6" s="32"/>
      <c r="AH6" s="7">
        <v>0.5161290168762207</v>
      </c>
      <c r="AI6" s="7">
        <v>8</v>
      </c>
      <c r="AJ6" s="7"/>
      <c r="AK6" s="7">
        <v>90</v>
      </c>
      <c r="AL6" s="7">
        <v>0</v>
      </c>
      <c r="AM6" s="7"/>
      <c r="AN6" s="7"/>
      <c r="AO6" s="7"/>
      <c r="AP6" s="7"/>
      <c r="AQ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16">
        <v>204.28278979427122</v>
      </c>
      <c r="F7" s="35"/>
      <c r="I7" s="36" t="s">
        <v>31</v>
      </c>
      <c r="J7" s="37">
        <v>313.75293306917109</v>
      </c>
      <c r="K7" s="26"/>
      <c r="L7" s="38"/>
      <c r="M7" s="17"/>
      <c r="N7" s="32"/>
      <c r="AH7" s="7">
        <v>0.64516127109527588</v>
      </c>
      <c r="AI7" s="7">
        <v>4</v>
      </c>
      <c r="AJ7" s="7"/>
      <c r="AK7" s="7">
        <v>90</v>
      </c>
      <c r="AL7" s="7">
        <v>7</v>
      </c>
      <c r="AM7" s="7"/>
      <c r="AN7" s="7"/>
      <c r="AO7" s="7"/>
      <c r="AP7" s="7"/>
      <c r="AQ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16">
        <v>160.07927672408189</v>
      </c>
      <c r="F8" s="35"/>
      <c r="I8" s="39" t="s">
        <v>32</v>
      </c>
      <c r="J8" s="40">
        <v>81.21772312274409</v>
      </c>
      <c r="K8" s="41"/>
      <c r="L8" s="42"/>
      <c r="M8" s="43"/>
      <c r="N8" s="44"/>
      <c r="AH8" s="7">
        <v>0.77419352531433105</v>
      </c>
      <c r="AI8" s="7">
        <v>9</v>
      </c>
      <c r="AJ8" s="7"/>
      <c r="AK8" s="7">
        <v>95</v>
      </c>
      <c r="AL8" s="7">
        <v>7</v>
      </c>
      <c r="AM8" s="7"/>
      <c r="AN8" s="7"/>
      <c r="AO8" s="7"/>
      <c r="AP8" s="7"/>
      <c r="AQ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16">
        <v>203.59274905238334</v>
      </c>
      <c r="F9" s="35"/>
      <c r="I9" s="22"/>
      <c r="J9" s="45"/>
      <c r="K9" s="22"/>
      <c r="L9" s="22"/>
      <c r="M9" s="22"/>
      <c r="N9" s="22"/>
      <c r="AH9" s="7">
        <v>0.90322577953338623</v>
      </c>
      <c r="AI9" s="7">
        <v>9</v>
      </c>
      <c r="AJ9" s="7"/>
      <c r="AK9" s="7">
        <v>95</v>
      </c>
      <c r="AL9" s="7">
        <v>4</v>
      </c>
      <c r="AM9" s="7"/>
      <c r="AN9" s="7"/>
      <c r="AO9" s="7"/>
      <c r="AP9" s="7"/>
      <c r="AQ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16">
        <v>216.07080573334969</v>
      </c>
      <c r="F10" s="35"/>
      <c r="I10" s="17"/>
      <c r="J10" s="45"/>
      <c r="K10" s="22"/>
      <c r="L10" s="22"/>
      <c r="M10" s="22"/>
      <c r="N10" s="22"/>
      <c r="P10" s="73"/>
      <c r="AH10" s="7">
        <v>1.0322580337524414</v>
      </c>
      <c r="AI10" s="7">
        <v>12</v>
      </c>
      <c r="AJ10" s="7"/>
      <c r="AK10" s="7">
        <v>100</v>
      </c>
      <c r="AL10" s="7">
        <v>4</v>
      </c>
      <c r="AM10" s="7"/>
      <c r="AN10" s="7"/>
      <c r="AO10" s="7"/>
      <c r="AP10" s="7"/>
      <c r="AQ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16">
        <v>227.22341110255667</v>
      </c>
      <c r="I11" s="22"/>
      <c r="J11" s="45"/>
      <c r="K11" s="22"/>
      <c r="L11" s="22"/>
      <c r="M11" s="22"/>
      <c r="N11" s="22"/>
      <c r="P11" s="73"/>
      <c r="AH11" s="7">
        <v>1.1612902879714966</v>
      </c>
      <c r="AI11" s="7">
        <v>8</v>
      </c>
      <c r="AJ11" s="7"/>
      <c r="AK11" s="7">
        <v>100</v>
      </c>
      <c r="AL11" s="7">
        <v>11</v>
      </c>
      <c r="AM11" s="7"/>
      <c r="AN11" s="7"/>
      <c r="AO11" s="7"/>
      <c r="AP11" s="7"/>
      <c r="AQ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16">
        <v>154.2504223859853</v>
      </c>
      <c r="I12" s="22"/>
      <c r="J12" s="22"/>
      <c r="K12" s="22"/>
      <c r="L12" s="22"/>
      <c r="M12" s="22"/>
      <c r="N12" s="22"/>
      <c r="P12" s="73"/>
      <c r="AH12" s="7">
        <v>1.2903225421905518</v>
      </c>
      <c r="AI12" s="7">
        <v>3</v>
      </c>
      <c r="AJ12" s="7"/>
      <c r="AK12" s="7">
        <v>105</v>
      </c>
      <c r="AL12" s="7">
        <v>11</v>
      </c>
      <c r="AM12" s="7"/>
      <c r="AN12" s="7"/>
      <c r="AO12" s="7"/>
      <c r="AP12" s="7"/>
      <c r="AQ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16">
        <v>169.27850487715668</v>
      </c>
      <c r="I13" s="22"/>
      <c r="J13" s="22"/>
      <c r="K13" s="22"/>
      <c r="L13" s="22"/>
      <c r="M13" s="22"/>
      <c r="N13" s="22"/>
      <c r="AH13" s="7">
        <v>1.4193547964096069</v>
      </c>
      <c r="AI13" s="7">
        <v>6</v>
      </c>
      <c r="AJ13" s="7"/>
      <c r="AK13" s="7">
        <v>105</v>
      </c>
      <c r="AL13" s="7">
        <v>14</v>
      </c>
      <c r="AM13" s="7"/>
      <c r="AN13" s="7"/>
      <c r="AO13" s="7"/>
      <c r="AP13" s="7"/>
      <c r="AQ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16">
        <v>179.55186596288621</v>
      </c>
      <c r="E14" s="74"/>
      <c r="I14" s="22"/>
      <c r="J14" s="22"/>
      <c r="K14" s="22"/>
      <c r="L14" s="22"/>
      <c r="M14" s="22"/>
      <c r="N14" s="22"/>
      <c r="AH14" s="7">
        <v>1.5483870506286621</v>
      </c>
      <c r="AI14" s="7">
        <v>7</v>
      </c>
      <c r="AJ14" s="7"/>
      <c r="AK14" s="7">
        <v>110</v>
      </c>
      <c r="AL14" s="7">
        <v>14</v>
      </c>
      <c r="AM14" s="7"/>
      <c r="AN14" s="7"/>
      <c r="AO14" s="7"/>
      <c r="AP14" s="7"/>
      <c r="AQ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16">
        <v>166.21305520169452</v>
      </c>
      <c r="E15" s="74"/>
      <c r="I15" s="22"/>
      <c r="J15" s="22"/>
      <c r="K15" s="22"/>
      <c r="L15" s="22"/>
      <c r="M15" s="22"/>
      <c r="N15" s="22"/>
      <c r="AH15" s="7">
        <v>1.6774193048477173</v>
      </c>
      <c r="AI15" s="7">
        <v>6</v>
      </c>
      <c r="AJ15" s="7"/>
      <c r="AK15" s="7">
        <v>110</v>
      </c>
      <c r="AL15" s="7">
        <v>19</v>
      </c>
      <c r="AM15" s="7"/>
      <c r="AN15" s="7"/>
      <c r="AO15" s="7"/>
      <c r="AP15" s="7"/>
      <c r="AQ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16">
        <v>169.35640203663854</v>
      </c>
      <c r="E16" s="74"/>
      <c r="I16" s="22"/>
      <c r="J16" s="22"/>
      <c r="K16" s="22"/>
      <c r="L16" s="22"/>
      <c r="M16" s="22"/>
      <c r="N16" s="22"/>
      <c r="AH16" s="7">
        <v>1.8064515590667725</v>
      </c>
      <c r="AI16" s="7">
        <v>6</v>
      </c>
      <c r="AJ16" s="7"/>
      <c r="AK16" s="7">
        <v>115</v>
      </c>
      <c r="AL16" s="7">
        <v>19</v>
      </c>
      <c r="AM16" s="7"/>
      <c r="AN16" s="7"/>
      <c r="AO16" s="7"/>
      <c r="AP16" s="7"/>
      <c r="AQ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16">
        <v>215.02214968556623</v>
      </c>
      <c r="I17" s="22"/>
      <c r="J17" s="22"/>
      <c r="K17" s="22"/>
      <c r="L17" s="22"/>
      <c r="M17" s="22"/>
      <c r="N17" s="22"/>
      <c r="AH17" s="7">
        <v>1.9354838132858276</v>
      </c>
      <c r="AI17" s="7">
        <v>2</v>
      </c>
      <c r="AJ17" s="7"/>
      <c r="AK17" s="7">
        <v>115</v>
      </c>
      <c r="AL17" s="7">
        <v>18</v>
      </c>
      <c r="AM17" s="7"/>
      <c r="AN17" s="7"/>
      <c r="AO17" s="7"/>
      <c r="AP17" s="7"/>
      <c r="AQ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16">
        <v>178.290266478196</v>
      </c>
      <c r="I18" s="22"/>
      <c r="J18" s="22"/>
      <c r="K18" s="22"/>
      <c r="L18" s="22"/>
      <c r="M18" s="22"/>
      <c r="N18" s="22"/>
      <c r="AH18" s="7">
        <v>2.0645160675048828</v>
      </c>
      <c r="AI18" s="7">
        <v>5</v>
      </c>
      <c r="AJ18" s="7"/>
      <c r="AK18" s="7">
        <v>120</v>
      </c>
      <c r="AL18" s="7">
        <v>18</v>
      </c>
      <c r="AM18" s="7"/>
      <c r="AN18" s="7"/>
      <c r="AO18" s="7"/>
      <c r="AP18" s="7"/>
      <c r="AQ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16">
        <v>223.33171077298888</v>
      </c>
      <c r="I19" s="22"/>
      <c r="J19" s="22"/>
      <c r="K19" s="22"/>
      <c r="L19" s="22"/>
      <c r="M19" s="22"/>
      <c r="N19" s="22"/>
      <c r="AH19" s="7">
        <v>2.193548321723938</v>
      </c>
      <c r="AI19" s="7">
        <v>2</v>
      </c>
      <c r="AJ19" s="7"/>
      <c r="AK19" s="7">
        <v>120</v>
      </c>
      <c r="AL19" s="7">
        <v>46</v>
      </c>
      <c r="AM19" s="7"/>
      <c r="AN19" s="7"/>
      <c r="AO19" s="7"/>
      <c r="AP19" s="7"/>
      <c r="AQ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16">
        <v>229.82387506573849</v>
      </c>
      <c r="I20" s="22"/>
      <c r="J20" s="22"/>
      <c r="K20" s="22"/>
      <c r="L20" s="22"/>
      <c r="M20" s="22"/>
      <c r="N20" s="22"/>
      <c r="AH20" s="7">
        <v>2.3225805759429932</v>
      </c>
      <c r="AI20" s="7">
        <v>3</v>
      </c>
      <c r="AJ20" s="7"/>
      <c r="AK20" s="7">
        <v>125</v>
      </c>
      <c r="AL20" s="7">
        <v>46</v>
      </c>
      <c r="AM20" s="7"/>
      <c r="AN20" s="7"/>
      <c r="AO20" s="7"/>
      <c r="AP20" s="7"/>
      <c r="AQ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16">
        <v>207.94487242761147</v>
      </c>
      <c r="I21" s="22"/>
      <c r="J21" s="22"/>
      <c r="K21" s="22"/>
      <c r="L21" s="22"/>
      <c r="M21" s="22"/>
      <c r="N21" s="22"/>
      <c r="AH21" s="7">
        <v>2.4516128301620483</v>
      </c>
      <c r="AI21" s="7">
        <v>2</v>
      </c>
      <c r="AJ21" s="7"/>
      <c r="AK21" s="7">
        <v>125</v>
      </c>
      <c r="AL21" s="7">
        <v>52</v>
      </c>
      <c r="AM21" s="7"/>
      <c r="AN21" s="7"/>
      <c r="AO21" s="7"/>
      <c r="AP21" s="7"/>
      <c r="AQ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16">
        <v>223.58620000432066</v>
      </c>
      <c r="I22" s="22"/>
      <c r="J22" s="22"/>
      <c r="K22" s="22"/>
      <c r="L22" s="22"/>
      <c r="M22" s="22"/>
      <c r="N22" s="22"/>
      <c r="AH22" s="7">
        <v>2.5806450843811035</v>
      </c>
      <c r="AI22" s="7">
        <v>1</v>
      </c>
      <c r="AJ22" s="7"/>
      <c r="AK22" s="7">
        <v>130</v>
      </c>
      <c r="AL22" s="7">
        <v>52</v>
      </c>
      <c r="AM22" s="7"/>
      <c r="AN22" s="7"/>
      <c r="AO22" s="7"/>
      <c r="AP22" s="7"/>
      <c r="AQ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16">
        <v>206.65810609900481</v>
      </c>
      <c r="AH23" s="7">
        <v>2.7096773386001587</v>
      </c>
      <c r="AI23" s="7">
        <v>0</v>
      </c>
      <c r="AJ23" s="7"/>
      <c r="AK23" s="7">
        <v>130</v>
      </c>
      <c r="AL23" s="7">
        <v>54</v>
      </c>
      <c r="AM23" s="7"/>
      <c r="AN23" s="7"/>
      <c r="AO23" s="7"/>
      <c r="AP23" s="7"/>
      <c r="AQ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16">
        <v>210.69795650397066</v>
      </c>
      <c r="AH24" s="7">
        <v>2.8387095928192139</v>
      </c>
      <c r="AI24" s="7">
        <v>0</v>
      </c>
      <c r="AJ24" s="7"/>
      <c r="AK24" s="7">
        <v>135</v>
      </c>
      <c r="AL24" s="7">
        <v>54</v>
      </c>
      <c r="AM24" s="7"/>
      <c r="AN24" s="7"/>
      <c r="AO24" s="7"/>
      <c r="AP24" s="7"/>
      <c r="AQ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16">
        <v>210.07786214415646</v>
      </c>
      <c r="AH25" s="7">
        <v>2.967741847038269</v>
      </c>
      <c r="AI25" s="7">
        <v>0</v>
      </c>
      <c r="AJ25" s="7"/>
      <c r="AK25" s="7">
        <v>135</v>
      </c>
      <c r="AL25" s="7">
        <v>95</v>
      </c>
      <c r="AM25" s="7"/>
      <c r="AN25" s="7"/>
      <c r="AO25" s="7"/>
      <c r="AP25" s="7"/>
      <c r="AQ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16">
        <v>243.30629820007147</v>
      </c>
      <c r="AH26" s="7">
        <v>3.0967741012573242</v>
      </c>
      <c r="AI26" s="7">
        <v>0</v>
      </c>
      <c r="AJ26" s="7"/>
      <c r="AK26" s="7">
        <v>140</v>
      </c>
      <c r="AL26" s="7">
        <v>95</v>
      </c>
      <c r="AM26" s="7"/>
      <c r="AN26" s="7"/>
      <c r="AO26" s="7"/>
      <c r="AP26" s="7"/>
      <c r="AQ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16">
        <v>225.98404769119864</v>
      </c>
      <c r="AH27" s="7">
        <v>3.2258063554763794</v>
      </c>
      <c r="AI27" s="7">
        <v>0</v>
      </c>
      <c r="AJ27" s="7"/>
      <c r="AK27" s="7">
        <v>140</v>
      </c>
      <c r="AL27" s="7">
        <v>115</v>
      </c>
      <c r="AM27" s="7"/>
      <c r="AN27" s="7"/>
      <c r="AO27" s="7"/>
      <c r="AP27" s="7"/>
      <c r="AQ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16">
        <v>192.37871010582424</v>
      </c>
      <c r="AH28" s="7">
        <v>3.3548386096954346</v>
      </c>
      <c r="AI28" s="7">
        <v>0</v>
      </c>
      <c r="AJ28" s="7"/>
      <c r="AK28" s="7">
        <v>145</v>
      </c>
      <c r="AL28" s="7">
        <v>115</v>
      </c>
      <c r="AM28" s="7"/>
      <c r="AN28" s="7"/>
      <c r="AO28" s="7"/>
      <c r="AP28" s="7"/>
      <c r="AQ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16">
        <v>215.31119044041645</v>
      </c>
      <c r="AH29" s="7">
        <v>3.4838708639144897</v>
      </c>
      <c r="AI29" s="7">
        <v>0</v>
      </c>
      <c r="AJ29" s="7"/>
      <c r="AK29" s="7">
        <v>145</v>
      </c>
      <c r="AL29" s="7">
        <v>159</v>
      </c>
      <c r="AM29" s="7"/>
      <c r="AN29" s="7"/>
      <c r="AO29" s="7"/>
      <c r="AP29" s="7"/>
      <c r="AQ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16">
        <v>242.83761399815685</v>
      </c>
      <c r="AH30" s="7">
        <v>3.6129031181335449</v>
      </c>
      <c r="AI30" s="7">
        <v>0</v>
      </c>
      <c r="AJ30" s="7"/>
      <c r="AK30" s="7">
        <v>150</v>
      </c>
      <c r="AL30" s="7">
        <v>159</v>
      </c>
      <c r="AM30" s="7"/>
      <c r="AN30" s="7"/>
      <c r="AO30" s="7"/>
      <c r="AP30" s="7"/>
      <c r="AQ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16">
        <v>177.55215301756681</v>
      </c>
      <c r="AH31" s="7">
        <v>3.7419353723526001</v>
      </c>
      <c r="AI31" s="7">
        <v>0</v>
      </c>
      <c r="AJ31" s="7"/>
      <c r="AK31" s="7">
        <v>150</v>
      </c>
      <c r="AL31" s="7">
        <v>222</v>
      </c>
      <c r="AM31" s="7"/>
      <c r="AN31" s="7"/>
      <c r="AO31" s="7"/>
      <c r="AP31" s="7"/>
      <c r="AQ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16">
        <v>226.31135348933924</v>
      </c>
      <c r="AH32" s="7">
        <v>3.8709676265716553</v>
      </c>
      <c r="AI32" s="7">
        <v>0</v>
      </c>
      <c r="AJ32" s="7"/>
      <c r="AK32" s="7">
        <v>155</v>
      </c>
      <c r="AL32" s="7">
        <v>222</v>
      </c>
      <c r="AM32" s="7"/>
      <c r="AN32" s="7"/>
      <c r="AO32" s="7"/>
      <c r="AP32" s="7"/>
      <c r="AQ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16">
        <v>227.31045844304748</v>
      </c>
      <c r="AH33" s="7">
        <v>3.9999998807907104</v>
      </c>
      <c r="AI33" s="7">
        <v>0</v>
      </c>
      <c r="AJ33" s="7"/>
      <c r="AK33" s="7">
        <v>155</v>
      </c>
      <c r="AL33" s="7">
        <v>247</v>
      </c>
      <c r="AM33" s="7"/>
      <c r="AN33" s="7"/>
      <c r="AO33" s="7"/>
      <c r="AP33" s="7"/>
      <c r="AQ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16">
        <v>185.15327409237571</v>
      </c>
      <c r="AH34" s="7"/>
      <c r="AI34" s="7"/>
      <c r="AJ34" s="7"/>
      <c r="AK34" s="7">
        <v>160</v>
      </c>
      <c r="AL34" s="7">
        <v>247</v>
      </c>
      <c r="AM34" s="7"/>
      <c r="AN34" s="7"/>
      <c r="AO34" s="7"/>
      <c r="AP34" s="7"/>
      <c r="AQ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16">
        <v>233.99451316286053</v>
      </c>
      <c r="AH35" s="7"/>
      <c r="AI35" s="7"/>
      <c r="AJ35" s="7"/>
      <c r="AK35" s="7">
        <v>160</v>
      </c>
      <c r="AL35" s="7">
        <v>329</v>
      </c>
      <c r="AM35" s="7"/>
      <c r="AN35" s="7"/>
      <c r="AO35" s="7"/>
      <c r="AP35" s="7"/>
      <c r="AQ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16">
        <v>266.11173667502118</v>
      </c>
      <c r="AH36" s="7"/>
      <c r="AI36" s="7"/>
      <c r="AJ36" s="7"/>
      <c r="AK36" s="7">
        <v>165</v>
      </c>
      <c r="AL36" s="7">
        <v>329</v>
      </c>
      <c r="AM36" s="7"/>
      <c r="AN36" s="7"/>
      <c r="AO36" s="7"/>
      <c r="AP36" s="7"/>
      <c r="AQ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16">
        <v>159.69646185362271</v>
      </c>
      <c r="AH37" s="7"/>
      <c r="AI37" s="7"/>
      <c r="AJ37" s="7"/>
      <c r="AK37" s="7">
        <v>165</v>
      </c>
      <c r="AL37" s="7">
        <v>404</v>
      </c>
      <c r="AM37" s="7"/>
      <c r="AN37" s="7"/>
      <c r="AO37" s="7"/>
      <c r="AP37" s="7"/>
      <c r="AQ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16">
        <v>171.8535501617576</v>
      </c>
      <c r="AH38" s="7"/>
      <c r="AI38" s="7"/>
      <c r="AJ38" s="7"/>
      <c r="AK38" s="7">
        <v>170</v>
      </c>
      <c r="AL38" s="7">
        <v>404</v>
      </c>
      <c r="AM38" s="7"/>
      <c r="AN38" s="7"/>
      <c r="AO38" s="7"/>
      <c r="AP38" s="7"/>
      <c r="AQ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16">
        <v>237.00039933646946</v>
      </c>
      <c r="AH39" s="7"/>
      <c r="AI39" s="7"/>
      <c r="AJ39" s="7"/>
      <c r="AK39" s="7">
        <v>170</v>
      </c>
      <c r="AL39" s="7">
        <v>428</v>
      </c>
      <c r="AM39" s="7"/>
      <c r="AN39" s="7"/>
      <c r="AO39" s="7"/>
      <c r="AP39" s="7"/>
      <c r="AQ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16">
        <v>202.87094232405352</v>
      </c>
      <c r="AH40" s="7"/>
      <c r="AI40" s="7"/>
      <c r="AJ40" s="7"/>
      <c r="AK40" s="7">
        <v>175</v>
      </c>
      <c r="AL40" s="7">
        <v>428</v>
      </c>
      <c r="AM40" s="7"/>
      <c r="AN40" s="7"/>
      <c r="AO40" s="7"/>
      <c r="AP40" s="7"/>
      <c r="AQ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16">
        <v>112.51185617319206</v>
      </c>
      <c r="AH41" s="7"/>
      <c r="AI41" s="7"/>
      <c r="AJ41" s="7"/>
      <c r="AK41" s="7">
        <v>175</v>
      </c>
      <c r="AL41" s="7">
        <v>503</v>
      </c>
      <c r="AM41" s="7"/>
      <c r="AN41" s="7"/>
      <c r="AO41" s="7"/>
      <c r="AP41" s="7"/>
      <c r="AQ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16">
        <v>219.16626495723344</v>
      </c>
      <c r="AH42" s="7"/>
      <c r="AI42" s="7"/>
      <c r="AJ42" s="7"/>
      <c r="AK42" s="7">
        <v>180</v>
      </c>
      <c r="AL42" s="7">
        <v>503</v>
      </c>
      <c r="AM42" s="7"/>
      <c r="AN42" s="7"/>
      <c r="AO42" s="7"/>
      <c r="AP42" s="7"/>
      <c r="AQ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16">
        <v>163.83969144554726</v>
      </c>
      <c r="AH43" s="7"/>
      <c r="AI43" s="7"/>
      <c r="AJ43" s="7"/>
      <c r="AK43" s="7">
        <v>180</v>
      </c>
      <c r="AL43" s="7">
        <v>556</v>
      </c>
      <c r="AM43" s="7"/>
      <c r="AN43" s="7"/>
      <c r="AO43" s="7"/>
      <c r="AP43" s="7"/>
      <c r="AQ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16">
        <v>164.67636494288769</v>
      </c>
      <c r="AH44" s="7"/>
      <c r="AI44" s="7"/>
      <c r="AJ44" s="7"/>
      <c r="AK44" s="7">
        <v>185</v>
      </c>
      <c r="AL44" s="7">
        <v>556</v>
      </c>
      <c r="AM44" s="7"/>
      <c r="AN44" s="7"/>
      <c r="AO44" s="7"/>
      <c r="AP44" s="7"/>
      <c r="AQ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16">
        <v>214.12014644656483</v>
      </c>
      <c r="AH45" s="7"/>
      <c r="AI45" s="7"/>
      <c r="AJ45" s="7"/>
      <c r="AK45" s="7">
        <v>185</v>
      </c>
      <c r="AL45" s="7">
        <v>569</v>
      </c>
      <c r="AM45" s="7"/>
      <c r="AN45" s="7"/>
      <c r="AO45" s="7"/>
      <c r="AP45" s="7"/>
      <c r="AQ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16">
        <v>213.59756156217875</v>
      </c>
      <c r="AH46" s="7"/>
      <c r="AI46" s="7"/>
      <c r="AJ46" s="7"/>
      <c r="AK46" s="7">
        <v>190</v>
      </c>
      <c r="AL46" s="7">
        <v>569</v>
      </c>
      <c r="AM46" s="7"/>
      <c r="AN46" s="7"/>
      <c r="AO46" s="7"/>
      <c r="AP46" s="7"/>
      <c r="AQ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16">
        <v>162.32254682876149</v>
      </c>
      <c r="AH47" s="7"/>
      <c r="AI47" s="7"/>
      <c r="AJ47" s="7"/>
      <c r="AK47" s="7">
        <v>190</v>
      </c>
      <c r="AL47" s="7">
        <v>555</v>
      </c>
      <c r="AM47" s="7"/>
      <c r="AN47" s="7"/>
      <c r="AO47" s="7"/>
      <c r="AP47" s="7"/>
      <c r="AQ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16">
        <v>169.78912708277528</v>
      </c>
      <c r="AH48" s="7"/>
      <c r="AI48" s="7"/>
      <c r="AJ48" s="7"/>
      <c r="AK48" s="7">
        <v>195</v>
      </c>
      <c r="AL48" s="7">
        <v>555</v>
      </c>
      <c r="AM48" s="7"/>
      <c r="AN48" s="7"/>
      <c r="AO48" s="7"/>
      <c r="AP48" s="7"/>
      <c r="AQ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16">
        <v>188.02537912057082</v>
      </c>
      <c r="AH49" s="7"/>
      <c r="AI49" s="7"/>
      <c r="AJ49" s="7"/>
      <c r="AK49" s="7">
        <v>195</v>
      </c>
      <c r="AL49" s="7">
        <v>553</v>
      </c>
      <c r="AM49" s="7"/>
      <c r="AN49" s="7"/>
      <c r="AO49" s="7"/>
      <c r="AP49" s="7"/>
      <c r="AQ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16">
        <v>174.29443177307363</v>
      </c>
      <c r="AH50" s="7"/>
      <c r="AI50" s="7"/>
      <c r="AJ50" s="7"/>
      <c r="AK50" s="7">
        <v>200</v>
      </c>
      <c r="AL50" s="7">
        <v>553</v>
      </c>
      <c r="AM50" s="7"/>
      <c r="AN50" s="7"/>
      <c r="AO50" s="7"/>
      <c r="AP50" s="7"/>
      <c r="AQ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16">
        <v>152.3880081087151</v>
      </c>
      <c r="AH51" s="7"/>
      <c r="AI51" s="7"/>
      <c r="AJ51" s="7"/>
      <c r="AK51" s="7">
        <v>200</v>
      </c>
      <c r="AL51" s="7">
        <v>631</v>
      </c>
      <c r="AM51" s="7"/>
      <c r="AN51" s="7"/>
      <c r="AO51" s="7"/>
      <c r="AP51" s="7"/>
      <c r="AQ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16">
        <v>203.93136138574468</v>
      </c>
      <c r="AH52" s="7"/>
      <c r="AI52" s="7"/>
      <c r="AJ52" s="7"/>
      <c r="AK52" s="7">
        <v>205</v>
      </c>
      <c r="AL52" s="7">
        <v>631</v>
      </c>
      <c r="AM52" s="7"/>
      <c r="AN52" s="7"/>
      <c r="AO52" s="7"/>
      <c r="AP52" s="7"/>
      <c r="AQ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16">
        <v>197.58703964276367</v>
      </c>
      <c r="AH53" s="7"/>
      <c r="AI53" s="7"/>
      <c r="AJ53" s="7"/>
      <c r="AK53" s="7">
        <v>205</v>
      </c>
      <c r="AL53" s="7">
        <v>589</v>
      </c>
      <c r="AM53" s="7"/>
      <c r="AN53" s="7"/>
      <c r="AO53" s="7"/>
      <c r="AP53" s="7"/>
      <c r="AQ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16">
        <v>176.21028903804003</v>
      </c>
      <c r="AH54" s="7"/>
      <c r="AI54" s="7"/>
      <c r="AJ54" s="7"/>
      <c r="AK54" s="7">
        <v>210</v>
      </c>
      <c r="AL54" s="7">
        <v>589</v>
      </c>
      <c r="AM54" s="7"/>
      <c r="AN54" s="7"/>
      <c r="AO54" s="7"/>
      <c r="AP54" s="7"/>
      <c r="AQ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16">
        <v>235.12374537060882</v>
      </c>
      <c r="AH55" s="7"/>
      <c r="AI55" s="7"/>
      <c r="AJ55" s="7"/>
      <c r="AK55" s="7">
        <v>210</v>
      </c>
      <c r="AL55" s="7">
        <v>574</v>
      </c>
      <c r="AM55" s="7"/>
      <c r="AN55" s="7"/>
      <c r="AO55" s="7"/>
      <c r="AP55" s="7"/>
      <c r="AQ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16">
        <v>241.80887576156448</v>
      </c>
      <c r="AH56" s="7"/>
      <c r="AI56" s="7"/>
      <c r="AJ56" s="7"/>
      <c r="AK56" s="7">
        <v>215</v>
      </c>
      <c r="AL56" s="7">
        <v>574</v>
      </c>
      <c r="AM56" s="7"/>
      <c r="AN56" s="7"/>
      <c r="AO56" s="7"/>
      <c r="AP56" s="7"/>
      <c r="AQ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16">
        <v>192.63070335620463</v>
      </c>
      <c r="AH57" s="7"/>
      <c r="AI57" s="7"/>
      <c r="AJ57" s="7"/>
      <c r="AK57" s="7">
        <v>215</v>
      </c>
      <c r="AL57" s="7">
        <v>543</v>
      </c>
      <c r="AM57" s="7"/>
      <c r="AN57" s="7"/>
      <c r="AO57" s="7"/>
      <c r="AP57" s="7"/>
      <c r="AQ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16">
        <v>208.83026041013483</v>
      </c>
      <c r="AH58" s="7"/>
      <c r="AI58" s="7"/>
      <c r="AJ58" s="7"/>
      <c r="AK58" s="7">
        <v>220</v>
      </c>
      <c r="AL58" s="7">
        <v>543</v>
      </c>
      <c r="AM58" s="7"/>
      <c r="AN58" s="7"/>
      <c r="AO58" s="7"/>
      <c r="AP58" s="7"/>
      <c r="AQ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16">
        <v>188.89013562082215</v>
      </c>
      <c r="AH59" s="7"/>
      <c r="AI59" s="7"/>
      <c r="AJ59" s="7"/>
      <c r="AK59" s="7">
        <v>220</v>
      </c>
      <c r="AL59" s="7">
        <v>492</v>
      </c>
      <c r="AM59" s="7"/>
      <c r="AN59" s="7"/>
      <c r="AO59" s="7"/>
      <c r="AP59" s="7"/>
      <c r="AQ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16">
        <v>201.99146903008918</v>
      </c>
      <c r="AH60" s="7"/>
      <c r="AI60" s="7"/>
      <c r="AJ60" s="7"/>
      <c r="AK60" s="7">
        <v>225</v>
      </c>
      <c r="AL60" s="7">
        <v>492</v>
      </c>
      <c r="AM60" s="7"/>
      <c r="AN60" s="7"/>
      <c r="AO60" s="7"/>
      <c r="AP60" s="7"/>
      <c r="AQ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16">
        <v>169.49664117450348</v>
      </c>
      <c r="AH61" s="7"/>
      <c r="AI61" s="7"/>
      <c r="AJ61" s="7"/>
      <c r="AK61" s="7">
        <v>225</v>
      </c>
      <c r="AL61" s="7">
        <v>419</v>
      </c>
      <c r="AM61" s="7"/>
      <c r="AN61" s="7"/>
      <c r="AO61" s="7"/>
      <c r="AP61" s="7"/>
      <c r="AQ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16">
        <v>265.55519294635917</v>
      </c>
      <c r="AH62" s="7"/>
      <c r="AI62" s="7"/>
      <c r="AJ62" s="7"/>
      <c r="AK62" s="7">
        <v>230</v>
      </c>
      <c r="AL62" s="7">
        <v>419</v>
      </c>
      <c r="AM62" s="7"/>
      <c r="AN62" s="7"/>
      <c r="AO62" s="7"/>
      <c r="AP62" s="7"/>
      <c r="AQ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16">
        <v>232.8333680191015</v>
      </c>
      <c r="AH63" s="7"/>
      <c r="AI63" s="7"/>
      <c r="AJ63" s="7"/>
      <c r="AK63" s="7">
        <v>230</v>
      </c>
      <c r="AL63" s="7">
        <v>362</v>
      </c>
      <c r="AM63" s="7"/>
      <c r="AN63" s="7"/>
      <c r="AO63" s="7"/>
      <c r="AP63" s="7"/>
      <c r="AQ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16">
        <v>200.96542711975181</v>
      </c>
      <c r="AH64" s="7"/>
      <c r="AI64" s="7"/>
      <c r="AJ64" s="7"/>
      <c r="AK64" s="7">
        <v>235</v>
      </c>
      <c r="AL64" s="7">
        <v>362</v>
      </c>
      <c r="AM64" s="7"/>
      <c r="AN64" s="7"/>
      <c r="AO64" s="7"/>
      <c r="AP64" s="7"/>
      <c r="AQ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16">
        <v>262.37032498887532</v>
      </c>
      <c r="AH65" s="7"/>
      <c r="AI65" s="7"/>
      <c r="AJ65" s="7"/>
      <c r="AK65" s="7">
        <v>235</v>
      </c>
      <c r="AL65" s="7">
        <v>320</v>
      </c>
      <c r="AM65" s="7"/>
      <c r="AN65" s="7"/>
      <c r="AO65" s="7"/>
      <c r="AP65" s="7"/>
      <c r="AQ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16">
        <v>182.94986145607092</v>
      </c>
      <c r="AH66" s="7"/>
      <c r="AI66" s="7"/>
      <c r="AJ66" s="7"/>
      <c r="AK66" s="7">
        <v>240</v>
      </c>
      <c r="AL66" s="7">
        <v>320</v>
      </c>
      <c r="AM66" s="7"/>
      <c r="AN66" s="7"/>
      <c r="AO66" s="7"/>
      <c r="AP66" s="7"/>
      <c r="AQ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16">
        <v>167.20952398189013</v>
      </c>
      <c r="AH67" s="7"/>
      <c r="AI67" s="7"/>
      <c r="AJ67" s="7"/>
      <c r="AK67" s="7">
        <v>240</v>
      </c>
      <c r="AL67" s="7">
        <v>268</v>
      </c>
      <c r="AM67" s="7"/>
      <c r="AN67" s="7"/>
      <c r="AO67" s="7"/>
      <c r="AP67" s="7"/>
      <c r="AQ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16">
        <v>155.48992906242904</v>
      </c>
      <c r="AH68" s="7"/>
      <c r="AI68" s="7"/>
      <c r="AJ68" s="7"/>
      <c r="AK68" s="7">
        <v>245</v>
      </c>
      <c r="AL68" s="7">
        <v>268</v>
      </c>
      <c r="AM68" s="7"/>
      <c r="AN68" s="7"/>
      <c r="AO68" s="7"/>
      <c r="AP68" s="7"/>
      <c r="AQ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16">
        <v>228.20301929240745</v>
      </c>
      <c r="AH69" s="7"/>
      <c r="AI69" s="7"/>
      <c r="AJ69" s="7"/>
      <c r="AK69" s="7">
        <v>245</v>
      </c>
      <c r="AL69" s="7">
        <v>217</v>
      </c>
      <c r="AM69" s="7"/>
      <c r="AN69" s="7"/>
      <c r="AO69" s="7"/>
      <c r="AP69" s="7"/>
      <c r="AQ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16">
        <v>203.39328588548858</v>
      </c>
      <c r="AH70" s="7"/>
      <c r="AI70" s="7"/>
      <c r="AJ70" s="7"/>
      <c r="AK70" s="7">
        <v>250</v>
      </c>
      <c r="AL70" s="7">
        <v>217</v>
      </c>
      <c r="AM70" s="7"/>
      <c r="AN70" s="7"/>
      <c r="AO70" s="7"/>
      <c r="AP70" s="7"/>
      <c r="AQ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16">
        <v>175.848447484242</v>
      </c>
      <c r="AH71" s="7"/>
      <c r="AI71" s="7"/>
      <c r="AJ71" s="7"/>
      <c r="AK71" s="7">
        <v>250</v>
      </c>
      <c r="AL71" s="7">
        <v>177</v>
      </c>
      <c r="AM71" s="7"/>
      <c r="AN71" s="7"/>
      <c r="AO71" s="7"/>
      <c r="AP71" s="7"/>
      <c r="AQ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16">
        <v>227.05917819611219</v>
      </c>
      <c r="AH72" s="7"/>
      <c r="AI72" s="7"/>
      <c r="AJ72" s="7"/>
      <c r="AK72" s="7">
        <v>255</v>
      </c>
      <c r="AL72" s="7">
        <v>177</v>
      </c>
      <c r="AM72" s="7"/>
      <c r="AN72" s="7"/>
      <c r="AO72" s="7"/>
      <c r="AP72" s="7"/>
      <c r="AQ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16">
        <v>216.54112886128823</v>
      </c>
      <c r="AH73" s="7"/>
      <c r="AI73" s="7"/>
      <c r="AJ73" s="7"/>
      <c r="AK73" s="7">
        <v>255</v>
      </c>
      <c r="AL73" s="7">
        <v>132</v>
      </c>
      <c r="AM73" s="7"/>
      <c r="AN73" s="7"/>
      <c r="AO73" s="7"/>
      <c r="AP73" s="7"/>
      <c r="AQ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16">
        <v>191.95232004782196</v>
      </c>
      <c r="AH74" s="7"/>
      <c r="AI74" s="7"/>
      <c r="AJ74" s="7"/>
      <c r="AK74" s="7">
        <v>260</v>
      </c>
      <c r="AL74" s="7">
        <v>132</v>
      </c>
      <c r="AM74" s="7"/>
      <c r="AN74" s="7"/>
      <c r="AO74" s="7"/>
      <c r="AP74" s="7"/>
      <c r="AQ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16">
        <v>234.94395909794127</v>
      </c>
      <c r="AH75" s="7"/>
      <c r="AI75" s="7"/>
      <c r="AJ75" s="7"/>
      <c r="AK75" s="7">
        <v>260</v>
      </c>
      <c r="AL75" s="7">
        <v>98</v>
      </c>
      <c r="AM75" s="7"/>
      <c r="AN75" s="7"/>
      <c r="AO75" s="7"/>
      <c r="AP75" s="7"/>
      <c r="AQ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16">
        <v>285.48586288859826</v>
      </c>
      <c r="AH76" s="7"/>
      <c r="AI76" s="7"/>
      <c r="AJ76" s="7"/>
      <c r="AK76" s="7">
        <v>265</v>
      </c>
      <c r="AL76" s="7">
        <v>98</v>
      </c>
      <c r="AM76" s="7"/>
      <c r="AN76" s="7"/>
      <c r="AO76" s="7"/>
      <c r="AP76" s="7"/>
      <c r="AQ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16">
        <v>221.99709308488167</v>
      </c>
      <c r="AH77" s="7"/>
      <c r="AI77" s="7"/>
      <c r="AJ77" s="7"/>
      <c r="AK77" s="7">
        <v>265</v>
      </c>
      <c r="AL77" s="7">
        <v>61</v>
      </c>
      <c r="AM77" s="7"/>
      <c r="AN77" s="7"/>
      <c r="AO77" s="7"/>
      <c r="AP77" s="7"/>
      <c r="AQ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16">
        <v>212.0022030859615</v>
      </c>
      <c r="AH78" s="7"/>
      <c r="AI78" s="7"/>
      <c r="AJ78" s="7"/>
      <c r="AK78" s="7">
        <v>270</v>
      </c>
      <c r="AL78" s="7">
        <v>61</v>
      </c>
      <c r="AM78" s="7"/>
      <c r="AN78" s="7"/>
      <c r="AO78" s="7"/>
      <c r="AP78" s="7"/>
      <c r="AQ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16">
        <v>227.21061375216007</v>
      </c>
      <c r="AH79" s="7"/>
      <c r="AI79" s="7"/>
      <c r="AJ79" s="7"/>
      <c r="AK79" s="7">
        <v>270</v>
      </c>
      <c r="AL79" s="7">
        <v>53</v>
      </c>
      <c r="AM79" s="7"/>
      <c r="AN79" s="7"/>
      <c r="AO79" s="7"/>
      <c r="AP79" s="7"/>
      <c r="AQ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16">
        <v>215.76510883468984</v>
      </c>
      <c r="AH80" s="7"/>
      <c r="AI80" s="7"/>
      <c r="AJ80" s="7"/>
      <c r="AK80" s="7">
        <v>275</v>
      </c>
      <c r="AL80" s="7">
        <v>53</v>
      </c>
      <c r="AM80" s="7"/>
      <c r="AN80" s="7"/>
      <c r="AO80" s="7"/>
      <c r="AP80" s="7"/>
      <c r="AQ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16">
        <v>253.96772066176175</v>
      </c>
      <c r="AH81" s="7"/>
      <c r="AI81" s="7"/>
      <c r="AJ81" s="7"/>
      <c r="AK81" s="7">
        <v>275</v>
      </c>
      <c r="AL81" s="7">
        <v>36</v>
      </c>
      <c r="AM81" s="7"/>
      <c r="AN81" s="7"/>
      <c r="AO81" s="7"/>
      <c r="AP81" s="7"/>
      <c r="AQ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16">
        <v>194.21613321311156</v>
      </c>
      <c r="AH82" s="7"/>
      <c r="AI82" s="7"/>
      <c r="AJ82" s="7"/>
      <c r="AK82" s="7">
        <v>280</v>
      </c>
      <c r="AL82" s="7">
        <v>36</v>
      </c>
      <c r="AM82" s="7"/>
      <c r="AN82" s="7"/>
      <c r="AO82" s="7"/>
      <c r="AP82" s="7"/>
      <c r="AQ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16">
        <v>191.93364204934718</v>
      </c>
      <c r="AH83" s="7"/>
      <c r="AI83" s="7"/>
      <c r="AJ83" s="7"/>
      <c r="AK83" s="7">
        <v>280</v>
      </c>
      <c r="AL83" s="7">
        <v>23</v>
      </c>
      <c r="AM83" s="7"/>
      <c r="AN83" s="7"/>
      <c r="AO83" s="7"/>
      <c r="AP83" s="7"/>
      <c r="AQ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16">
        <v>174.4372536426111</v>
      </c>
      <c r="AH84" s="7"/>
      <c r="AI84" s="7"/>
      <c r="AJ84" s="7"/>
      <c r="AK84" s="7">
        <v>285</v>
      </c>
      <c r="AL84" s="7">
        <v>23</v>
      </c>
      <c r="AM84" s="7"/>
      <c r="AN84" s="7"/>
      <c r="AO84" s="7"/>
      <c r="AP84" s="7"/>
      <c r="AQ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16">
        <v>194.27501140414151</v>
      </c>
      <c r="AH85" s="7"/>
      <c r="AI85" s="7"/>
      <c r="AJ85" s="7"/>
      <c r="AK85" s="7">
        <v>285</v>
      </c>
      <c r="AL85" s="7">
        <v>21</v>
      </c>
      <c r="AM85" s="7"/>
      <c r="AN85" s="7"/>
      <c r="AO85" s="7"/>
      <c r="AP85" s="7"/>
      <c r="AQ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16">
        <v>186.20486567437757</v>
      </c>
      <c r="AH86" s="7"/>
      <c r="AI86" s="7"/>
      <c r="AJ86" s="7"/>
      <c r="AK86" s="7">
        <v>290</v>
      </c>
      <c r="AL86" s="7">
        <v>21</v>
      </c>
      <c r="AM86" s="7"/>
      <c r="AN86" s="7"/>
      <c r="AO86" s="7"/>
      <c r="AP86" s="7"/>
      <c r="AQ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16">
        <v>223.06246858951823</v>
      </c>
      <c r="AH87" s="7"/>
      <c r="AI87" s="7"/>
      <c r="AJ87" s="7"/>
      <c r="AK87" s="7">
        <v>290</v>
      </c>
      <c r="AL87" s="7">
        <v>6</v>
      </c>
      <c r="AM87" s="7"/>
      <c r="AN87" s="7"/>
      <c r="AO87" s="7"/>
      <c r="AP87" s="7"/>
      <c r="AQ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16">
        <v>217.95765364540395</v>
      </c>
      <c r="AH88" s="7"/>
      <c r="AI88" s="7"/>
      <c r="AJ88" s="7"/>
      <c r="AK88" s="7">
        <v>295</v>
      </c>
      <c r="AL88" s="7">
        <v>6</v>
      </c>
      <c r="AM88" s="7"/>
      <c r="AN88" s="7"/>
      <c r="AO88" s="7"/>
      <c r="AP88" s="7"/>
      <c r="AQ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16">
        <v>230.29008589119385</v>
      </c>
      <c r="AH89" s="7"/>
      <c r="AI89" s="7"/>
      <c r="AJ89" s="7"/>
      <c r="AK89" s="7">
        <v>295</v>
      </c>
      <c r="AL89" s="7">
        <v>7</v>
      </c>
      <c r="AM89" s="7"/>
      <c r="AN89" s="7"/>
      <c r="AO89" s="7"/>
      <c r="AP89" s="7"/>
      <c r="AQ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16">
        <v>217.41205153562677</v>
      </c>
      <c r="AH90" s="7"/>
      <c r="AI90" s="7"/>
      <c r="AJ90" s="7"/>
      <c r="AK90" s="7">
        <v>300</v>
      </c>
      <c r="AL90" s="7">
        <v>7</v>
      </c>
      <c r="AM90" s="7"/>
      <c r="AN90" s="7"/>
      <c r="AO90" s="7"/>
      <c r="AP90" s="7"/>
      <c r="AQ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16">
        <v>179.40114076133483</v>
      </c>
      <c r="AH91" s="7"/>
      <c r="AI91" s="7"/>
      <c r="AJ91" s="7"/>
      <c r="AK91" s="7">
        <v>300</v>
      </c>
      <c r="AL91" s="7">
        <v>4</v>
      </c>
      <c r="AM91" s="7"/>
      <c r="AN91" s="7"/>
      <c r="AO91" s="7"/>
      <c r="AP91" s="7"/>
      <c r="AQ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16">
        <v>239.24105949315143</v>
      </c>
      <c r="AH92" s="7"/>
      <c r="AI92" s="7"/>
      <c r="AJ92" s="7"/>
      <c r="AK92" s="7">
        <v>305</v>
      </c>
      <c r="AL92" s="7">
        <v>4</v>
      </c>
      <c r="AM92" s="7"/>
      <c r="AN92" s="7"/>
      <c r="AO92" s="7"/>
      <c r="AP92" s="7"/>
      <c r="AQ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16">
        <v>224.8977228418311</v>
      </c>
      <c r="AH93" s="7"/>
      <c r="AI93" s="7"/>
      <c r="AJ93" s="7"/>
      <c r="AK93" s="7">
        <v>305</v>
      </c>
      <c r="AL93" s="7">
        <v>4</v>
      </c>
      <c r="AM93" s="7"/>
      <c r="AN93" s="7"/>
      <c r="AO93" s="7"/>
      <c r="AP93" s="7"/>
      <c r="AQ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16">
        <v>198.11703437612286</v>
      </c>
      <c r="AH94" s="7"/>
      <c r="AI94" s="7"/>
      <c r="AJ94" s="7"/>
      <c r="AK94" s="7">
        <v>310</v>
      </c>
      <c r="AL94" s="7">
        <v>4</v>
      </c>
      <c r="AM94" s="7"/>
      <c r="AN94" s="7"/>
      <c r="AO94" s="7"/>
      <c r="AP94" s="7"/>
      <c r="AQ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16">
        <v>211.06874876230546</v>
      </c>
      <c r="AH95" s="7"/>
      <c r="AI95" s="7"/>
      <c r="AJ95" s="7"/>
      <c r="AK95" s="7">
        <v>310</v>
      </c>
      <c r="AL95" s="7">
        <v>1</v>
      </c>
      <c r="AM95" s="7"/>
      <c r="AN95" s="7"/>
      <c r="AO95" s="7"/>
      <c r="AP95" s="7"/>
      <c r="AQ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16">
        <v>236.77514394236209</v>
      </c>
      <c r="AH96" s="7"/>
      <c r="AI96" s="7"/>
      <c r="AJ96" s="7"/>
      <c r="AK96" s="7">
        <v>315</v>
      </c>
      <c r="AL96" s="7">
        <v>1</v>
      </c>
      <c r="AM96" s="7"/>
      <c r="AN96" s="7"/>
      <c r="AO96" s="7"/>
      <c r="AP96" s="7"/>
      <c r="AQ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16">
        <v>188.30812112620222</v>
      </c>
      <c r="AH97" s="7"/>
      <c r="AI97" s="7"/>
      <c r="AJ97" s="7"/>
      <c r="AK97" s="7">
        <v>315</v>
      </c>
      <c r="AL97" s="7">
        <v>0</v>
      </c>
      <c r="AM97" s="7"/>
      <c r="AN97" s="7"/>
      <c r="AO97" s="7"/>
      <c r="AP97" s="7"/>
      <c r="AQ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16">
        <v>198.46755160339617</v>
      </c>
      <c r="AH98" s="7"/>
      <c r="AI98" s="7"/>
      <c r="AJ98" s="7"/>
      <c r="AK98" s="7"/>
      <c r="AL98" s="7"/>
      <c r="AM98" s="7"/>
      <c r="AN98" s="7"/>
      <c r="AO98" s="7"/>
      <c r="AP98" s="7"/>
      <c r="AQ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16">
        <v>181.68236339270504</v>
      </c>
      <c r="AH99" s="7"/>
      <c r="AI99" s="7"/>
      <c r="AJ99" s="7"/>
      <c r="AK99" s="7"/>
      <c r="AL99" s="7"/>
      <c r="AM99" s="7"/>
      <c r="AN99" s="7"/>
      <c r="AO99" s="7"/>
      <c r="AP99" s="7"/>
      <c r="AQ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16">
        <v>240.78067008664024</v>
      </c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16">
        <v>215.59971290030529</v>
      </c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16">
        <v>173.61558148781648</v>
      </c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</row>
  </sheetData>
  <dataConsolidate/>
  <mergeCells count="3">
    <mergeCell ref="F2:G2"/>
    <mergeCell ref="I4:K4"/>
    <mergeCell ref="L4:N4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2911F-16C3-4E5D-82E6-625C6D0E41B5}">
  <sheetPr codeName="Sheet3"/>
  <dimension ref="A1:BN139"/>
  <sheetViews>
    <sheetView showGridLines="0" workbookViewId="0">
      <selection activeCell="K2" sqref="K2"/>
    </sheetView>
  </sheetViews>
  <sheetFormatPr defaultRowHeight="15.6" x14ac:dyDescent="0.3"/>
  <cols>
    <col min="1" max="1" width="9.109375" style="15" customWidth="1"/>
    <col min="2" max="2" width="12.109375" style="47" customWidth="1"/>
    <col min="3" max="3" width="12.109375" style="48" customWidth="1"/>
    <col min="4" max="4" width="8.6640625" style="7" customWidth="1"/>
    <col min="5" max="5" width="8.6640625" style="8" customWidth="1"/>
    <col min="6" max="6" width="13.33203125" style="49" customWidth="1"/>
    <col min="7" max="7" width="9.109375" style="8"/>
    <col min="8" max="8" width="7.5546875" style="8" customWidth="1"/>
    <col min="9" max="14" width="11.5546875" style="8" customWidth="1"/>
    <col min="15" max="17" width="9.109375" style="8"/>
    <col min="18" max="19" width="9.109375" style="7"/>
    <col min="20" max="20" width="16.33203125" style="7" customWidth="1"/>
    <col min="21" max="22" width="12.88671875" style="7" customWidth="1"/>
    <col min="23" max="54" width="9.109375" style="7"/>
    <col min="55" max="257" width="9.109375" style="8"/>
    <col min="258" max="259" width="12.109375" style="8" customWidth="1"/>
    <col min="260" max="261" width="8.6640625" style="8" customWidth="1"/>
    <col min="262" max="262" width="13.33203125" style="8" customWidth="1"/>
    <col min="263" max="263" width="9.109375" style="8"/>
    <col min="264" max="264" width="7.5546875" style="8" customWidth="1"/>
    <col min="265" max="270" width="11.5546875" style="8" customWidth="1"/>
    <col min="271" max="275" width="9.109375" style="8"/>
    <col min="276" max="276" width="16.33203125" style="8" customWidth="1"/>
    <col min="277" max="278" width="12.88671875" style="8" customWidth="1"/>
    <col min="279" max="513" width="9.109375" style="8"/>
    <col min="514" max="515" width="12.109375" style="8" customWidth="1"/>
    <col min="516" max="517" width="8.6640625" style="8" customWidth="1"/>
    <col min="518" max="518" width="13.33203125" style="8" customWidth="1"/>
    <col min="519" max="519" width="9.109375" style="8"/>
    <col min="520" max="520" width="7.5546875" style="8" customWidth="1"/>
    <col min="521" max="526" width="11.5546875" style="8" customWidth="1"/>
    <col min="527" max="531" width="9.109375" style="8"/>
    <col min="532" max="532" width="16.33203125" style="8" customWidth="1"/>
    <col min="533" max="534" width="12.88671875" style="8" customWidth="1"/>
    <col min="535" max="769" width="9.109375" style="8"/>
    <col min="770" max="771" width="12.109375" style="8" customWidth="1"/>
    <col min="772" max="773" width="8.6640625" style="8" customWidth="1"/>
    <col min="774" max="774" width="13.33203125" style="8" customWidth="1"/>
    <col min="775" max="775" width="9.109375" style="8"/>
    <col min="776" max="776" width="7.5546875" style="8" customWidth="1"/>
    <col min="777" max="782" width="11.5546875" style="8" customWidth="1"/>
    <col min="783" max="787" width="9.109375" style="8"/>
    <col min="788" max="788" width="16.33203125" style="8" customWidth="1"/>
    <col min="789" max="790" width="12.88671875" style="8" customWidth="1"/>
    <col min="791" max="1025" width="9.109375" style="8"/>
    <col min="1026" max="1027" width="12.109375" style="8" customWidth="1"/>
    <col min="1028" max="1029" width="8.6640625" style="8" customWidth="1"/>
    <col min="1030" max="1030" width="13.33203125" style="8" customWidth="1"/>
    <col min="1031" max="1031" width="9.109375" style="8"/>
    <col min="1032" max="1032" width="7.5546875" style="8" customWidth="1"/>
    <col min="1033" max="1038" width="11.5546875" style="8" customWidth="1"/>
    <col min="1039" max="1043" width="9.109375" style="8"/>
    <col min="1044" max="1044" width="16.33203125" style="8" customWidth="1"/>
    <col min="1045" max="1046" width="12.88671875" style="8" customWidth="1"/>
    <col min="1047" max="1281" width="9.109375" style="8"/>
    <col min="1282" max="1283" width="12.109375" style="8" customWidth="1"/>
    <col min="1284" max="1285" width="8.6640625" style="8" customWidth="1"/>
    <col min="1286" max="1286" width="13.33203125" style="8" customWidth="1"/>
    <col min="1287" max="1287" width="9.109375" style="8"/>
    <col min="1288" max="1288" width="7.5546875" style="8" customWidth="1"/>
    <col min="1289" max="1294" width="11.5546875" style="8" customWidth="1"/>
    <col min="1295" max="1299" width="9.109375" style="8"/>
    <col min="1300" max="1300" width="16.33203125" style="8" customWidth="1"/>
    <col min="1301" max="1302" width="12.88671875" style="8" customWidth="1"/>
    <col min="1303" max="1537" width="9.109375" style="8"/>
    <col min="1538" max="1539" width="12.109375" style="8" customWidth="1"/>
    <col min="1540" max="1541" width="8.6640625" style="8" customWidth="1"/>
    <col min="1542" max="1542" width="13.33203125" style="8" customWidth="1"/>
    <col min="1543" max="1543" width="9.109375" style="8"/>
    <col min="1544" max="1544" width="7.5546875" style="8" customWidth="1"/>
    <col min="1545" max="1550" width="11.5546875" style="8" customWidth="1"/>
    <col min="1551" max="1555" width="9.109375" style="8"/>
    <col min="1556" max="1556" width="16.33203125" style="8" customWidth="1"/>
    <col min="1557" max="1558" width="12.88671875" style="8" customWidth="1"/>
    <col min="1559" max="1793" width="9.109375" style="8"/>
    <col min="1794" max="1795" width="12.109375" style="8" customWidth="1"/>
    <col min="1796" max="1797" width="8.6640625" style="8" customWidth="1"/>
    <col min="1798" max="1798" width="13.33203125" style="8" customWidth="1"/>
    <col min="1799" max="1799" width="9.109375" style="8"/>
    <col min="1800" max="1800" width="7.5546875" style="8" customWidth="1"/>
    <col min="1801" max="1806" width="11.5546875" style="8" customWidth="1"/>
    <col min="1807" max="1811" width="9.109375" style="8"/>
    <col min="1812" max="1812" width="16.33203125" style="8" customWidth="1"/>
    <col min="1813" max="1814" width="12.88671875" style="8" customWidth="1"/>
    <col min="1815" max="2049" width="9.109375" style="8"/>
    <col min="2050" max="2051" width="12.109375" style="8" customWidth="1"/>
    <col min="2052" max="2053" width="8.6640625" style="8" customWidth="1"/>
    <col min="2054" max="2054" width="13.33203125" style="8" customWidth="1"/>
    <col min="2055" max="2055" width="9.109375" style="8"/>
    <col min="2056" max="2056" width="7.5546875" style="8" customWidth="1"/>
    <col min="2057" max="2062" width="11.5546875" style="8" customWidth="1"/>
    <col min="2063" max="2067" width="9.109375" style="8"/>
    <col min="2068" max="2068" width="16.33203125" style="8" customWidth="1"/>
    <col min="2069" max="2070" width="12.88671875" style="8" customWidth="1"/>
    <col min="2071" max="2305" width="9.109375" style="8"/>
    <col min="2306" max="2307" width="12.109375" style="8" customWidth="1"/>
    <col min="2308" max="2309" width="8.6640625" style="8" customWidth="1"/>
    <col min="2310" max="2310" width="13.33203125" style="8" customWidth="1"/>
    <col min="2311" max="2311" width="9.109375" style="8"/>
    <col min="2312" max="2312" width="7.5546875" style="8" customWidth="1"/>
    <col min="2313" max="2318" width="11.5546875" style="8" customWidth="1"/>
    <col min="2319" max="2323" width="9.109375" style="8"/>
    <col min="2324" max="2324" width="16.33203125" style="8" customWidth="1"/>
    <col min="2325" max="2326" width="12.88671875" style="8" customWidth="1"/>
    <col min="2327" max="2561" width="9.109375" style="8"/>
    <col min="2562" max="2563" width="12.109375" style="8" customWidth="1"/>
    <col min="2564" max="2565" width="8.6640625" style="8" customWidth="1"/>
    <col min="2566" max="2566" width="13.33203125" style="8" customWidth="1"/>
    <col min="2567" max="2567" width="9.109375" style="8"/>
    <col min="2568" max="2568" width="7.5546875" style="8" customWidth="1"/>
    <col min="2569" max="2574" width="11.5546875" style="8" customWidth="1"/>
    <col min="2575" max="2579" width="9.109375" style="8"/>
    <col min="2580" max="2580" width="16.33203125" style="8" customWidth="1"/>
    <col min="2581" max="2582" width="12.88671875" style="8" customWidth="1"/>
    <col min="2583" max="2817" width="9.109375" style="8"/>
    <col min="2818" max="2819" width="12.109375" style="8" customWidth="1"/>
    <col min="2820" max="2821" width="8.6640625" style="8" customWidth="1"/>
    <col min="2822" max="2822" width="13.33203125" style="8" customWidth="1"/>
    <col min="2823" max="2823" width="9.109375" style="8"/>
    <col min="2824" max="2824" width="7.5546875" style="8" customWidth="1"/>
    <col min="2825" max="2830" width="11.5546875" style="8" customWidth="1"/>
    <col min="2831" max="2835" width="9.109375" style="8"/>
    <col min="2836" max="2836" width="16.33203125" style="8" customWidth="1"/>
    <col min="2837" max="2838" width="12.88671875" style="8" customWidth="1"/>
    <col min="2839" max="3073" width="9.109375" style="8"/>
    <col min="3074" max="3075" width="12.109375" style="8" customWidth="1"/>
    <col min="3076" max="3077" width="8.6640625" style="8" customWidth="1"/>
    <col min="3078" max="3078" width="13.33203125" style="8" customWidth="1"/>
    <col min="3079" max="3079" width="9.109375" style="8"/>
    <col min="3080" max="3080" width="7.5546875" style="8" customWidth="1"/>
    <col min="3081" max="3086" width="11.5546875" style="8" customWidth="1"/>
    <col min="3087" max="3091" width="9.109375" style="8"/>
    <col min="3092" max="3092" width="16.33203125" style="8" customWidth="1"/>
    <col min="3093" max="3094" width="12.88671875" style="8" customWidth="1"/>
    <col min="3095" max="3329" width="9.109375" style="8"/>
    <col min="3330" max="3331" width="12.109375" style="8" customWidth="1"/>
    <col min="3332" max="3333" width="8.6640625" style="8" customWidth="1"/>
    <col min="3334" max="3334" width="13.33203125" style="8" customWidth="1"/>
    <col min="3335" max="3335" width="9.109375" style="8"/>
    <col min="3336" max="3336" width="7.5546875" style="8" customWidth="1"/>
    <col min="3337" max="3342" width="11.5546875" style="8" customWidth="1"/>
    <col min="3343" max="3347" width="9.109375" style="8"/>
    <col min="3348" max="3348" width="16.33203125" style="8" customWidth="1"/>
    <col min="3349" max="3350" width="12.88671875" style="8" customWidth="1"/>
    <col min="3351" max="3585" width="9.109375" style="8"/>
    <col min="3586" max="3587" width="12.109375" style="8" customWidth="1"/>
    <col min="3588" max="3589" width="8.6640625" style="8" customWidth="1"/>
    <col min="3590" max="3590" width="13.33203125" style="8" customWidth="1"/>
    <col min="3591" max="3591" width="9.109375" style="8"/>
    <col min="3592" max="3592" width="7.5546875" style="8" customWidth="1"/>
    <col min="3593" max="3598" width="11.5546875" style="8" customWidth="1"/>
    <col min="3599" max="3603" width="9.109375" style="8"/>
    <col min="3604" max="3604" width="16.33203125" style="8" customWidth="1"/>
    <col min="3605" max="3606" width="12.88671875" style="8" customWidth="1"/>
    <col min="3607" max="3841" width="9.109375" style="8"/>
    <col min="3842" max="3843" width="12.109375" style="8" customWidth="1"/>
    <col min="3844" max="3845" width="8.6640625" style="8" customWidth="1"/>
    <col min="3846" max="3846" width="13.33203125" style="8" customWidth="1"/>
    <col min="3847" max="3847" width="9.109375" style="8"/>
    <col min="3848" max="3848" width="7.5546875" style="8" customWidth="1"/>
    <col min="3849" max="3854" width="11.5546875" style="8" customWidth="1"/>
    <col min="3855" max="3859" width="9.109375" style="8"/>
    <col min="3860" max="3860" width="16.33203125" style="8" customWidth="1"/>
    <col min="3861" max="3862" width="12.88671875" style="8" customWidth="1"/>
    <col min="3863" max="4097" width="9.109375" style="8"/>
    <col min="4098" max="4099" width="12.109375" style="8" customWidth="1"/>
    <col min="4100" max="4101" width="8.6640625" style="8" customWidth="1"/>
    <col min="4102" max="4102" width="13.33203125" style="8" customWidth="1"/>
    <col min="4103" max="4103" width="9.109375" style="8"/>
    <col min="4104" max="4104" width="7.5546875" style="8" customWidth="1"/>
    <col min="4105" max="4110" width="11.5546875" style="8" customWidth="1"/>
    <col min="4111" max="4115" width="9.109375" style="8"/>
    <col min="4116" max="4116" width="16.33203125" style="8" customWidth="1"/>
    <col min="4117" max="4118" width="12.88671875" style="8" customWidth="1"/>
    <col min="4119" max="4353" width="9.109375" style="8"/>
    <col min="4354" max="4355" width="12.109375" style="8" customWidth="1"/>
    <col min="4356" max="4357" width="8.6640625" style="8" customWidth="1"/>
    <col min="4358" max="4358" width="13.33203125" style="8" customWidth="1"/>
    <col min="4359" max="4359" width="9.109375" style="8"/>
    <col min="4360" max="4360" width="7.5546875" style="8" customWidth="1"/>
    <col min="4361" max="4366" width="11.5546875" style="8" customWidth="1"/>
    <col min="4367" max="4371" width="9.109375" style="8"/>
    <col min="4372" max="4372" width="16.33203125" style="8" customWidth="1"/>
    <col min="4373" max="4374" width="12.88671875" style="8" customWidth="1"/>
    <col min="4375" max="4609" width="9.109375" style="8"/>
    <col min="4610" max="4611" width="12.109375" style="8" customWidth="1"/>
    <col min="4612" max="4613" width="8.6640625" style="8" customWidth="1"/>
    <col min="4614" max="4614" width="13.33203125" style="8" customWidth="1"/>
    <col min="4615" max="4615" width="9.109375" style="8"/>
    <col min="4616" max="4616" width="7.5546875" style="8" customWidth="1"/>
    <col min="4617" max="4622" width="11.5546875" style="8" customWidth="1"/>
    <col min="4623" max="4627" width="9.109375" style="8"/>
    <col min="4628" max="4628" width="16.33203125" style="8" customWidth="1"/>
    <col min="4629" max="4630" width="12.88671875" style="8" customWidth="1"/>
    <col min="4631" max="4865" width="9.109375" style="8"/>
    <col min="4866" max="4867" width="12.109375" style="8" customWidth="1"/>
    <col min="4868" max="4869" width="8.6640625" style="8" customWidth="1"/>
    <col min="4870" max="4870" width="13.33203125" style="8" customWidth="1"/>
    <col min="4871" max="4871" width="9.109375" style="8"/>
    <col min="4872" max="4872" width="7.5546875" style="8" customWidth="1"/>
    <col min="4873" max="4878" width="11.5546875" style="8" customWidth="1"/>
    <col min="4879" max="4883" width="9.109375" style="8"/>
    <col min="4884" max="4884" width="16.33203125" style="8" customWidth="1"/>
    <col min="4885" max="4886" width="12.88671875" style="8" customWidth="1"/>
    <col min="4887" max="5121" width="9.109375" style="8"/>
    <col min="5122" max="5123" width="12.109375" style="8" customWidth="1"/>
    <col min="5124" max="5125" width="8.6640625" style="8" customWidth="1"/>
    <col min="5126" max="5126" width="13.33203125" style="8" customWidth="1"/>
    <col min="5127" max="5127" width="9.109375" style="8"/>
    <col min="5128" max="5128" width="7.5546875" style="8" customWidth="1"/>
    <col min="5129" max="5134" width="11.5546875" style="8" customWidth="1"/>
    <col min="5135" max="5139" width="9.109375" style="8"/>
    <col min="5140" max="5140" width="16.33203125" style="8" customWidth="1"/>
    <col min="5141" max="5142" width="12.88671875" style="8" customWidth="1"/>
    <col min="5143" max="5377" width="9.109375" style="8"/>
    <col min="5378" max="5379" width="12.109375" style="8" customWidth="1"/>
    <col min="5380" max="5381" width="8.6640625" style="8" customWidth="1"/>
    <col min="5382" max="5382" width="13.33203125" style="8" customWidth="1"/>
    <col min="5383" max="5383" width="9.109375" style="8"/>
    <col min="5384" max="5384" width="7.5546875" style="8" customWidth="1"/>
    <col min="5385" max="5390" width="11.5546875" style="8" customWidth="1"/>
    <col min="5391" max="5395" width="9.109375" style="8"/>
    <col min="5396" max="5396" width="16.33203125" style="8" customWidth="1"/>
    <col min="5397" max="5398" width="12.88671875" style="8" customWidth="1"/>
    <col min="5399" max="5633" width="9.109375" style="8"/>
    <col min="5634" max="5635" width="12.109375" style="8" customWidth="1"/>
    <col min="5636" max="5637" width="8.6640625" style="8" customWidth="1"/>
    <col min="5638" max="5638" width="13.33203125" style="8" customWidth="1"/>
    <col min="5639" max="5639" width="9.109375" style="8"/>
    <col min="5640" max="5640" width="7.5546875" style="8" customWidth="1"/>
    <col min="5641" max="5646" width="11.5546875" style="8" customWidth="1"/>
    <col min="5647" max="5651" width="9.109375" style="8"/>
    <col min="5652" max="5652" width="16.33203125" style="8" customWidth="1"/>
    <col min="5653" max="5654" width="12.88671875" style="8" customWidth="1"/>
    <col min="5655" max="5889" width="9.109375" style="8"/>
    <col min="5890" max="5891" width="12.109375" style="8" customWidth="1"/>
    <col min="5892" max="5893" width="8.6640625" style="8" customWidth="1"/>
    <col min="5894" max="5894" width="13.33203125" style="8" customWidth="1"/>
    <col min="5895" max="5895" width="9.109375" style="8"/>
    <col min="5896" max="5896" width="7.5546875" style="8" customWidth="1"/>
    <col min="5897" max="5902" width="11.5546875" style="8" customWidth="1"/>
    <col min="5903" max="5907" width="9.109375" style="8"/>
    <col min="5908" max="5908" width="16.33203125" style="8" customWidth="1"/>
    <col min="5909" max="5910" width="12.88671875" style="8" customWidth="1"/>
    <col min="5911" max="6145" width="9.109375" style="8"/>
    <col min="6146" max="6147" width="12.109375" style="8" customWidth="1"/>
    <col min="6148" max="6149" width="8.6640625" style="8" customWidth="1"/>
    <col min="6150" max="6150" width="13.33203125" style="8" customWidth="1"/>
    <col min="6151" max="6151" width="9.109375" style="8"/>
    <col min="6152" max="6152" width="7.5546875" style="8" customWidth="1"/>
    <col min="6153" max="6158" width="11.5546875" style="8" customWidth="1"/>
    <col min="6159" max="6163" width="9.109375" style="8"/>
    <col min="6164" max="6164" width="16.33203125" style="8" customWidth="1"/>
    <col min="6165" max="6166" width="12.88671875" style="8" customWidth="1"/>
    <col min="6167" max="6401" width="9.109375" style="8"/>
    <col min="6402" max="6403" width="12.109375" style="8" customWidth="1"/>
    <col min="6404" max="6405" width="8.6640625" style="8" customWidth="1"/>
    <col min="6406" max="6406" width="13.33203125" style="8" customWidth="1"/>
    <col min="6407" max="6407" width="9.109375" style="8"/>
    <col min="6408" max="6408" width="7.5546875" style="8" customWidth="1"/>
    <col min="6409" max="6414" width="11.5546875" style="8" customWidth="1"/>
    <col min="6415" max="6419" width="9.109375" style="8"/>
    <col min="6420" max="6420" width="16.33203125" style="8" customWidth="1"/>
    <col min="6421" max="6422" width="12.88671875" style="8" customWidth="1"/>
    <col min="6423" max="6657" width="9.109375" style="8"/>
    <col min="6658" max="6659" width="12.109375" style="8" customWidth="1"/>
    <col min="6660" max="6661" width="8.6640625" style="8" customWidth="1"/>
    <col min="6662" max="6662" width="13.33203125" style="8" customWidth="1"/>
    <col min="6663" max="6663" width="9.109375" style="8"/>
    <col min="6664" max="6664" width="7.5546875" style="8" customWidth="1"/>
    <col min="6665" max="6670" width="11.5546875" style="8" customWidth="1"/>
    <col min="6671" max="6675" width="9.109375" style="8"/>
    <col min="6676" max="6676" width="16.33203125" style="8" customWidth="1"/>
    <col min="6677" max="6678" width="12.88671875" style="8" customWidth="1"/>
    <col min="6679" max="6913" width="9.109375" style="8"/>
    <col min="6914" max="6915" width="12.109375" style="8" customWidth="1"/>
    <col min="6916" max="6917" width="8.6640625" style="8" customWidth="1"/>
    <col min="6918" max="6918" width="13.33203125" style="8" customWidth="1"/>
    <col min="6919" max="6919" width="9.109375" style="8"/>
    <col min="6920" max="6920" width="7.5546875" style="8" customWidth="1"/>
    <col min="6921" max="6926" width="11.5546875" style="8" customWidth="1"/>
    <col min="6927" max="6931" width="9.109375" style="8"/>
    <col min="6932" max="6932" width="16.33203125" style="8" customWidth="1"/>
    <col min="6933" max="6934" width="12.88671875" style="8" customWidth="1"/>
    <col min="6935" max="7169" width="9.109375" style="8"/>
    <col min="7170" max="7171" width="12.109375" style="8" customWidth="1"/>
    <col min="7172" max="7173" width="8.6640625" style="8" customWidth="1"/>
    <col min="7174" max="7174" width="13.33203125" style="8" customWidth="1"/>
    <col min="7175" max="7175" width="9.109375" style="8"/>
    <col min="7176" max="7176" width="7.5546875" style="8" customWidth="1"/>
    <col min="7177" max="7182" width="11.5546875" style="8" customWidth="1"/>
    <col min="7183" max="7187" width="9.109375" style="8"/>
    <col min="7188" max="7188" width="16.33203125" style="8" customWidth="1"/>
    <col min="7189" max="7190" width="12.88671875" style="8" customWidth="1"/>
    <col min="7191" max="7425" width="9.109375" style="8"/>
    <col min="7426" max="7427" width="12.109375" style="8" customWidth="1"/>
    <col min="7428" max="7429" width="8.6640625" style="8" customWidth="1"/>
    <col min="7430" max="7430" width="13.33203125" style="8" customWidth="1"/>
    <col min="7431" max="7431" width="9.109375" style="8"/>
    <col min="7432" max="7432" width="7.5546875" style="8" customWidth="1"/>
    <col min="7433" max="7438" width="11.5546875" style="8" customWidth="1"/>
    <col min="7439" max="7443" width="9.109375" style="8"/>
    <col min="7444" max="7444" width="16.33203125" style="8" customWidth="1"/>
    <col min="7445" max="7446" width="12.88671875" style="8" customWidth="1"/>
    <col min="7447" max="7681" width="9.109375" style="8"/>
    <col min="7682" max="7683" width="12.109375" style="8" customWidth="1"/>
    <col min="7684" max="7685" width="8.6640625" style="8" customWidth="1"/>
    <col min="7686" max="7686" width="13.33203125" style="8" customWidth="1"/>
    <col min="7687" max="7687" width="9.109375" style="8"/>
    <col min="7688" max="7688" width="7.5546875" style="8" customWidth="1"/>
    <col min="7689" max="7694" width="11.5546875" style="8" customWidth="1"/>
    <col min="7695" max="7699" width="9.109375" style="8"/>
    <col min="7700" max="7700" width="16.33203125" style="8" customWidth="1"/>
    <col min="7701" max="7702" width="12.88671875" style="8" customWidth="1"/>
    <col min="7703" max="7937" width="9.109375" style="8"/>
    <col min="7938" max="7939" width="12.109375" style="8" customWidth="1"/>
    <col min="7940" max="7941" width="8.6640625" style="8" customWidth="1"/>
    <col min="7942" max="7942" width="13.33203125" style="8" customWidth="1"/>
    <col min="7943" max="7943" width="9.109375" style="8"/>
    <col min="7944" max="7944" width="7.5546875" style="8" customWidth="1"/>
    <col min="7945" max="7950" width="11.5546875" style="8" customWidth="1"/>
    <col min="7951" max="7955" width="9.109375" style="8"/>
    <col min="7956" max="7956" width="16.33203125" style="8" customWidth="1"/>
    <col min="7957" max="7958" width="12.88671875" style="8" customWidth="1"/>
    <col min="7959" max="8193" width="9.109375" style="8"/>
    <col min="8194" max="8195" width="12.109375" style="8" customWidth="1"/>
    <col min="8196" max="8197" width="8.6640625" style="8" customWidth="1"/>
    <col min="8198" max="8198" width="13.33203125" style="8" customWidth="1"/>
    <col min="8199" max="8199" width="9.109375" style="8"/>
    <col min="8200" max="8200" width="7.5546875" style="8" customWidth="1"/>
    <col min="8201" max="8206" width="11.5546875" style="8" customWidth="1"/>
    <col min="8207" max="8211" width="9.109375" style="8"/>
    <col min="8212" max="8212" width="16.33203125" style="8" customWidth="1"/>
    <col min="8213" max="8214" width="12.88671875" style="8" customWidth="1"/>
    <col min="8215" max="8449" width="9.109375" style="8"/>
    <col min="8450" max="8451" width="12.109375" style="8" customWidth="1"/>
    <col min="8452" max="8453" width="8.6640625" style="8" customWidth="1"/>
    <col min="8454" max="8454" width="13.33203125" style="8" customWidth="1"/>
    <col min="8455" max="8455" width="9.109375" style="8"/>
    <col min="8456" max="8456" width="7.5546875" style="8" customWidth="1"/>
    <col min="8457" max="8462" width="11.5546875" style="8" customWidth="1"/>
    <col min="8463" max="8467" width="9.109375" style="8"/>
    <col min="8468" max="8468" width="16.33203125" style="8" customWidth="1"/>
    <col min="8469" max="8470" width="12.88671875" style="8" customWidth="1"/>
    <col min="8471" max="8705" width="9.109375" style="8"/>
    <col min="8706" max="8707" width="12.109375" style="8" customWidth="1"/>
    <col min="8708" max="8709" width="8.6640625" style="8" customWidth="1"/>
    <col min="8710" max="8710" width="13.33203125" style="8" customWidth="1"/>
    <col min="8711" max="8711" width="9.109375" style="8"/>
    <col min="8712" max="8712" width="7.5546875" style="8" customWidth="1"/>
    <col min="8713" max="8718" width="11.5546875" style="8" customWidth="1"/>
    <col min="8719" max="8723" width="9.109375" style="8"/>
    <col min="8724" max="8724" width="16.33203125" style="8" customWidth="1"/>
    <col min="8725" max="8726" width="12.88671875" style="8" customWidth="1"/>
    <col min="8727" max="8961" width="9.109375" style="8"/>
    <col min="8962" max="8963" width="12.109375" style="8" customWidth="1"/>
    <col min="8964" max="8965" width="8.6640625" style="8" customWidth="1"/>
    <col min="8966" max="8966" width="13.33203125" style="8" customWidth="1"/>
    <col min="8967" max="8967" width="9.109375" style="8"/>
    <col min="8968" max="8968" width="7.5546875" style="8" customWidth="1"/>
    <col min="8969" max="8974" width="11.5546875" style="8" customWidth="1"/>
    <col min="8975" max="8979" width="9.109375" style="8"/>
    <col min="8980" max="8980" width="16.33203125" style="8" customWidth="1"/>
    <col min="8981" max="8982" width="12.88671875" style="8" customWidth="1"/>
    <col min="8983" max="9217" width="9.109375" style="8"/>
    <col min="9218" max="9219" width="12.109375" style="8" customWidth="1"/>
    <col min="9220" max="9221" width="8.6640625" style="8" customWidth="1"/>
    <col min="9222" max="9222" width="13.33203125" style="8" customWidth="1"/>
    <col min="9223" max="9223" width="9.109375" style="8"/>
    <col min="9224" max="9224" width="7.5546875" style="8" customWidth="1"/>
    <col min="9225" max="9230" width="11.5546875" style="8" customWidth="1"/>
    <col min="9231" max="9235" width="9.109375" style="8"/>
    <col min="9236" max="9236" width="16.33203125" style="8" customWidth="1"/>
    <col min="9237" max="9238" width="12.88671875" style="8" customWidth="1"/>
    <col min="9239" max="9473" width="9.109375" style="8"/>
    <col min="9474" max="9475" width="12.109375" style="8" customWidth="1"/>
    <col min="9476" max="9477" width="8.6640625" style="8" customWidth="1"/>
    <col min="9478" max="9478" width="13.33203125" style="8" customWidth="1"/>
    <col min="9479" max="9479" width="9.109375" style="8"/>
    <col min="9480" max="9480" width="7.5546875" style="8" customWidth="1"/>
    <col min="9481" max="9486" width="11.5546875" style="8" customWidth="1"/>
    <col min="9487" max="9491" width="9.109375" style="8"/>
    <col min="9492" max="9492" width="16.33203125" style="8" customWidth="1"/>
    <col min="9493" max="9494" width="12.88671875" style="8" customWidth="1"/>
    <col min="9495" max="9729" width="9.109375" style="8"/>
    <col min="9730" max="9731" width="12.109375" style="8" customWidth="1"/>
    <col min="9732" max="9733" width="8.6640625" style="8" customWidth="1"/>
    <col min="9734" max="9734" width="13.33203125" style="8" customWidth="1"/>
    <col min="9735" max="9735" width="9.109375" style="8"/>
    <col min="9736" max="9736" width="7.5546875" style="8" customWidth="1"/>
    <col min="9737" max="9742" width="11.5546875" style="8" customWidth="1"/>
    <col min="9743" max="9747" width="9.109375" style="8"/>
    <col min="9748" max="9748" width="16.33203125" style="8" customWidth="1"/>
    <col min="9749" max="9750" width="12.88671875" style="8" customWidth="1"/>
    <col min="9751" max="9985" width="9.109375" style="8"/>
    <col min="9986" max="9987" width="12.109375" style="8" customWidth="1"/>
    <col min="9988" max="9989" width="8.6640625" style="8" customWidth="1"/>
    <col min="9990" max="9990" width="13.33203125" style="8" customWidth="1"/>
    <col min="9991" max="9991" width="9.109375" style="8"/>
    <col min="9992" max="9992" width="7.5546875" style="8" customWidth="1"/>
    <col min="9993" max="9998" width="11.5546875" style="8" customWidth="1"/>
    <col min="9999" max="10003" width="9.109375" style="8"/>
    <col min="10004" max="10004" width="16.33203125" style="8" customWidth="1"/>
    <col min="10005" max="10006" width="12.88671875" style="8" customWidth="1"/>
    <col min="10007" max="10241" width="9.109375" style="8"/>
    <col min="10242" max="10243" width="12.109375" style="8" customWidth="1"/>
    <col min="10244" max="10245" width="8.6640625" style="8" customWidth="1"/>
    <col min="10246" max="10246" width="13.33203125" style="8" customWidth="1"/>
    <col min="10247" max="10247" width="9.109375" style="8"/>
    <col min="10248" max="10248" width="7.5546875" style="8" customWidth="1"/>
    <col min="10249" max="10254" width="11.5546875" style="8" customWidth="1"/>
    <col min="10255" max="10259" width="9.109375" style="8"/>
    <col min="10260" max="10260" width="16.33203125" style="8" customWidth="1"/>
    <col min="10261" max="10262" width="12.88671875" style="8" customWidth="1"/>
    <col min="10263" max="10497" width="9.109375" style="8"/>
    <col min="10498" max="10499" width="12.109375" style="8" customWidth="1"/>
    <col min="10500" max="10501" width="8.6640625" style="8" customWidth="1"/>
    <col min="10502" max="10502" width="13.33203125" style="8" customWidth="1"/>
    <col min="10503" max="10503" width="9.109375" style="8"/>
    <col min="10504" max="10504" width="7.5546875" style="8" customWidth="1"/>
    <col min="10505" max="10510" width="11.5546875" style="8" customWidth="1"/>
    <col min="10511" max="10515" width="9.109375" style="8"/>
    <col min="10516" max="10516" width="16.33203125" style="8" customWidth="1"/>
    <col min="10517" max="10518" width="12.88671875" style="8" customWidth="1"/>
    <col min="10519" max="10753" width="9.109375" style="8"/>
    <col min="10754" max="10755" width="12.109375" style="8" customWidth="1"/>
    <col min="10756" max="10757" width="8.6640625" style="8" customWidth="1"/>
    <col min="10758" max="10758" width="13.33203125" style="8" customWidth="1"/>
    <col min="10759" max="10759" width="9.109375" style="8"/>
    <col min="10760" max="10760" width="7.5546875" style="8" customWidth="1"/>
    <col min="10761" max="10766" width="11.5546875" style="8" customWidth="1"/>
    <col min="10767" max="10771" width="9.109375" style="8"/>
    <col min="10772" max="10772" width="16.33203125" style="8" customWidth="1"/>
    <col min="10773" max="10774" width="12.88671875" style="8" customWidth="1"/>
    <col min="10775" max="11009" width="9.109375" style="8"/>
    <col min="11010" max="11011" width="12.109375" style="8" customWidth="1"/>
    <col min="11012" max="11013" width="8.6640625" style="8" customWidth="1"/>
    <col min="11014" max="11014" width="13.33203125" style="8" customWidth="1"/>
    <col min="11015" max="11015" width="9.109375" style="8"/>
    <col min="11016" max="11016" width="7.5546875" style="8" customWidth="1"/>
    <col min="11017" max="11022" width="11.5546875" style="8" customWidth="1"/>
    <col min="11023" max="11027" width="9.109375" style="8"/>
    <col min="11028" max="11028" width="16.33203125" style="8" customWidth="1"/>
    <col min="11029" max="11030" width="12.88671875" style="8" customWidth="1"/>
    <col min="11031" max="11265" width="9.109375" style="8"/>
    <col min="11266" max="11267" width="12.109375" style="8" customWidth="1"/>
    <col min="11268" max="11269" width="8.6640625" style="8" customWidth="1"/>
    <col min="11270" max="11270" width="13.33203125" style="8" customWidth="1"/>
    <col min="11271" max="11271" width="9.109375" style="8"/>
    <col min="11272" max="11272" width="7.5546875" style="8" customWidth="1"/>
    <col min="11273" max="11278" width="11.5546875" style="8" customWidth="1"/>
    <col min="11279" max="11283" width="9.109375" style="8"/>
    <col min="11284" max="11284" width="16.33203125" style="8" customWidth="1"/>
    <col min="11285" max="11286" width="12.88671875" style="8" customWidth="1"/>
    <col min="11287" max="11521" width="9.109375" style="8"/>
    <col min="11522" max="11523" width="12.109375" style="8" customWidth="1"/>
    <col min="11524" max="11525" width="8.6640625" style="8" customWidth="1"/>
    <col min="11526" max="11526" width="13.33203125" style="8" customWidth="1"/>
    <col min="11527" max="11527" width="9.109375" style="8"/>
    <col min="11528" max="11528" width="7.5546875" style="8" customWidth="1"/>
    <col min="11529" max="11534" width="11.5546875" style="8" customWidth="1"/>
    <col min="11535" max="11539" width="9.109375" style="8"/>
    <col min="11540" max="11540" width="16.33203125" style="8" customWidth="1"/>
    <col min="11541" max="11542" width="12.88671875" style="8" customWidth="1"/>
    <col min="11543" max="11777" width="9.109375" style="8"/>
    <col min="11778" max="11779" width="12.109375" style="8" customWidth="1"/>
    <col min="11780" max="11781" width="8.6640625" style="8" customWidth="1"/>
    <col min="11782" max="11782" width="13.33203125" style="8" customWidth="1"/>
    <col min="11783" max="11783" width="9.109375" style="8"/>
    <col min="11784" max="11784" width="7.5546875" style="8" customWidth="1"/>
    <col min="11785" max="11790" width="11.5546875" style="8" customWidth="1"/>
    <col min="11791" max="11795" width="9.109375" style="8"/>
    <col min="11796" max="11796" width="16.33203125" style="8" customWidth="1"/>
    <col min="11797" max="11798" width="12.88671875" style="8" customWidth="1"/>
    <col min="11799" max="12033" width="9.109375" style="8"/>
    <col min="12034" max="12035" width="12.109375" style="8" customWidth="1"/>
    <col min="12036" max="12037" width="8.6640625" style="8" customWidth="1"/>
    <col min="12038" max="12038" width="13.33203125" style="8" customWidth="1"/>
    <col min="12039" max="12039" width="9.109375" style="8"/>
    <col min="12040" max="12040" width="7.5546875" style="8" customWidth="1"/>
    <col min="12041" max="12046" width="11.5546875" style="8" customWidth="1"/>
    <col min="12047" max="12051" width="9.109375" style="8"/>
    <col min="12052" max="12052" width="16.33203125" style="8" customWidth="1"/>
    <col min="12053" max="12054" width="12.88671875" style="8" customWidth="1"/>
    <col min="12055" max="12289" width="9.109375" style="8"/>
    <col min="12290" max="12291" width="12.109375" style="8" customWidth="1"/>
    <col min="12292" max="12293" width="8.6640625" style="8" customWidth="1"/>
    <col min="12294" max="12294" width="13.33203125" style="8" customWidth="1"/>
    <col min="12295" max="12295" width="9.109375" style="8"/>
    <col min="12296" max="12296" width="7.5546875" style="8" customWidth="1"/>
    <col min="12297" max="12302" width="11.5546875" style="8" customWidth="1"/>
    <col min="12303" max="12307" width="9.109375" style="8"/>
    <col min="12308" max="12308" width="16.33203125" style="8" customWidth="1"/>
    <col min="12309" max="12310" width="12.88671875" style="8" customWidth="1"/>
    <col min="12311" max="12545" width="9.109375" style="8"/>
    <col min="12546" max="12547" width="12.109375" style="8" customWidth="1"/>
    <col min="12548" max="12549" width="8.6640625" style="8" customWidth="1"/>
    <col min="12550" max="12550" width="13.33203125" style="8" customWidth="1"/>
    <col min="12551" max="12551" width="9.109375" style="8"/>
    <col min="12552" max="12552" width="7.5546875" style="8" customWidth="1"/>
    <col min="12553" max="12558" width="11.5546875" style="8" customWidth="1"/>
    <col min="12559" max="12563" width="9.109375" style="8"/>
    <col min="12564" max="12564" width="16.33203125" style="8" customWidth="1"/>
    <col min="12565" max="12566" width="12.88671875" style="8" customWidth="1"/>
    <col min="12567" max="12801" width="9.109375" style="8"/>
    <col min="12802" max="12803" width="12.109375" style="8" customWidth="1"/>
    <col min="12804" max="12805" width="8.6640625" style="8" customWidth="1"/>
    <col min="12806" max="12806" width="13.33203125" style="8" customWidth="1"/>
    <col min="12807" max="12807" width="9.109375" style="8"/>
    <col min="12808" max="12808" width="7.5546875" style="8" customWidth="1"/>
    <col min="12809" max="12814" width="11.5546875" style="8" customWidth="1"/>
    <col min="12815" max="12819" width="9.109375" style="8"/>
    <col min="12820" max="12820" width="16.33203125" style="8" customWidth="1"/>
    <col min="12821" max="12822" width="12.88671875" style="8" customWidth="1"/>
    <col min="12823" max="13057" width="9.109375" style="8"/>
    <col min="13058" max="13059" width="12.109375" style="8" customWidth="1"/>
    <col min="13060" max="13061" width="8.6640625" style="8" customWidth="1"/>
    <col min="13062" max="13062" width="13.33203125" style="8" customWidth="1"/>
    <col min="13063" max="13063" width="9.109375" style="8"/>
    <col min="13064" max="13064" width="7.5546875" style="8" customWidth="1"/>
    <col min="13065" max="13070" width="11.5546875" style="8" customWidth="1"/>
    <col min="13071" max="13075" width="9.109375" style="8"/>
    <col min="13076" max="13076" width="16.33203125" style="8" customWidth="1"/>
    <col min="13077" max="13078" width="12.88671875" style="8" customWidth="1"/>
    <col min="13079" max="13313" width="9.109375" style="8"/>
    <col min="13314" max="13315" width="12.109375" style="8" customWidth="1"/>
    <col min="13316" max="13317" width="8.6640625" style="8" customWidth="1"/>
    <col min="13318" max="13318" width="13.33203125" style="8" customWidth="1"/>
    <col min="13319" max="13319" width="9.109375" style="8"/>
    <col min="13320" max="13320" width="7.5546875" style="8" customWidth="1"/>
    <col min="13321" max="13326" width="11.5546875" style="8" customWidth="1"/>
    <col min="13327" max="13331" width="9.109375" style="8"/>
    <col min="13332" max="13332" width="16.33203125" style="8" customWidth="1"/>
    <col min="13333" max="13334" width="12.88671875" style="8" customWidth="1"/>
    <col min="13335" max="13569" width="9.109375" style="8"/>
    <col min="13570" max="13571" width="12.109375" style="8" customWidth="1"/>
    <col min="13572" max="13573" width="8.6640625" style="8" customWidth="1"/>
    <col min="13574" max="13574" width="13.33203125" style="8" customWidth="1"/>
    <col min="13575" max="13575" width="9.109375" style="8"/>
    <col min="13576" max="13576" width="7.5546875" style="8" customWidth="1"/>
    <col min="13577" max="13582" width="11.5546875" style="8" customWidth="1"/>
    <col min="13583" max="13587" width="9.109375" style="8"/>
    <col min="13588" max="13588" width="16.33203125" style="8" customWidth="1"/>
    <col min="13589" max="13590" width="12.88671875" style="8" customWidth="1"/>
    <col min="13591" max="13825" width="9.109375" style="8"/>
    <col min="13826" max="13827" width="12.109375" style="8" customWidth="1"/>
    <col min="13828" max="13829" width="8.6640625" style="8" customWidth="1"/>
    <col min="13830" max="13830" width="13.33203125" style="8" customWidth="1"/>
    <col min="13831" max="13831" width="9.109375" style="8"/>
    <col min="13832" max="13832" width="7.5546875" style="8" customWidth="1"/>
    <col min="13833" max="13838" width="11.5546875" style="8" customWidth="1"/>
    <col min="13839" max="13843" width="9.109375" style="8"/>
    <col min="13844" max="13844" width="16.33203125" style="8" customWidth="1"/>
    <col min="13845" max="13846" width="12.88671875" style="8" customWidth="1"/>
    <col min="13847" max="14081" width="9.109375" style="8"/>
    <col min="14082" max="14083" width="12.109375" style="8" customWidth="1"/>
    <col min="14084" max="14085" width="8.6640625" style="8" customWidth="1"/>
    <col min="14086" max="14086" width="13.33203125" style="8" customWidth="1"/>
    <col min="14087" max="14087" width="9.109375" style="8"/>
    <col min="14088" max="14088" width="7.5546875" style="8" customWidth="1"/>
    <col min="14089" max="14094" width="11.5546875" style="8" customWidth="1"/>
    <col min="14095" max="14099" width="9.109375" style="8"/>
    <col min="14100" max="14100" width="16.33203125" style="8" customWidth="1"/>
    <col min="14101" max="14102" width="12.88671875" style="8" customWidth="1"/>
    <col min="14103" max="14337" width="9.109375" style="8"/>
    <col min="14338" max="14339" width="12.109375" style="8" customWidth="1"/>
    <col min="14340" max="14341" width="8.6640625" style="8" customWidth="1"/>
    <col min="14342" max="14342" width="13.33203125" style="8" customWidth="1"/>
    <col min="14343" max="14343" width="9.109375" style="8"/>
    <col min="14344" max="14344" width="7.5546875" style="8" customWidth="1"/>
    <col min="14345" max="14350" width="11.5546875" style="8" customWidth="1"/>
    <col min="14351" max="14355" width="9.109375" style="8"/>
    <col min="14356" max="14356" width="16.33203125" style="8" customWidth="1"/>
    <col min="14357" max="14358" width="12.88671875" style="8" customWidth="1"/>
    <col min="14359" max="14593" width="9.109375" style="8"/>
    <col min="14594" max="14595" width="12.109375" style="8" customWidth="1"/>
    <col min="14596" max="14597" width="8.6640625" style="8" customWidth="1"/>
    <col min="14598" max="14598" width="13.33203125" style="8" customWidth="1"/>
    <col min="14599" max="14599" width="9.109375" style="8"/>
    <col min="14600" max="14600" width="7.5546875" style="8" customWidth="1"/>
    <col min="14601" max="14606" width="11.5546875" style="8" customWidth="1"/>
    <col min="14607" max="14611" width="9.109375" style="8"/>
    <col min="14612" max="14612" width="16.33203125" style="8" customWidth="1"/>
    <col min="14613" max="14614" width="12.88671875" style="8" customWidth="1"/>
    <col min="14615" max="14849" width="9.109375" style="8"/>
    <col min="14850" max="14851" width="12.109375" style="8" customWidth="1"/>
    <col min="14852" max="14853" width="8.6640625" style="8" customWidth="1"/>
    <col min="14854" max="14854" width="13.33203125" style="8" customWidth="1"/>
    <col min="14855" max="14855" width="9.109375" style="8"/>
    <col min="14856" max="14856" width="7.5546875" style="8" customWidth="1"/>
    <col min="14857" max="14862" width="11.5546875" style="8" customWidth="1"/>
    <col min="14863" max="14867" width="9.109375" style="8"/>
    <col min="14868" max="14868" width="16.33203125" style="8" customWidth="1"/>
    <col min="14869" max="14870" width="12.88671875" style="8" customWidth="1"/>
    <col min="14871" max="15105" width="9.109375" style="8"/>
    <col min="15106" max="15107" width="12.109375" style="8" customWidth="1"/>
    <col min="15108" max="15109" width="8.6640625" style="8" customWidth="1"/>
    <col min="15110" max="15110" width="13.33203125" style="8" customWidth="1"/>
    <col min="15111" max="15111" width="9.109375" style="8"/>
    <col min="15112" max="15112" width="7.5546875" style="8" customWidth="1"/>
    <col min="15113" max="15118" width="11.5546875" style="8" customWidth="1"/>
    <col min="15119" max="15123" width="9.109375" style="8"/>
    <col min="15124" max="15124" width="16.33203125" style="8" customWidth="1"/>
    <col min="15125" max="15126" width="12.88671875" style="8" customWidth="1"/>
    <col min="15127" max="15361" width="9.109375" style="8"/>
    <col min="15362" max="15363" width="12.109375" style="8" customWidth="1"/>
    <col min="15364" max="15365" width="8.6640625" style="8" customWidth="1"/>
    <col min="15366" max="15366" width="13.33203125" style="8" customWidth="1"/>
    <col min="15367" max="15367" width="9.109375" style="8"/>
    <col min="15368" max="15368" width="7.5546875" style="8" customWidth="1"/>
    <col min="15369" max="15374" width="11.5546875" style="8" customWidth="1"/>
    <col min="15375" max="15379" width="9.109375" style="8"/>
    <col min="15380" max="15380" width="16.33203125" style="8" customWidth="1"/>
    <col min="15381" max="15382" width="12.88671875" style="8" customWidth="1"/>
    <col min="15383" max="15617" width="9.109375" style="8"/>
    <col min="15618" max="15619" width="12.109375" style="8" customWidth="1"/>
    <col min="15620" max="15621" width="8.6640625" style="8" customWidth="1"/>
    <col min="15622" max="15622" width="13.33203125" style="8" customWidth="1"/>
    <col min="15623" max="15623" width="9.109375" style="8"/>
    <col min="15624" max="15624" width="7.5546875" style="8" customWidth="1"/>
    <col min="15625" max="15630" width="11.5546875" style="8" customWidth="1"/>
    <col min="15631" max="15635" width="9.109375" style="8"/>
    <col min="15636" max="15636" width="16.33203125" style="8" customWidth="1"/>
    <col min="15637" max="15638" width="12.88671875" style="8" customWidth="1"/>
    <col min="15639" max="15873" width="9.109375" style="8"/>
    <col min="15874" max="15875" width="12.109375" style="8" customWidth="1"/>
    <col min="15876" max="15877" width="8.6640625" style="8" customWidth="1"/>
    <col min="15878" max="15878" width="13.33203125" style="8" customWidth="1"/>
    <col min="15879" max="15879" width="9.109375" style="8"/>
    <col min="15880" max="15880" width="7.5546875" style="8" customWidth="1"/>
    <col min="15881" max="15886" width="11.5546875" style="8" customWidth="1"/>
    <col min="15887" max="15891" width="9.109375" style="8"/>
    <col min="15892" max="15892" width="16.33203125" style="8" customWidth="1"/>
    <col min="15893" max="15894" width="12.88671875" style="8" customWidth="1"/>
    <col min="15895" max="16129" width="9.109375" style="8"/>
    <col min="16130" max="16131" width="12.109375" style="8" customWidth="1"/>
    <col min="16132" max="16133" width="8.6640625" style="8" customWidth="1"/>
    <col min="16134" max="16134" width="13.33203125" style="8" customWidth="1"/>
    <col min="16135" max="16135" width="9.109375" style="8"/>
    <col min="16136" max="16136" width="7.5546875" style="8" customWidth="1"/>
    <col min="16137" max="16142" width="11.5546875" style="8" customWidth="1"/>
    <col min="16143" max="16147" width="9.109375" style="8"/>
    <col min="16148" max="16148" width="16.33203125" style="8" customWidth="1"/>
    <col min="16149" max="16150" width="12.88671875" style="8" customWidth="1"/>
    <col min="16151" max="16384" width="9.109375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2"/>
      <c r="AI1" s="72"/>
      <c r="AJ1" s="72"/>
      <c r="AK1" s="72"/>
      <c r="AL1" s="72" t="s">
        <v>34</v>
      </c>
      <c r="AM1" s="72" t="s">
        <v>36</v>
      </c>
      <c r="AN1" s="72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39.75" customHeight="1" thickBot="1" x14ac:dyDescent="0.35">
      <c r="A2" s="10" t="s">
        <v>23</v>
      </c>
      <c r="B2" s="50" t="s">
        <v>34</v>
      </c>
      <c r="C2" s="51" t="s">
        <v>36</v>
      </c>
      <c r="D2" s="7"/>
      <c r="E2" s="12"/>
      <c r="F2" s="81" t="s">
        <v>24</v>
      </c>
      <c r="G2" s="88"/>
      <c r="I2" s="14"/>
      <c r="J2" s="14"/>
      <c r="K2" s="93">
        <f>(L5-J6)/J6</f>
        <v>-7.8348929598069217E-2</v>
      </c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"/>
      <c r="Z2" s="7"/>
      <c r="AA2" s="7"/>
      <c r="AB2" s="7"/>
      <c r="AC2" s="7"/>
      <c r="AD2" s="7"/>
      <c r="AE2" s="7"/>
      <c r="AF2" s="7"/>
      <c r="AG2" s="7"/>
      <c r="AH2" s="72">
        <v>0</v>
      </c>
      <c r="AI2" s="72"/>
      <c r="AJ2" s="72"/>
      <c r="AK2" s="72">
        <v>0</v>
      </c>
      <c r="AL2" s="72">
        <v>0</v>
      </c>
      <c r="AM2" s="72">
        <v>0</v>
      </c>
      <c r="AN2" s="72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52">
        <v>183.44693159558582</v>
      </c>
      <c r="C3" s="53">
        <v>30.193266956560322</v>
      </c>
      <c r="E3" s="17"/>
      <c r="F3" s="18">
        <v>10000</v>
      </c>
      <c r="G3" s="19" t="s">
        <v>25</v>
      </c>
      <c r="AH3" s="72">
        <v>5</v>
      </c>
      <c r="AI3" s="72"/>
      <c r="AJ3" s="72"/>
      <c r="AK3" s="72">
        <v>0</v>
      </c>
      <c r="AL3" s="72">
        <v>0</v>
      </c>
      <c r="AM3" s="72">
        <v>45</v>
      </c>
      <c r="AN3" s="72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52">
        <v>206.95826526531295</v>
      </c>
      <c r="C4" s="53">
        <v>14.35121193550963</v>
      </c>
      <c r="E4" s="17"/>
      <c r="F4" s="20">
        <v>9.0000002179294825</v>
      </c>
      <c r="G4" s="54" t="s">
        <v>35</v>
      </c>
      <c r="I4" s="89" t="s">
        <v>34</v>
      </c>
      <c r="J4" s="90"/>
      <c r="K4" s="91" t="s">
        <v>36</v>
      </c>
      <c r="L4" s="92"/>
      <c r="M4" s="86" t="s">
        <v>28</v>
      </c>
      <c r="N4" s="87"/>
      <c r="P4" s="73"/>
      <c r="AH4" s="72">
        <v>10</v>
      </c>
      <c r="AI4" s="72"/>
      <c r="AJ4" s="72"/>
      <c r="AK4" s="72">
        <v>5</v>
      </c>
      <c r="AL4" s="72">
        <v>0</v>
      </c>
      <c r="AM4" s="72">
        <v>45</v>
      </c>
      <c r="AN4" s="72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52">
        <v>171.60642058335389</v>
      </c>
      <c r="C5" s="53">
        <v>27.234847129303514</v>
      </c>
      <c r="E5" s="22"/>
      <c r="F5" s="23"/>
      <c r="G5" s="22"/>
      <c r="I5" s="55" t="s">
        <v>29</v>
      </c>
      <c r="J5" s="56">
        <v>200.10846245408158</v>
      </c>
      <c r="K5" s="57" t="s">
        <v>29</v>
      </c>
      <c r="L5" s="58">
        <v>29.961893846284127</v>
      </c>
      <c r="M5" s="28"/>
      <c r="N5" s="59"/>
      <c r="P5" s="73"/>
      <c r="AH5" s="72">
        <v>15</v>
      </c>
      <c r="AI5" s="72"/>
      <c r="AJ5" s="72"/>
      <c r="AK5" s="72">
        <v>5</v>
      </c>
      <c r="AL5" s="72">
        <v>0</v>
      </c>
      <c r="AM5" s="72">
        <v>323</v>
      </c>
      <c r="AN5" s="72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52">
        <v>190.19682683086648</v>
      </c>
      <c r="C6" s="53">
        <v>27.954710020123549</v>
      </c>
      <c r="I6" s="55" t="s">
        <v>30</v>
      </c>
      <c r="J6" s="60">
        <v>32.508934029901127</v>
      </c>
      <c r="K6" s="57" t="s">
        <v>30</v>
      </c>
      <c r="L6" s="61">
        <v>12.657083916282287</v>
      </c>
      <c r="M6" s="62"/>
      <c r="N6" s="63"/>
      <c r="AH6" s="72">
        <v>20</v>
      </c>
      <c r="AI6" s="72"/>
      <c r="AJ6" s="72"/>
      <c r="AK6" s="72">
        <v>10</v>
      </c>
      <c r="AL6" s="72">
        <v>0</v>
      </c>
      <c r="AM6" s="72">
        <v>323</v>
      </c>
      <c r="AN6" s="72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52">
        <v>168.23204525715818</v>
      </c>
      <c r="C7" s="53">
        <v>17.710134385357684</v>
      </c>
      <c r="F7" s="64"/>
      <c r="I7" s="55" t="s">
        <v>31</v>
      </c>
      <c r="J7" s="56">
        <v>336.55787851562656</v>
      </c>
      <c r="K7" s="57" t="s">
        <v>31</v>
      </c>
      <c r="L7" s="58">
        <v>92.893054172017756</v>
      </c>
      <c r="M7" s="17"/>
      <c r="N7" s="32"/>
      <c r="AH7" s="72">
        <v>25</v>
      </c>
      <c r="AI7" s="72"/>
      <c r="AJ7" s="72"/>
      <c r="AK7" s="72">
        <v>10</v>
      </c>
      <c r="AL7" s="72">
        <v>0</v>
      </c>
      <c r="AM7" s="72">
        <v>759</v>
      </c>
      <c r="AN7" s="72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52">
        <v>201.87246711629984</v>
      </c>
      <c r="C8" s="53">
        <v>33.078135369877913</v>
      </c>
      <c r="F8" s="64"/>
      <c r="I8" s="65" t="s">
        <v>32</v>
      </c>
      <c r="J8" s="66">
        <v>54.49985509064863</v>
      </c>
      <c r="K8" s="67" t="s">
        <v>32</v>
      </c>
      <c r="L8" s="68">
        <v>1.6444529088711115</v>
      </c>
      <c r="M8" s="43"/>
      <c r="N8" s="44"/>
      <c r="AH8" s="72">
        <v>30</v>
      </c>
      <c r="AI8" s="72"/>
      <c r="AJ8" s="72"/>
      <c r="AK8" s="72">
        <v>15</v>
      </c>
      <c r="AL8" s="72">
        <v>0</v>
      </c>
      <c r="AM8" s="72">
        <v>759</v>
      </c>
      <c r="AN8" s="72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52">
        <v>168.50689324302979</v>
      </c>
      <c r="C9" s="53">
        <v>27.571277177743106</v>
      </c>
      <c r="F9" s="64"/>
      <c r="I9" s="22"/>
      <c r="J9" s="45"/>
      <c r="K9" s="22"/>
      <c r="L9" s="22"/>
      <c r="M9" s="22"/>
      <c r="N9" s="22"/>
      <c r="AH9" s="72">
        <v>35</v>
      </c>
      <c r="AI9" s="72"/>
      <c r="AJ9" s="72"/>
      <c r="AK9" s="72">
        <v>15</v>
      </c>
      <c r="AL9" s="72">
        <v>0</v>
      </c>
      <c r="AM9" s="72">
        <v>1188</v>
      </c>
      <c r="AN9" s="72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52">
        <v>230.87592240143877</v>
      </c>
      <c r="C10" s="53">
        <v>45.713472586243036</v>
      </c>
      <c r="F10" s="64"/>
      <c r="I10" s="17"/>
      <c r="J10" s="45"/>
      <c r="K10" s="22"/>
      <c r="L10" s="22"/>
      <c r="M10" s="22"/>
      <c r="N10" s="22"/>
      <c r="P10" s="73"/>
      <c r="AH10" s="72">
        <v>40</v>
      </c>
      <c r="AI10" s="72"/>
      <c r="AJ10" s="72"/>
      <c r="AK10" s="72">
        <v>20</v>
      </c>
      <c r="AL10" s="72">
        <v>0</v>
      </c>
      <c r="AM10" s="72">
        <v>1188</v>
      </c>
      <c r="AN10" s="72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52">
        <v>172.28711607475455</v>
      </c>
      <c r="C11" s="53">
        <v>24.694781938603327</v>
      </c>
      <c r="I11" s="22"/>
      <c r="J11" s="45"/>
      <c r="K11" s="22"/>
      <c r="L11" s="22"/>
      <c r="M11" s="22"/>
      <c r="N11" s="22"/>
      <c r="P11" s="73"/>
      <c r="AH11" s="72">
        <v>45</v>
      </c>
      <c r="AI11" s="72"/>
      <c r="AJ11" s="72"/>
      <c r="AK11" s="72">
        <v>20</v>
      </c>
      <c r="AL11" s="72">
        <v>0</v>
      </c>
      <c r="AM11" s="72">
        <v>1457</v>
      </c>
      <c r="AN11" s="72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52">
        <v>201.5700023416334</v>
      </c>
      <c r="C12" s="53">
        <v>18.148689168113403</v>
      </c>
      <c r="I12" s="22"/>
      <c r="J12" s="22"/>
      <c r="K12" s="22"/>
      <c r="L12" s="22"/>
      <c r="M12" s="22"/>
      <c r="N12" s="22"/>
      <c r="P12" s="73"/>
      <c r="AH12" s="72">
        <v>50</v>
      </c>
      <c r="AI12" s="72"/>
      <c r="AJ12" s="72"/>
      <c r="AK12" s="72">
        <v>25</v>
      </c>
      <c r="AL12" s="72">
        <v>0</v>
      </c>
      <c r="AM12" s="72">
        <v>1457</v>
      </c>
      <c r="AN12" s="72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52">
        <v>169.22934613228767</v>
      </c>
      <c r="C13" s="53">
        <v>32.339670085304583</v>
      </c>
      <c r="I13" s="22"/>
      <c r="J13" s="22"/>
      <c r="K13" s="22"/>
      <c r="L13" s="22"/>
      <c r="M13" s="22"/>
      <c r="N13" s="22"/>
      <c r="AH13" s="72">
        <v>55</v>
      </c>
      <c r="AI13" s="72"/>
      <c r="AJ13" s="72"/>
      <c r="AK13" s="72">
        <v>25</v>
      </c>
      <c r="AL13" s="72">
        <v>0</v>
      </c>
      <c r="AM13" s="72">
        <v>1580</v>
      </c>
      <c r="AN13" s="72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52">
        <v>219.48431512352505</v>
      </c>
      <c r="C14" s="53">
        <v>21.531785608555435</v>
      </c>
      <c r="E14" s="74"/>
      <c r="I14" s="22"/>
      <c r="J14" s="22"/>
      <c r="K14" s="22"/>
      <c r="L14" s="22"/>
      <c r="M14" s="22"/>
      <c r="N14" s="22"/>
      <c r="AH14" s="72">
        <v>60</v>
      </c>
      <c r="AI14" s="72"/>
      <c r="AJ14" s="72"/>
      <c r="AK14" s="72">
        <v>30</v>
      </c>
      <c r="AL14" s="72">
        <v>0</v>
      </c>
      <c r="AM14" s="72">
        <v>1580</v>
      </c>
      <c r="AN14" s="72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52">
        <v>211.9904420369777</v>
      </c>
      <c r="C15" s="53">
        <v>38.008584726745674</v>
      </c>
      <c r="E15" s="74"/>
      <c r="I15" s="22"/>
      <c r="J15" s="22"/>
      <c r="K15" s="22"/>
      <c r="L15" s="22"/>
      <c r="M15" s="22"/>
      <c r="N15" s="22"/>
      <c r="AH15" s="72">
        <v>65</v>
      </c>
      <c r="AI15" s="72"/>
      <c r="AJ15" s="72"/>
      <c r="AK15" s="72">
        <v>30</v>
      </c>
      <c r="AL15" s="72">
        <v>0</v>
      </c>
      <c r="AM15" s="72">
        <v>1412</v>
      </c>
      <c r="AN15" s="72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52">
        <v>162.68903140606943</v>
      </c>
      <c r="C16" s="53">
        <v>48.751644676971289</v>
      </c>
      <c r="E16" s="74"/>
      <c r="I16" s="22"/>
      <c r="J16" s="22"/>
      <c r="K16" s="22"/>
      <c r="L16" s="22"/>
      <c r="M16" s="22"/>
      <c r="N16" s="22"/>
      <c r="AH16" s="72">
        <v>70</v>
      </c>
      <c r="AI16" s="72"/>
      <c r="AJ16" s="72"/>
      <c r="AK16" s="72">
        <v>35</v>
      </c>
      <c r="AL16" s="72">
        <v>0</v>
      </c>
      <c r="AM16" s="72">
        <v>1412</v>
      </c>
      <c r="AN16" s="72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52">
        <v>183.61137085051621</v>
      </c>
      <c r="C17" s="53">
        <v>25.259524365238867</v>
      </c>
      <c r="I17" s="22"/>
      <c r="J17" s="22"/>
      <c r="K17" s="22"/>
      <c r="L17" s="22"/>
      <c r="M17" s="22"/>
      <c r="N17" s="22"/>
      <c r="AH17" s="72">
        <v>75</v>
      </c>
      <c r="AI17" s="72"/>
      <c r="AJ17" s="72"/>
      <c r="AK17" s="72">
        <v>35</v>
      </c>
      <c r="AL17" s="72">
        <v>0</v>
      </c>
      <c r="AM17" s="72">
        <v>1179</v>
      </c>
      <c r="AN17" s="72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52">
        <v>184.55747598097369</v>
      </c>
      <c r="C18" s="53">
        <v>36.69207408713816</v>
      </c>
      <c r="I18" s="22"/>
      <c r="J18" s="22"/>
      <c r="K18" s="22"/>
      <c r="L18" s="22"/>
      <c r="M18" s="22"/>
      <c r="N18" s="22"/>
      <c r="AH18" s="72">
        <v>80</v>
      </c>
      <c r="AI18" s="72"/>
      <c r="AJ18" s="72"/>
      <c r="AK18" s="72">
        <v>40</v>
      </c>
      <c r="AL18" s="72">
        <v>0</v>
      </c>
      <c r="AM18" s="72">
        <v>1179</v>
      </c>
      <c r="AN18" s="72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52">
        <v>195.64779803600001</v>
      </c>
      <c r="C19" s="53">
        <v>39.451285869868876</v>
      </c>
      <c r="F19" s="69">
        <v>1</v>
      </c>
      <c r="I19" s="22"/>
      <c r="J19" s="22"/>
      <c r="K19" s="22"/>
      <c r="L19" s="22"/>
      <c r="M19" s="22"/>
      <c r="N19" s="22"/>
      <c r="AH19" s="72">
        <v>85</v>
      </c>
      <c r="AI19" s="72"/>
      <c r="AJ19" s="72"/>
      <c r="AK19" s="72">
        <v>40</v>
      </c>
      <c r="AL19" s="72">
        <v>0</v>
      </c>
      <c r="AM19" s="72">
        <v>818</v>
      </c>
      <c r="AN19" s="72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52">
        <v>184.55466474836095</v>
      </c>
      <c r="C20" s="53">
        <v>55.442239527038829</v>
      </c>
      <c r="I20" s="22"/>
      <c r="J20" s="22"/>
      <c r="K20" s="22"/>
      <c r="L20" s="22"/>
      <c r="M20" s="22"/>
      <c r="N20" s="22"/>
      <c r="AH20" s="72">
        <v>90</v>
      </c>
      <c r="AI20" s="72"/>
      <c r="AJ20" s="72"/>
      <c r="AK20" s="72">
        <v>45</v>
      </c>
      <c r="AL20" s="72">
        <v>0</v>
      </c>
      <c r="AM20" s="72">
        <v>818</v>
      </c>
      <c r="AN20" s="72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52">
        <v>167.58315851695474</v>
      </c>
      <c r="C21" s="53">
        <v>24.503705584496846</v>
      </c>
      <c r="I21" s="22"/>
      <c r="J21" s="22"/>
      <c r="K21" s="22"/>
      <c r="L21" s="22"/>
      <c r="M21" s="22"/>
      <c r="N21" s="22"/>
      <c r="AH21" s="72">
        <v>95</v>
      </c>
      <c r="AI21" s="72"/>
      <c r="AJ21" s="72"/>
      <c r="AK21" s="72">
        <v>45</v>
      </c>
      <c r="AL21" s="72">
        <v>0</v>
      </c>
      <c r="AM21" s="72">
        <v>554</v>
      </c>
      <c r="AN21" s="72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52">
        <v>185.14434795893146</v>
      </c>
      <c r="C22" s="53">
        <v>47.265565374716509</v>
      </c>
      <c r="I22" s="22"/>
      <c r="J22" s="22"/>
      <c r="K22" s="22"/>
      <c r="L22" s="22"/>
      <c r="M22" s="22"/>
      <c r="N22" s="22"/>
      <c r="AH22" s="72">
        <v>100</v>
      </c>
      <c r="AI22" s="72"/>
      <c r="AJ22" s="72"/>
      <c r="AK22" s="72">
        <v>50</v>
      </c>
      <c r="AL22" s="72">
        <v>0</v>
      </c>
      <c r="AM22" s="72">
        <v>554</v>
      </c>
      <c r="AN22" s="72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52">
        <v>213.30709515128905</v>
      </c>
      <c r="C23" s="53">
        <v>38.065364921934268</v>
      </c>
      <c r="AH23" s="72">
        <v>105</v>
      </c>
      <c r="AI23" s="72"/>
      <c r="AJ23" s="72"/>
      <c r="AK23" s="72">
        <v>50</v>
      </c>
      <c r="AL23" s="72">
        <v>1</v>
      </c>
      <c r="AM23" s="72">
        <v>345</v>
      </c>
      <c r="AN23" s="72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52">
        <v>195.81768993976402</v>
      </c>
      <c r="C24" s="53">
        <v>2.9894067691893871</v>
      </c>
      <c r="I24" s="70"/>
      <c r="AH24" s="72">
        <v>110</v>
      </c>
      <c r="AI24" s="72"/>
      <c r="AJ24" s="72"/>
      <c r="AK24" s="72">
        <v>55</v>
      </c>
      <c r="AL24" s="72">
        <v>1</v>
      </c>
      <c r="AM24" s="72">
        <v>345</v>
      </c>
      <c r="AN24" s="72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52">
        <v>182.56084605822451</v>
      </c>
      <c r="C25" s="53">
        <v>22.349389017828177</v>
      </c>
      <c r="AH25" s="72">
        <v>115</v>
      </c>
      <c r="AI25" s="72"/>
      <c r="AJ25" s="72"/>
      <c r="AK25" s="72">
        <v>55</v>
      </c>
      <c r="AL25" s="72">
        <v>0</v>
      </c>
      <c r="AM25" s="72">
        <v>171</v>
      </c>
      <c r="AN25" s="72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52">
        <v>162.08410779709794</v>
      </c>
      <c r="C26" s="53">
        <v>25.284665898716661</v>
      </c>
      <c r="AH26" s="72">
        <v>120</v>
      </c>
      <c r="AI26" s="72"/>
      <c r="AJ26" s="72"/>
      <c r="AK26" s="72">
        <v>60</v>
      </c>
      <c r="AL26" s="72">
        <v>0</v>
      </c>
      <c r="AM26" s="72">
        <v>171</v>
      </c>
      <c r="AN26" s="72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52">
        <v>198.17885511582045</v>
      </c>
      <c r="C27" s="53">
        <v>16.031079819132735</v>
      </c>
      <c r="AH27" s="72">
        <v>125</v>
      </c>
      <c r="AI27" s="72"/>
      <c r="AJ27" s="72"/>
      <c r="AK27" s="72">
        <v>60</v>
      </c>
      <c r="AL27" s="72">
        <v>0</v>
      </c>
      <c r="AM27" s="72">
        <v>83</v>
      </c>
      <c r="AN27" s="72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52">
        <v>205.82116068950182</v>
      </c>
      <c r="C28" s="53">
        <v>33.202218257525686</v>
      </c>
      <c r="AH28" s="72">
        <v>130</v>
      </c>
      <c r="AI28" s="72"/>
      <c r="AJ28" s="72"/>
      <c r="AK28" s="72">
        <v>65</v>
      </c>
      <c r="AL28" s="72">
        <v>0</v>
      </c>
      <c r="AM28" s="72">
        <v>83</v>
      </c>
      <c r="AN28" s="72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52">
        <v>184.21671903891485</v>
      </c>
      <c r="C29" s="53">
        <v>16.487894865225559</v>
      </c>
      <c r="AH29" s="72">
        <v>135</v>
      </c>
      <c r="AI29" s="72"/>
      <c r="AJ29" s="72"/>
      <c r="AK29" s="72">
        <v>65</v>
      </c>
      <c r="AL29" s="72">
        <v>0</v>
      </c>
      <c r="AM29" s="72">
        <v>54</v>
      </c>
      <c r="AN29" s="72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52">
        <v>193.76082602619056</v>
      </c>
      <c r="C30" s="53">
        <v>28.726068062032553</v>
      </c>
      <c r="AH30" s="72">
        <v>140</v>
      </c>
      <c r="AI30" s="72"/>
      <c r="AJ30" s="72"/>
      <c r="AK30" s="72">
        <v>70</v>
      </c>
      <c r="AL30" s="72">
        <v>0</v>
      </c>
      <c r="AM30" s="72">
        <v>54</v>
      </c>
      <c r="AN30" s="72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52">
        <v>194.40983550704198</v>
      </c>
      <c r="C31" s="53">
        <v>35.393032279523936</v>
      </c>
      <c r="AH31" s="72">
        <v>145</v>
      </c>
      <c r="AI31" s="72"/>
      <c r="AJ31" s="72"/>
      <c r="AK31" s="72">
        <v>70</v>
      </c>
      <c r="AL31" s="72">
        <v>0</v>
      </c>
      <c r="AM31" s="72">
        <v>10</v>
      </c>
      <c r="AN31" s="72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52">
        <v>157.90281638097969</v>
      </c>
      <c r="C32" s="53">
        <v>47.633449848771747</v>
      </c>
      <c r="AH32" s="72">
        <v>150</v>
      </c>
      <c r="AI32" s="72"/>
      <c r="AJ32" s="72"/>
      <c r="AK32" s="72">
        <v>75</v>
      </c>
      <c r="AL32" s="72">
        <v>0</v>
      </c>
      <c r="AM32" s="72">
        <v>10</v>
      </c>
      <c r="AN32" s="72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52">
        <v>202.43364625341312</v>
      </c>
      <c r="C33" s="53">
        <v>40.729104581105631</v>
      </c>
      <c r="AH33" s="72">
        <v>155</v>
      </c>
      <c r="AI33" s="72"/>
      <c r="AJ33" s="72"/>
      <c r="AK33" s="72">
        <v>75</v>
      </c>
      <c r="AL33" s="72">
        <v>1</v>
      </c>
      <c r="AM33" s="72">
        <v>11</v>
      </c>
      <c r="AN33" s="72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52">
        <v>226.48153886497647</v>
      </c>
      <c r="C34" s="53">
        <v>21.070091543182855</v>
      </c>
      <c r="AH34" s="72">
        <v>160</v>
      </c>
      <c r="AI34" s="72"/>
      <c r="AJ34" s="72"/>
      <c r="AK34" s="72">
        <v>80</v>
      </c>
      <c r="AL34" s="72">
        <v>1</v>
      </c>
      <c r="AM34" s="72">
        <v>11</v>
      </c>
      <c r="AN34" s="72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52">
        <v>203.57376227268026</v>
      </c>
      <c r="C35" s="53">
        <v>23.152707238382281</v>
      </c>
      <c r="AH35" s="72">
        <v>165</v>
      </c>
      <c r="AI35" s="72"/>
      <c r="AJ35" s="72"/>
      <c r="AK35" s="72">
        <v>80</v>
      </c>
      <c r="AL35" s="72">
        <v>2</v>
      </c>
      <c r="AM35" s="72">
        <v>5</v>
      </c>
      <c r="AN35" s="72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52">
        <v>162.40580051521377</v>
      </c>
      <c r="C36" s="53">
        <v>40.430396964917463</v>
      </c>
      <c r="AH36" s="72">
        <v>170</v>
      </c>
      <c r="AI36" s="72"/>
      <c r="AJ36" s="72"/>
      <c r="AK36" s="72">
        <v>85</v>
      </c>
      <c r="AL36" s="72">
        <v>2</v>
      </c>
      <c r="AM36" s="72">
        <v>5</v>
      </c>
      <c r="AN36" s="72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52">
        <v>217.6877076178836</v>
      </c>
      <c r="C37" s="53">
        <v>47.86884265137131</v>
      </c>
      <c r="AH37" s="72">
        <v>175</v>
      </c>
      <c r="AI37" s="72"/>
      <c r="AJ37" s="72"/>
      <c r="AK37" s="72">
        <v>85</v>
      </c>
      <c r="AL37" s="72">
        <v>0</v>
      </c>
      <c r="AM37" s="72">
        <v>5</v>
      </c>
      <c r="AN37" s="72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52">
        <v>150.86529975573208</v>
      </c>
      <c r="C38" s="53">
        <v>22.541073334237726</v>
      </c>
      <c r="AH38" s="72">
        <v>180</v>
      </c>
      <c r="AI38" s="72"/>
      <c r="AJ38" s="72"/>
      <c r="AK38" s="72">
        <v>90</v>
      </c>
      <c r="AL38" s="72">
        <v>0</v>
      </c>
      <c r="AM38" s="72">
        <v>5</v>
      </c>
      <c r="AN38" s="72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52">
        <v>213.32697674840799</v>
      </c>
      <c r="C39" s="53">
        <v>14.987620101240504</v>
      </c>
      <c r="AH39" s="72">
        <v>185</v>
      </c>
      <c r="AI39" s="72"/>
      <c r="AJ39" s="72"/>
      <c r="AK39" s="72">
        <v>90</v>
      </c>
      <c r="AL39" s="72">
        <v>4</v>
      </c>
      <c r="AM39" s="72">
        <v>1</v>
      </c>
      <c r="AN39" s="72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52">
        <v>168.17630340385037</v>
      </c>
      <c r="C40" s="53">
        <v>14.566494812951225</v>
      </c>
      <c r="AH40" s="72">
        <v>190</v>
      </c>
      <c r="AI40" s="72"/>
      <c r="AJ40" s="72"/>
      <c r="AK40" s="72">
        <v>95</v>
      </c>
      <c r="AL40" s="72">
        <v>4</v>
      </c>
      <c r="AM40" s="72">
        <v>1</v>
      </c>
      <c r="AN40" s="72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52">
        <v>209.32576667894443</v>
      </c>
      <c r="C41" s="53">
        <v>26.909314965035943</v>
      </c>
      <c r="AH41" s="72">
        <v>195</v>
      </c>
      <c r="AI41" s="72"/>
      <c r="AJ41" s="72"/>
      <c r="AK41" s="72">
        <v>95</v>
      </c>
      <c r="AL41" s="72">
        <v>2</v>
      </c>
      <c r="AM41" s="72">
        <v>0</v>
      </c>
      <c r="AN41" s="72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52">
        <v>248.67514397577639</v>
      </c>
      <c r="C42" s="53">
        <v>23.044043399997069</v>
      </c>
      <c r="AH42" s="72">
        <v>200</v>
      </c>
      <c r="AI42" s="72"/>
      <c r="AJ42" s="72"/>
      <c r="AK42" s="72">
        <v>100</v>
      </c>
      <c r="AL42" s="72">
        <v>2</v>
      </c>
      <c r="AM42" s="72"/>
      <c r="AN42" s="72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52">
        <v>168.4243167500062</v>
      </c>
      <c r="C43" s="53">
        <v>31.3723762003868</v>
      </c>
      <c r="AH43" s="72">
        <v>205</v>
      </c>
      <c r="AI43" s="72"/>
      <c r="AJ43" s="72"/>
      <c r="AK43" s="72">
        <v>100</v>
      </c>
      <c r="AL43" s="72">
        <v>11</v>
      </c>
      <c r="AM43" s="72"/>
      <c r="AN43" s="72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52">
        <v>192.18615250970012</v>
      </c>
      <c r="C44" s="53">
        <v>67.588846883610387</v>
      </c>
      <c r="AH44" s="72">
        <v>210</v>
      </c>
      <c r="AI44" s="72"/>
      <c r="AJ44" s="72"/>
      <c r="AK44" s="72">
        <v>105</v>
      </c>
      <c r="AL44" s="72">
        <v>11</v>
      </c>
      <c r="AM44" s="72"/>
      <c r="AN44" s="72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52">
        <v>232.61267380070873</v>
      </c>
      <c r="C45" s="53">
        <v>15.311886004162725</v>
      </c>
      <c r="AH45" s="72">
        <v>215</v>
      </c>
      <c r="AI45" s="72"/>
      <c r="AJ45" s="72"/>
      <c r="AK45" s="72">
        <v>105</v>
      </c>
      <c r="AL45" s="72">
        <v>9</v>
      </c>
      <c r="AM45" s="72"/>
      <c r="AN45" s="72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52">
        <v>275.70220702943311</v>
      </c>
      <c r="C46" s="53">
        <v>19.272276502066983</v>
      </c>
      <c r="I46" s="70"/>
      <c r="AH46" s="72">
        <v>220</v>
      </c>
      <c r="AI46" s="72"/>
      <c r="AJ46" s="72"/>
      <c r="AK46" s="72">
        <v>110</v>
      </c>
      <c r="AL46" s="72">
        <v>9</v>
      </c>
      <c r="AM46" s="72"/>
      <c r="AN46" s="72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52">
        <v>196.4846326267365</v>
      </c>
      <c r="C47" s="53">
        <v>34.074255770258318</v>
      </c>
      <c r="AH47" s="72">
        <v>225</v>
      </c>
      <c r="AI47" s="72"/>
      <c r="AJ47" s="72"/>
      <c r="AK47" s="72">
        <v>110</v>
      </c>
      <c r="AL47" s="72">
        <v>12</v>
      </c>
      <c r="AM47" s="72"/>
      <c r="AN47" s="72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52">
        <v>195.71527114571413</v>
      </c>
      <c r="C48" s="53">
        <v>42.52195370659917</v>
      </c>
      <c r="AH48" s="72">
        <v>230</v>
      </c>
      <c r="AI48" s="72"/>
      <c r="AJ48" s="72"/>
      <c r="AK48" s="72">
        <v>115</v>
      </c>
      <c r="AL48" s="72">
        <v>12</v>
      </c>
      <c r="AM48" s="72"/>
      <c r="AN48" s="72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52">
        <v>237.62947461718625</v>
      </c>
      <c r="C49" s="53">
        <v>21.506648999619852</v>
      </c>
      <c r="AH49" s="72">
        <v>235</v>
      </c>
      <c r="AI49" s="72"/>
      <c r="AJ49" s="72"/>
      <c r="AK49" s="72">
        <v>115</v>
      </c>
      <c r="AL49" s="72">
        <v>26</v>
      </c>
      <c r="AM49" s="72"/>
      <c r="AN49" s="72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52">
        <v>179.85851979124786</v>
      </c>
      <c r="C50" s="53">
        <v>36.705359796294296</v>
      </c>
      <c r="AH50" s="72">
        <v>240</v>
      </c>
      <c r="AI50" s="72"/>
      <c r="AJ50" s="72"/>
      <c r="AK50" s="72">
        <v>120</v>
      </c>
      <c r="AL50" s="72">
        <v>26</v>
      </c>
      <c r="AM50" s="72"/>
      <c r="AN50" s="72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52">
        <v>201.74267839304648</v>
      </c>
      <c r="C51" s="53">
        <v>47.053459740871773</v>
      </c>
      <c r="AH51" s="72">
        <v>245</v>
      </c>
      <c r="AI51" s="72"/>
      <c r="AJ51" s="72"/>
      <c r="AK51" s="72">
        <v>120</v>
      </c>
      <c r="AL51" s="72">
        <v>34</v>
      </c>
      <c r="AM51" s="72"/>
      <c r="AN51" s="72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52">
        <v>256.9782090032333</v>
      </c>
      <c r="C52" s="53">
        <v>42.162377581568066</v>
      </c>
      <c r="AH52" s="72">
        <v>250</v>
      </c>
      <c r="AI52" s="72"/>
      <c r="AJ52" s="72"/>
      <c r="AK52" s="72">
        <v>125</v>
      </c>
      <c r="AL52" s="72">
        <v>34</v>
      </c>
      <c r="AM52" s="72"/>
      <c r="AN52" s="72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52">
        <v>144.08955775578818</v>
      </c>
      <c r="C53" s="53">
        <v>16.709314166838379</v>
      </c>
      <c r="AH53" s="72">
        <v>255</v>
      </c>
      <c r="AI53" s="72"/>
      <c r="AJ53" s="72"/>
      <c r="AK53" s="72">
        <v>125</v>
      </c>
      <c r="AL53" s="72">
        <v>46</v>
      </c>
      <c r="AM53" s="72"/>
      <c r="AN53" s="72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52">
        <v>196.86955286557534</v>
      </c>
      <c r="C54" s="53">
        <v>17.660704271385629</v>
      </c>
      <c r="AH54" s="72">
        <v>260</v>
      </c>
      <c r="AI54" s="72"/>
      <c r="AJ54" s="72"/>
      <c r="AK54" s="72">
        <v>130</v>
      </c>
      <c r="AL54" s="72">
        <v>46</v>
      </c>
      <c r="AM54" s="72"/>
      <c r="AN54" s="72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52">
        <v>216.42699276337351</v>
      </c>
      <c r="C55" s="53">
        <v>27.892012901403699</v>
      </c>
      <c r="AH55" s="72">
        <v>265</v>
      </c>
      <c r="AI55" s="72"/>
      <c r="AJ55" s="72"/>
      <c r="AK55" s="72">
        <v>130</v>
      </c>
      <c r="AL55" s="72">
        <v>78</v>
      </c>
      <c r="AM55" s="72"/>
      <c r="AN55" s="72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52">
        <v>239.08223746223186</v>
      </c>
      <c r="C56" s="53">
        <v>32.012142838775247</v>
      </c>
      <c r="AH56" s="72">
        <v>270</v>
      </c>
      <c r="AI56" s="72"/>
      <c r="AJ56" s="72"/>
      <c r="AK56" s="72">
        <v>135</v>
      </c>
      <c r="AL56" s="72">
        <v>78</v>
      </c>
      <c r="AM56" s="72"/>
      <c r="AN56" s="72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52">
        <v>199.83744885776329</v>
      </c>
      <c r="C57" s="53">
        <v>29.818424383819078</v>
      </c>
      <c r="AH57" s="72">
        <v>275</v>
      </c>
      <c r="AI57" s="72"/>
      <c r="AJ57" s="72"/>
      <c r="AK57" s="72">
        <v>135</v>
      </c>
      <c r="AL57" s="72">
        <v>96</v>
      </c>
      <c r="AM57" s="72"/>
      <c r="AN57" s="72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52">
        <v>248.88018141791358</v>
      </c>
      <c r="C58" s="53">
        <v>59.420468564412928</v>
      </c>
      <c r="AH58" s="72">
        <v>280</v>
      </c>
      <c r="AI58" s="72"/>
      <c r="AJ58" s="72"/>
      <c r="AK58" s="72">
        <v>140</v>
      </c>
      <c r="AL58" s="72">
        <v>96</v>
      </c>
      <c r="AM58" s="72"/>
      <c r="AN58" s="72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52">
        <v>248.02485662830196</v>
      </c>
      <c r="C59" s="53">
        <v>35.282057169555529</v>
      </c>
      <c r="AH59" s="72">
        <v>285</v>
      </c>
      <c r="AI59" s="72"/>
      <c r="AJ59" s="72"/>
      <c r="AK59" s="72">
        <v>140</v>
      </c>
      <c r="AL59" s="72">
        <v>118</v>
      </c>
      <c r="AM59" s="72"/>
      <c r="AN59" s="72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52">
        <v>294.17812404561653</v>
      </c>
      <c r="C60" s="53">
        <v>45.55246468949364</v>
      </c>
      <c r="AH60" s="72">
        <v>290</v>
      </c>
      <c r="AI60" s="72"/>
      <c r="AJ60" s="72"/>
      <c r="AK60" s="72">
        <v>145</v>
      </c>
      <c r="AL60" s="72">
        <v>118</v>
      </c>
      <c r="AM60" s="72"/>
      <c r="AN60" s="72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52">
        <v>230.24014543817901</v>
      </c>
      <c r="C61" s="53">
        <v>23.028170115302562</v>
      </c>
      <c r="AH61" s="72">
        <v>295</v>
      </c>
      <c r="AI61" s="72"/>
      <c r="AJ61" s="72"/>
      <c r="AK61" s="72">
        <v>145</v>
      </c>
      <c r="AL61" s="72">
        <v>176</v>
      </c>
      <c r="AM61" s="72"/>
      <c r="AN61" s="72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52">
        <v>214.29130639406284</v>
      </c>
      <c r="C62" s="53">
        <v>20.15747092328769</v>
      </c>
      <c r="AH62" s="72">
        <v>300</v>
      </c>
      <c r="AI62" s="72"/>
      <c r="AJ62" s="72"/>
      <c r="AK62" s="72">
        <v>150</v>
      </c>
      <c r="AL62" s="72">
        <v>176</v>
      </c>
      <c r="AM62" s="72"/>
      <c r="AN62" s="72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52">
        <v>225.15275580011925</v>
      </c>
      <c r="C63" s="53">
        <v>18.256465997843733</v>
      </c>
      <c r="AH63" s="72">
        <v>305</v>
      </c>
      <c r="AI63" s="72"/>
      <c r="AJ63" s="72"/>
      <c r="AK63" s="72">
        <v>150</v>
      </c>
      <c r="AL63" s="72">
        <v>260</v>
      </c>
      <c r="AM63" s="72"/>
      <c r="AN63" s="72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52">
        <v>130.79458800215644</v>
      </c>
      <c r="C64" s="53">
        <v>26.58482601995027</v>
      </c>
      <c r="AH64" s="72">
        <v>310</v>
      </c>
      <c r="AI64" s="72"/>
      <c r="AJ64" s="72"/>
      <c r="AK64" s="72">
        <v>155</v>
      </c>
      <c r="AL64" s="72">
        <v>260</v>
      </c>
      <c r="AM64" s="72"/>
      <c r="AN64" s="72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52">
        <v>179.73425455726351</v>
      </c>
      <c r="C65" s="53">
        <v>54.334262936315021</v>
      </c>
      <c r="AH65" s="72">
        <v>315</v>
      </c>
      <c r="AI65" s="72"/>
      <c r="AJ65" s="72"/>
      <c r="AK65" s="72">
        <v>155</v>
      </c>
      <c r="AL65" s="72">
        <v>240</v>
      </c>
      <c r="AM65" s="72"/>
      <c r="AN65" s="72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52">
        <v>225.68963043274439</v>
      </c>
      <c r="C66" s="53">
        <v>20.858571376886896</v>
      </c>
      <c r="AH66" s="72">
        <v>320</v>
      </c>
      <c r="AI66" s="72"/>
      <c r="AJ66" s="72"/>
      <c r="AK66" s="72">
        <v>160</v>
      </c>
      <c r="AL66" s="72">
        <v>240</v>
      </c>
      <c r="AM66" s="72"/>
      <c r="AN66" s="72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52">
        <v>238.96974803359103</v>
      </c>
      <c r="C67" s="53">
        <v>49.832661738054611</v>
      </c>
      <c r="AH67" s="72">
        <v>325</v>
      </c>
      <c r="AI67" s="72"/>
      <c r="AJ67" s="72"/>
      <c r="AK67" s="72">
        <v>160</v>
      </c>
      <c r="AL67" s="72">
        <v>311</v>
      </c>
      <c r="AM67" s="72"/>
      <c r="AN67" s="72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52">
        <v>159.38735864657815</v>
      </c>
      <c r="C68" s="53">
        <v>30.545989172366362</v>
      </c>
      <c r="AH68" s="7">
        <v>330</v>
      </c>
      <c r="AK68" s="7">
        <v>165</v>
      </c>
      <c r="AL68" s="7">
        <v>311</v>
      </c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52">
        <v>204.88456704059308</v>
      </c>
      <c r="C69" s="53">
        <v>27.329215594323472</v>
      </c>
      <c r="AH69" s="7">
        <v>335</v>
      </c>
      <c r="AK69" s="7">
        <v>165</v>
      </c>
      <c r="AL69" s="7">
        <v>361</v>
      </c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52">
        <v>213.06979293026041</v>
      </c>
      <c r="C70" s="53">
        <v>61.936693637137353</v>
      </c>
      <c r="AH70" s="7">
        <v>340</v>
      </c>
      <c r="AK70" s="7">
        <v>170</v>
      </c>
      <c r="AL70" s="7">
        <v>361</v>
      </c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52">
        <v>191.68120018237144</v>
      </c>
      <c r="C71" s="53">
        <v>31.350932420335031</v>
      </c>
      <c r="AK71" s="7">
        <v>170</v>
      </c>
      <c r="AL71" s="7">
        <v>443</v>
      </c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52">
        <v>178.36702793095964</v>
      </c>
      <c r="C72" s="53">
        <v>30.39191389388289</v>
      </c>
      <c r="AK72" s="7">
        <v>175</v>
      </c>
      <c r="AL72" s="7">
        <v>443</v>
      </c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52">
        <v>200.48528510379612</v>
      </c>
      <c r="C73" s="53">
        <v>39.666813634672927</v>
      </c>
      <c r="AK73" s="7">
        <v>175</v>
      </c>
      <c r="AL73" s="7">
        <v>428</v>
      </c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52">
        <v>173.57553907945862</v>
      </c>
      <c r="C74" s="53">
        <v>35.629398805859132</v>
      </c>
      <c r="AK74" s="7">
        <v>180</v>
      </c>
      <c r="AL74" s="7">
        <v>428</v>
      </c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52">
        <v>154.12799989749624</v>
      </c>
      <c r="C75" s="53">
        <v>25.297590381590624</v>
      </c>
      <c r="AK75" s="7">
        <v>180</v>
      </c>
      <c r="AL75" s="7">
        <v>522</v>
      </c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52">
        <v>151.28162487514544</v>
      </c>
      <c r="C76" s="53">
        <v>45.760659240860299</v>
      </c>
      <c r="AK76" s="7">
        <v>185</v>
      </c>
      <c r="AL76" s="7">
        <v>522</v>
      </c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52">
        <v>192.11599507797655</v>
      </c>
      <c r="C77" s="53">
        <v>3.0970245409033388</v>
      </c>
      <c r="AK77" s="7">
        <v>185</v>
      </c>
      <c r="AL77" s="7">
        <v>572</v>
      </c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52">
        <v>228.63755827988169</v>
      </c>
      <c r="C78" s="53">
        <v>25.790404672796896</v>
      </c>
      <c r="AK78" s="7">
        <v>190</v>
      </c>
      <c r="AL78" s="7">
        <v>572</v>
      </c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52">
        <v>248.30671418521865</v>
      </c>
      <c r="C79" s="53">
        <v>20.358024263483841</v>
      </c>
      <c r="AK79" s="7">
        <v>190</v>
      </c>
      <c r="AL79" s="7">
        <v>584</v>
      </c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52">
        <v>202.07081571390214</v>
      </c>
      <c r="C80" s="53">
        <v>35.390093870304881</v>
      </c>
      <c r="AK80" s="7">
        <v>195</v>
      </c>
      <c r="AL80" s="7">
        <v>584</v>
      </c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52">
        <v>203.40050610420411</v>
      </c>
      <c r="C81" s="53">
        <v>25.662878068656507</v>
      </c>
      <c r="AK81" s="7">
        <v>195</v>
      </c>
      <c r="AL81" s="7">
        <v>641</v>
      </c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52">
        <v>207.51204493101045</v>
      </c>
      <c r="C82" s="53">
        <v>29.460305305166127</v>
      </c>
      <c r="AK82" s="7">
        <v>200</v>
      </c>
      <c r="AL82" s="7">
        <v>641</v>
      </c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52">
        <v>205.1977426840366</v>
      </c>
      <c r="C83" s="53">
        <v>41.836150377628002</v>
      </c>
      <c r="AK83" s="7">
        <v>200</v>
      </c>
      <c r="AL83" s="7">
        <v>579</v>
      </c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52">
        <v>217.78503094836034</v>
      </c>
      <c r="C84" s="53">
        <v>43.226643496842556</v>
      </c>
      <c r="AK84" s="7">
        <v>205</v>
      </c>
      <c r="AL84" s="7">
        <v>579</v>
      </c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52">
        <v>184.52986926843741</v>
      </c>
      <c r="C85" s="53">
        <v>24.531736958205773</v>
      </c>
      <c r="AK85" s="7">
        <v>205</v>
      </c>
      <c r="AL85" s="7">
        <v>585</v>
      </c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52">
        <v>130.31966940141427</v>
      </c>
      <c r="C86" s="53">
        <v>19.69049696346335</v>
      </c>
      <c r="AK86" s="7">
        <v>210</v>
      </c>
      <c r="AL86" s="7">
        <v>585</v>
      </c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52">
        <v>202.08788577666959</v>
      </c>
      <c r="C87" s="53">
        <v>27.188189596411895</v>
      </c>
      <c r="AK87" s="7">
        <v>210</v>
      </c>
      <c r="AL87" s="7">
        <v>575</v>
      </c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52">
        <v>211.85564715159254</v>
      </c>
      <c r="C88" s="53">
        <v>37.768345940415735</v>
      </c>
      <c r="AK88" s="7">
        <v>215</v>
      </c>
      <c r="AL88" s="7">
        <v>575</v>
      </c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52">
        <v>167.03244959296919</v>
      </c>
      <c r="C89" s="53">
        <v>1.7667528801130732</v>
      </c>
      <c r="AK89" s="7">
        <v>215</v>
      </c>
      <c r="AL89" s="7">
        <v>549</v>
      </c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52">
        <v>143.14783373657372</v>
      </c>
      <c r="C90" s="53">
        <v>42.040937809590766</v>
      </c>
      <c r="AK90" s="7">
        <v>220</v>
      </c>
      <c r="AL90" s="7">
        <v>549</v>
      </c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52">
        <v>221.5576659522425</v>
      </c>
      <c r="C91" s="53">
        <v>6.261714258086613</v>
      </c>
      <c r="AK91" s="7">
        <v>220</v>
      </c>
      <c r="AL91" s="7">
        <v>524</v>
      </c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52">
        <v>211.46943793011468</v>
      </c>
      <c r="C92" s="53">
        <v>33.833629535719574</v>
      </c>
      <c r="AK92" s="7">
        <v>225</v>
      </c>
      <c r="AL92" s="7">
        <v>524</v>
      </c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52">
        <v>246.87995669640858</v>
      </c>
      <c r="C93" s="53">
        <v>34.359022940871448</v>
      </c>
      <c r="AK93" s="7">
        <v>225</v>
      </c>
      <c r="AL93" s="7">
        <v>439</v>
      </c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52">
        <v>162.19841110333888</v>
      </c>
      <c r="C94" s="53">
        <v>38.26164434082898</v>
      </c>
      <c r="AK94" s="7">
        <v>230</v>
      </c>
      <c r="AL94" s="7">
        <v>439</v>
      </c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52">
        <v>171.90936607893164</v>
      </c>
      <c r="C95" s="53">
        <v>45.440800714485015</v>
      </c>
      <c r="AK95" s="7">
        <v>230</v>
      </c>
      <c r="AL95" s="7">
        <v>381</v>
      </c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52">
        <v>170.52081952148154</v>
      </c>
      <c r="C96" s="53">
        <v>27.082756784401465</v>
      </c>
      <c r="AK96" s="7">
        <v>235</v>
      </c>
      <c r="AL96" s="7">
        <v>381</v>
      </c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52">
        <v>167.82814538496532</v>
      </c>
      <c r="C97" s="53">
        <v>11.112896106848098</v>
      </c>
      <c r="AK97" s="7">
        <v>235</v>
      </c>
      <c r="AL97" s="7">
        <v>326</v>
      </c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52">
        <v>187.68727864315053</v>
      </c>
      <c r="C98" s="53">
        <v>47.399428793029088</v>
      </c>
      <c r="AK98" s="7">
        <v>240</v>
      </c>
      <c r="AL98" s="7">
        <v>326</v>
      </c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52">
        <v>251.64924238304374</v>
      </c>
      <c r="C99" s="53">
        <v>13.933031660537662</v>
      </c>
      <c r="AK99" s="7">
        <v>240</v>
      </c>
      <c r="AL99" s="7">
        <v>255</v>
      </c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52">
        <v>202.21955161487099</v>
      </c>
      <c r="C100" s="53">
        <v>28.701542949177288</v>
      </c>
      <c r="AK100" s="7">
        <v>245</v>
      </c>
      <c r="AL100" s="7">
        <v>255</v>
      </c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52">
        <v>257.70689626602172</v>
      </c>
      <c r="C101" s="53">
        <v>14.67701736890818</v>
      </c>
      <c r="AK101" s="7">
        <v>245</v>
      </c>
      <c r="AL101" s="7">
        <v>197</v>
      </c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52">
        <v>215.16141141731995</v>
      </c>
      <c r="C102" s="53">
        <v>21.715807273755455</v>
      </c>
      <c r="AK102" s="7">
        <v>250</v>
      </c>
      <c r="AL102" s="7">
        <v>197</v>
      </c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  <c r="AK103" s="7">
        <v>250</v>
      </c>
      <c r="AL103" s="7">
        <v>165</v>
      </c>
    </row>
    <row r="104" spans="1:66" x14ac:dyDescent="0.3">
      <c r="AK104" s="7">
        <v>255</v>
      </c>
      <c r="AL104" s="7">
        <v>165</v>
      </c>
    </row>
    <row r="105" spans="1:66" x14ac:dyDescent="0.3">
      <c r="AK105" s="7">
        <v>255</v>
      </c>
      <c r="AL105" s="7">
        <v>118</v>
      </c>
    </row>
    <row r="106" spans="1:66" x14ac:dyDescent="0.3">
      <c r="AK106" s="7">
        <v>260</v>
      </c>
      <c r="AL106" s="7">
        <v>118</v>
      </c>
    </row>
    <row r="107" spans="1:66" x14ac:dyDescent="0.3">
      <c r="AK107" s="7">
        <v>260</v>
      </c>
      <c r="AL107" s="7">
        <v>95</v>
      </c>
    </row>
    <row r="108" spans="1:66" x14ac:dyDescent="0.3">
      <c r="AK108" s="7">
        <v>265</v>
      </c>
      <c r="AL108" s="7">
        <v>95</v>
      </c>
    </row>
    <row r="109" spans="1:66" x14ac:dyDescent="0.3">
      <c r="AK109" s="7">
        <v>265</v>
      </c>
      <c r="AL109" s="7">
        <v>81</v>
      </c>
    </row>
    <row r="110" spans="1:66" x14ac:dyDescent="0.3">
      <c r="AK110" s="7">
        <v>270</v>
      </c>
      <c r="AL110" s="7">
        <v>81</v>
      </c>
    </row>
    <row r="111" spans="1:66" x14ac:dyDescent="0.3">
      <c r="AK111" s="7">
        <v>270</v>
      </c>
      <c r="AL111" s="7">
        <v>46</v>
      </c>
    </row>
    <row r="112" spans="1:66" x14ac:dyDescent="0.3">
      <c r="AK112" s="7">
        <v>275</v>
      </c>
      <c r="AL112" s="7">
        <v>46</v>
      </c>
    </row>
    <row r="113" spans="37:38" x14ac:dyDescent="0.3">
      <c r="AK113" s="7">
        <v>275</v>
      </c>
      <c r="AL113" s="7">
        <v>39</v>
      </c>
    </row>
    <row r="114" spans="37:38" x14ac:dyDescent="0.3">
      <c r="AK114" s="7">
        <v>280</v>
      </c>
      <c r="AL114" s="7">
        <v>39</v>
      </c>
    </row>
    <row r="115" spans="37:38" x14ac:dyDescent="0.3">
      <c r="AK115" s="7">
        <v>280</v>
      </c>
      <c r="AL115" s="7">
        <v>27</v>
      </c>
    </row>
    <row r="116" spans="37:38" x14ac:dyDescent="0.3">
      <c r="AK116" s="7">
        <v>285</v>
      </c>
      <c r="AL116" s="7">
        <v>27</v>
      </c>
    </row>
    <row r="117" spans="37:38" x14ac:dyDescent="0.3">
      <c r="AK117" s="7">
        <v>285</v>
      </c>
      <c r="AL117" s="7">
        <v>14</v>
      </c>
    </row>
    <row r="118" spans="37:38" x14ac:dyDescent="0.3">
      <c r="AK118" s="7">
        <v>290</v>
      </c>
      <c r="AL118" s="7">
        <v>14</v>
      </c>
    </row>
    <row r="119" spans="37:38" x14ac:dyDescent="0.3">
      <c r="AK119" s="7">
        <v>290</v>
      </c>
      <c r="AL119" s="7">
        <v>11</v>
      </c>
    </row>
    <row r="120" spans="37:38" x14ac:dyDescent="0.3">
      <c r="AK120" s="7">
        <v>295</v>
      </c>
      <c r="AL120" s="7">
        <v>11</v>
      </c>
    </row>
    <row r="121" spans="37:38" x14ac:dyDescent="0.3">
      <c r="AK121" s="7">
        <v>295</v>
      </c>
      <c r="AL121" s="7">
        <v>6</v>
      </c>
    </row>
    <row r="122" spans="37:38" x14ac:dyDescent="0.3">
      <c r="AK122" s="7">
        <v>300</v>
      </c>
      <c r="AL122" s="7">
        <v>6</v>
      </c>
    </row>
    <row r="123" spans="37:38" x14ac:dyDescent="0.3">
      <c r="AK123" s="7">
        <v>300</v>
      </c>
      <c r="AL123" s="7">
        <v>4</v>
      </c>
    </row>
    <row r="124" spans="37:38" x14ac:dyDescent="0.3">
      <c r="AK124" s="7">
        <v>305</v>
      </c>
      <c r="AL124" s="7">
        <v>4</v>
      </c>
    </row>
    <row r="125" spans="37:38" x14ac:dyDescent="0.3">
      <c r="AK125" s="7">
        <v>305</v>
      </c>
      <c r="AL125" s="7">
        <v>3</v>
      </c>
    </row>
    <row r="126" spans="37:38" x14ac:dyDescent="0.3">
      <c r="AK126" s="7">
        <v>310</v>
      </c>
      <c r="AL126" s="7">
        <v>3</v>
      </c>
    </row>
    <row r="127" spans="37:38" x14ac:dyDescent="0.3">
      <c r="AK127" s="7">
        <v>310</v>
      </c>
      <c r="AL127" s="7">
        <v>0</v>
      </c>
    </row>
    <row r="128" spans="37:38" x14ac:dyDescent="0.3">
      <c r="AK128" s="7">
        <v>315</v>
      </c>
      <c r="AL128" s="7">
        <v>0</v>
      </c>
    </row>
    <row r="129" spans="37:38" x14ac:dyDescent="0.3">
      <c r="AK129" s="7">
        <v>315</v>
      </c>
      <c r="AL129" s="7">
        <v>1</v>
      </c>
    </row>
    <row r="130" spans="37:38" x14ac:dyDescent="0.3">
      <c r="AK130" s="7">
        <v>320</v>
      </c>
      <c r="AL130" s="7">
        <v>1</v>
      </c>
    </row>
    <row r="131" spans="37:38" x14ac:dyDescent="0.3">
      <c r="AK131" s="7">
        <v>320</v>
      </c>
      <c r="AL131" s="7">
        <v>1</v>
      </c>
    </row>
    <row r="132" spans="37:38" x14ac:dyDescent="0.3">
      <c r="AK132" s="7">
        <v>325</v>
      </c>
      <c r="AL132" s="7">
        <v>1</v>
      </c>
    </row>
    <row r="133" spans="37:38" x14ac:dyDescent="0.3">
      <c r="AK133" s="7">
        <v>325</v>
      </c>
      <c r="AL133" s="7">
        <v>0</v>
      </c>
    </row>
    <row r="134" spans="37:38" x14ac:dyDescent="0.3">
      <c r="AK134" s="7">
        <v>330</v>
      </c>
      <c r="AL134" s="7">
        <v>0</v>
      </c>
    </row>
    <row r="135" spans="37:38" x14ac:dyDescent="0.3">
      <c r="AK135" s="7">
        <v>330</v>
      </c>
      <c r="AL135" s="7">
        <v>0</v>
      </c>
    </row>
    <row r="136" spans="37:38" x14ac:dyDescent="0.3">
      <c r="AK136" s="7">
        <v>335</v>
      </c>
      <c r="AL136" s="7">
        <v>0</v>
      </c>
    </row>
    <row r="137" spans="37:38" x14ac:dyDescent="0.3">
      <c r="AK137" s="7">
        <v>335</v>
      </c>
      <c r="AL137" s="7">
        <v>1</v>
      </c>
    </row>
    <row r="138" spans="37:38" x14ac:dyDescent="0.3">
      <c r="AK138" s="7">
        <v>340</v>
      </c>
      <c r="AL138" s="7">
        <v>1</v>
      </c>
    </row>
    <row r="139" spans="37:38" x14ac:dyDescent="0.3">
      <c r="AK139" s="7">
        <v>340</v>
      </c>
      <c r="AL139" s="7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D7E8F-1C4D-499B-B2FD-F8D9D2333A3C}">
  <sheetPr codeName="Sheet7"/>
  <dimension ref="A1:BN127"/>
  <sheetViews>
    <sheetView showGridLines="0" workbookViewId="0">
      <selection activeCell="F14" sqref="F14"/>
    </sheetView>
  </sheetViews>
  <sheetFormatPr defaultRowHeight="15.6" x14ac:dyDescent="0.3"/>
  <cols>
    <col min="1" max="1" width="9.109375" style="15" customWidth="1"/>
    <col min="2" max="2" width="12.109375" style="47" customWidth="1"/>
    <col min="3" max="3" width="12.109375" style="48" customWidth="1"/>
    <col min="4" max="4" width="8.6640625" style="7" customWidth="1"/>
    <col min="5" max="5" width="8.6640625" style="8" customWidth="1"/>
    <col min="6" max="6" width="13.33203125" style="49" customWidth="1"/>
    <col min="7" max="7" width="9.109375" style="8"/>
    <col min="8" max="8" width="7.5546875" style="8" customWidth="1"/>
    <col min="9" max="14" width="11.5546875" style="8" customWidth="1"/>
    <col min="15" max="17" width="9.109375" style="8"/>
    <col min="18" max="19" width="9.109375" style="7"/>
    <col min="20" max="20" width="16.33203125" style="7" customWidth="1"/>
    <col min="21" max="22" width="12.88671875" style="7" customWidth="1"/>
    <col min="23" max="54" width="9.109375" style="7"/>
    <col min="55" max="257" width="9.109375" style="8"/>
    <col min="258" max="259" width="12.109375" style="8" customWidth="1"/>
    <col min="260" max="261" width="8.6640625" style="8" customWidth="1"/>
    <col min="262" max="262" width="13.33203125" style="8" customWidth="1"/>
    <col min="263" max="263" width="9.109375" style="8"/>
    <col min="264" max="264" width="7.5546875" style="8" customWidth="1"/>
    <col min="265" max="270" width="11.5546875" style="8" customWidth="1"/>
    <col min="271" max="275" width="9.109375" style="8"/>
    <col min="276" max="276" width="16.33203125" style="8" customWidth="1"/>
    <col min="277" max="278" width="12.88671875" style="8" customWidth="1"/>
    <col min="279" max="513" width="9.109375" style="8"/>
    <col min="514" max="515" width="12.109375" style="8" customWidth="1"/>
    <col min="516" max="517" width="8.6640625" style="8" customWidth="1"/>
    <col min="518" max="518" width="13.33203125" style="8" customWidth="1"/>
    <col min="519" max="519" width="9.109375" style="8"/>
    <col min="520" max="520" width="7.5546875" style="8" customWidth="1"/>
    <col min="521" max="526" width="11.5546875" style="8" customWidth="1"/>
    <col min="527" max="531" width="9.109375" style="8"/>
    <col min="532" max="532" width="16.33203125" style="8" customWidth="1"/>
    <col min="533" max="534" width="12.88671875" style="8" customWidth="1"/>
    <col min="535" max="769" width="9.109375" style="8"/>
    <col min="770" max="771" width="12.109375" style="8" customWidth="1"/>
    <col min="772" max="773" width="8.6640625" style="8" customWidth="1"/>
    <col min="774" max="774" width="13.33203125" style="8" customWidth="1"/>
    <col min="775" max="775" width="9.109375" style="8"/>
    <col min="776" max="776" width="7.5546875" style="8" customWidth="1"/>
    <col min="777" max="782" width="11.5546875" style="8" customWidth="1"/>
    <col min="783" max="787" width="9.109375" style="8"/>
    <col min="788" max="788" width="16.33203125" style="8" customWidth="1"/>
    <col min="789" max="790" width="12.88671875" style="8" customWidth="1"/>
    <col min="791" max="1025" width="9.109375" style="8"/>
    <col min="1026" max="1027" width="12.109375" style="8" customWidth="1"/>
    <col min="1028" max="1029" width="8.6640625" style="8" customWidth="1"/>
    <col min="1030" max="1030" width="13.33203125" style="8" customWidth="1"/>
    <col min="1031" max="1031" width="9.109375" style="8"/>
    <col min="1032" max="1032" width="7.5546875" style="8" customWidth="1"/>
    <col min="1033" max="1038" width="11.5546875" style="8" customWidth="1"/>
    <col min="1039" max="1043" width="9.109375" style="8"/>
    <col min="1044" max="1044" width="16.33203125" style="8" customWidth="1"/>
    <col min="1045" max="1046" width="12.88671875" style="8" customWidth="1"/>
    <col min="1047" max="1281" width="9.109375" style="8"/>
    <col min="1282" max="1283" width="12.109375" style="8" customWidth="1"/>
    <col min="1284" max="1285" width="8.6640625" style="8" customWidth="1"/>
    <col min="1286" max="1286" width="13.33203125" style="8" customWidth="1"/>
    <col min="1287" max="1287" width="9.109375" style="8"/>
    <col min="1288" max="1288" width="7.5546875" style="8" customWidth="1"/>
    <col min="1289" max="1294" width="11.5546875" style="8" customWidth="1"/>
    <col min="1295" max="1299" width="9.109375" style="8"/>
    <col min="1300" max="1300" width="16.33203125" style="8" customWidth="1"/>
    <col min="1301" max="1302" width="12.88671875" style="8" customWidth="1"/>
    <col min="1303" max="1537" width="9.109375" style="8"/>
    <col min="1538" max="1539" width="12.109375" style="8" customWidth="1"/>
    <col min="1540" max="1541" width="8.6640625" style="8" customWidth="1"/>
    <col min="1542" max="1542" width="13.33203125" style="8" customWidth="1"/>
    <col min="1543" max="1543" width="9.109375" style="8"/>
    <col min="1544" max="1544" width="7.5546875" style="8" customWidth="1"/>
    <col min="1545" max="1550" width="11.5546875" style="8" customWidth="1"/>
    <col min="1551" max="1555" width="9.109375" style="8"/>
    <col min="1556" max="1556" width="16.33203125" style="8" customWidth="1"/>
    <col min="1557" max="1558" width="12.88671875" style="8" customWidth="1"/>
    <col min="1559" max="1793" width="9.109375" style="8"/>
    <col min="1794" max="1795" width="12.109375" style="8" customWidth="1"/>
    <col min="1796" max="1797" width="8.6640625" style="8" customWidth="1"/>
    <col min="1798" max="1798" width="13.33203125" style="8" customWidth="1"/>
    <col min="1799" max="1799" width="9.109375" style="8"/>
    <col min="1800" max="1800" width="7.5546875" style="8" customWidth="1"/>
    <col min="1801" max="1806" width="11.5546875" style="8" customWidth="1"/>
    <col min="1807" max="1811" width="9.109375" style="8"/>
    <col min="1812" max="1812" width="16.33203125" style="8" customWidth="1"/>
    <col min="1813" max="1814" width="12.88671875" style="8" customWidth="1"/>
    <col min="1815" max="2049" width="9.109375" style="8"/>
    <col min="2050" max="2051" width="12.109375" style="8" customWidth="1"/>
    <col min="2052" max="2053" width="8.6640625" style="8" customWidth="1"/>
    <col min="2054" max="2054" width="13.33203125" style="8" customWidth="1"/>
    <col min="2055" max="2055" width="9.109375" style="8"/>
    <col min="2056" max="2056" width="7.5546875" style="8" customWidth="1"/>
    <col min="2057" max="2062" width="11.5546875" style="8" customWidth="1"/>
    <col min="2063" max="2067" width="9.109375" style="8"/>
    <col min="2068" max="2068" width="16.33203125" style="8" customWidth="1"/>
    <col min="2069" max="2070" width="12.88671875" style="8" customWidth="1"/>
    <col min="2071" max="2305" width="9.109375" style="8"/>
    <col min="2306" max="2307" width="12.109375" style="8" customWidth="1"/>
    <col min="2308" max="2309" width="8.6640625" style="8" customWidth="1"/>
    <col min="2310" max="2310" width="13.33203125" style="8" customWidth="1"/>
    <col min="2311" max="2311" width="9.109375" style="8"/>
    <col min="2312" max="2312" width="7.5546875" style="8" customWidth="1"/>
    <col min="2313" max="2318" width="11.5546875" style="8" customWidth="1"/>
    <col min="2319" max="2323" width="9.109375" style="8"/>
    <col min="2324" max="2324" width="16.33203125" style="8" customWidth="1"/>
    <col min="2325" max="2326" width="12.88671875" style="8" customWidth="1"/>
    <col min="2327" max="2561" width="9.109375" style="8"/>
    <col min="2562" max="2563" width="12.109375" style="8" customWidth="1"/>
    <col min="2564" max="2565" width="8.6640625" style="8" customWidth="1"/>
    <col min="2566" max="2566" width="13.33203125" style="8" customWidth="1"/>
    <col min="2567" max="2567" width="9.109375" style="8"/>
    <col min="2568" max="2568" width="7.5546875" style="8" customWidth="1"/>
    <col min="2569" max="2574" width="11.5546875" style="8" customWidth="1"/>
    <col min="2575" max="2579" width="9.109375" style="8"/>
    <col min="2580" max="2580" width="16.33203125" style="8" customWidth="1"/>
    <col min="2581" max="2582" width="12.88671875" style="8" customWidth="1"/>
    <col min="2583" max="2817" width="9.109375" style="8"/>
    <col min="2818" max="2819" width="12.109375" style="8" customWidth="1"/>
    <col min="2820" max="2821" width="8.6640625" style="8" customWidth="1"/>
    <col min="2822" max="2822" width="13.33203125" style="8" customWidth="1"/>
    <col min="2823" max="2823" width="9.109375" style="8"/>
    <col min="2824" max="2824" width="7.5546875" style="8" customWidth="1"/>
    <col min="2825" max="2830" width="11.5546875" style="8" customWidth="1"/>
    <col min="2831" max="2835" width="9.109375" style="8"/>
    <col min="2836" max="2836" width="16.33203125" style="8" customWidth="1"/>
    <col min="2837" max="2838" width="12.88671875" style="8" customWidth="1"/>
    <col min="2839" max="3073" width="9.109375" style="8"/>
    <col min="3074" max="3075" width="12.109375" style="8" customWidth="1"/>
    <col min="3076" max="3077" width="8.6640625" style="8" customWidth="1"/>
    <col min="3078" max="3078" width="13.33203125" style="8" customWidth="1"/>
    <col min="3079" max="3079" width="9.109375" style="8"/>
    <col min="3080" max="3080" width="7.5546875" style="8" customWidth="1"/>
    <col min="3081" max="3086" width="11.5546875" style="8" customWidth="1"/>
    <col min="3087" max="3091" width="9.109375" style="8"/>
    <col min="3092" max="3092" width="16.33203125" style="8" customWidth="1"/>
    <col min="3093" max="3094" width="12.88671875" style="8" customWidth="1"/>
    <col min="3095" max="3329" width="9.109375" style="8"/>
    <col min="3330" max="3331" width="12.109375" style="8" customWidth="1"/>
    <col min="3332" max="3333" width="8.6640625" style="8" customWidth="1"/>
    <col min="3334" max="3334" width="13.33203125" style="8" customWidth="1"/>
    <col min="3335" max="3335" width="9.109375" style="8"/>
    <col min="3336" max="3336" width="7.5546875" style="8" customWidth="1"/>
    <col min="3337" max="3342" width="11.5546875" style="8" customWidth="1"/>
    <col min="3343" max="3347" width="9.109375" style="8"/>
    <col min="3348" max="3348" width="16.33203125" style="8" customWidth="1"/>
    <col min="3349" max="3350" width="12.88671875" style="8" customWidth="1"/>
    <col min="3351" max="3585" width="9.109375" style="8"/>
    <col min="3586" max="3587" width="12.109375" style="8" customWidth="1"/>
    <col min="3588" max="3589" width="8.6640625" style="8" customWidth="1"/>
    <col min="3590" max="3590" width="13.33203125" style="8" customWidth="1"/>
    <col min="3591" max="3591" width="9.109375" style="8"/>
    <col min="3592" max="3592" width="7.5546875" style="8" customWidth="1"/>
    <col min="3593" max="3598" width="11.5546875" style="8" customWidth="1"/>
    <col min="3599" max="3603" width="9.109375" style="8"/>
    <col min="3604" max="3604" width="16.33203125" style="8" customWidth="1"/>
    <col min="3605" max="3606" width="12.88671875" style="8" customWidth="1"/>
    <col min="3607" max="3841" width="9.109375" style="8"/>
    <col min="3842" max="3843" width="12.109375" style="8" customWidth="1"/>
    <col min="3844" max="3845" width="8.6640625" style="8" customWidth="1"/>
    <col min="3846" max="3846" width="13.33203125" style="8" customWidth="1"/>
    <col min="3847" max="3847" width="9.109375" style="8"/>
    <col min="3848" max="3848" width="7.5546875" style="8" customWidth="1"/>
    <col min="3849" max="3854" width="11.5546875" style="8" customWidth="1"/>
    <col min="3855" max="3859" width="9.109375" style="8"/>
    <col min="3860" max="3860" width="16.33203125" style="8" customWidth="1"/>
    <col min="3861" max="3862" width="12.88671875" style="8" customWidth="1"/>
    <col min="3863" max="4097" width="9.109375" style="8"/>
    <col min="4098" max="4099" width="12.109375" style="8" customWidth="1"/>
    <col min="4100" max="4101" width="8.6640625" style="8" customWidth="1"/>
    <col min="4102" max="4102" width="13.33203125" style="8" customWidth="1"/>
    <col min="4103" max="4103" width="9.109375" style="8"/>
    <col min="4104" max="4104" width="7.5546875" style="8" customWidth="1"/>
    <col min="4105" max="4110" width="11.5546875" style="8" customWidth="1"/>
    <col min="4111" max="4115" width="9.109375" style="8"/>
    <col min="4116" max="4116" width="16.33203125" style="8" customWidth="1"/>
    <col min="4117" max="4118" width="12.88671875" style="8" customWidth="1"/>
    <col min="4119" max="4353" width="9.109375" style="8"/>
    <col min="4354" max="4355" width="12.109375" style="8" customWidth="1"/>
    <col min="4356" max="4357" width="8.6640625" style="8" customWidth="1"/>
    <col min="4358" max="4358" width="13.33203125" style="8" customWidth="1"/>
    <col min="4359" max="4359" width="9.109375" style="8"/>
    <col min="4360" max="4360" width="7.5546875" style="8" customWidth="1"/>
    <col min="4361" max="4366" width="11.5546875" style="8" customWidth="1"/>
    <col min="4367" max="4371" width="9.109375" style="8"/>
    <col min="4372" max="4372" width="16.33203125" style="8" customWidth="1"/>
    <col min="4373" max="4374" width="12.88671875" style="8" customWidth="1"/>
    <col min="4375" max="4609" width="9.109375" style="8"/>
    <col min="4610" max="4611" width="12.109375" style="8" customWidth="1"/>
    <col min="4612" max="4613" width="8.6640625" style="8" customWidth="1"/>
    <col min="4614" max="4614" width="13.33203125" style="8" customWidth="1"/>
    <col min="4615" max="4615" width="9.109375" style="8"/>
    <col min="4616" max="4616" width="7.5546875" style="8" customWidth="1"/>
    <col min="4617" max="4622" width="11.5546875" style="8" customWidth="1"/>
    <col min="4623" max="4627" width="9.109375" style="8"/>
    <col min="4628" max="4628" width="16.33203125" style="8" customWidth="1"/>
    <col min="4629" max="4630" width="12.88671875" style="8" customWidth="1"/>
    <col min="4631" max="4865" width="9.109375" style="8"/>
    <col min="4866" max="4867" width="12.109375" style="8" customWidth="1"/>
    <col min="4868" max="4869" width="8.6640625" style="8" customWidth="1"/>
    <col min="4870" max="4870" width="13.33203125" style="8" customWidth="1"/>
    <col min="4871" max="4871" width="9.109375" style="8"/>
    <col min="4872" max="4872" width="7.5546875" style="8" customWidth="1"/>
    <col min="4873" max="4878" width="11.5546875" style="8" customWidth="1"/>
    <col min="4879" max="4883" width="9.109375" style="8"/>
    <col min="4884" max="4884" width="16.33203125" style="8" customWidth="1"/>
    <col min="4885" max="4886" width="12.88671875" style="8" customWidth="1"/>
    <col min="4887" max="5121" width="9.109375" style="8"/>
    <col min="5122" max="5123" width="12.109375" style="8" customWidth="1"/>
    <col min="5124" max="5125" width="8.6640625" style="8" customWidth="1"/>
    <col min="5126" max="5126" width="13.33203125" style="8" customWidth="1"/>
    <col min="5127" max="5127" width="9.109375" style="8"/>
    <col min="5128" max="5128" width="7.5546875" style="8" customWidth="1"/>
    <col min="5129" max="5134" width="11.5546875" style="8" customWidth="1"/>
    <col min="5135" max="5139" width="9.109375" style="8"/>
    <col min="5140" max="5140" width="16.33203125" style="8" customWidth="1"/>
    <col min="5141" max="5142" width="12.88671875" style="8" customWidth="1"/>
    <col min="5143" max="5377" width="9.109375" style="8"/>
    <col min="5378" max="5379" width="12.109375" style="8" customWidth="1"/>
    <col min="5380" max="5381" width="8.6640625" style="8" customWidth="1"/>
    <col min="5382" max="5382" width="13.33203125" style="8" customWidth="1"/>
    <col min="5383" max="5383" width="9.109375" style="8"/>
    <col min="5384" max="5384" width="7.5546875" style="8" customWidth="1"/>
    <col min="5385" max="5390" width="11.5546875" style="8" customWidth="1"/>
    <col min="5391" max="5395" width="9.109375" style="8"/>
    <col min="5396" max="5396" width="16.33203125" style="8" customWidth="1"/>
    <col min="5397" max="5398" width="12.88671875" style="8" customWidth="1"/>
    <col min="5399" max="5633" width="9.109375" style="8"/>
    <col min="5634" max="5635" width="12.109375" style="8" customWidth="1"/>
    <col min="5636" max="5637" width="8.6640625" style="8" customWidth="1"/>
    <col min="5638" max="5638" width="13.33203125" style="8" customWidth="1"/>
    <col min="5639" max="5639" width="9.109375" style="8"/>
    <col min="5640" max="5640" width="7.5546875" style="8" customWidth="1"/>
    <col min="5641" max="5646" width="11.5546875" style="8" customWidth="1"/>
    <col min="5647" max="5651" width="9.109375" style="8"/>
    <col min="5652" max="5652" width="16.33203125" style="8" customWidth="1"/>
    <col min="5653" max="5654" width="12.88671875" style="8" customWidth="1"/>
    <col min="5655" max="5889" width="9.109375" style="8"/>
    <col min="5890" max="5891" width="12.109375" style="8" customWidth="1"/>
    <col min="5892" max="5893" width="8.6640625" style="8" customWidth="1"/>
    <col min="5894" max="5894" width="13.33203125" style="8" customWidth="1"/>
    <col min="5895" max="5895" width="9.109375" style="8"/>
    <col min="5896" max="5896" width="7.5546875" style="8" customWidth="1"/>
    <col min="5897" max="5902" width="11.5546875" style="8" customWidth="1"/>
    <col min="5903" max="5907" width="9.109375" style="8"/>
    <col min="5908" max="5908" width="16.33203125" style="8" customWidth="1"/>
    <col min="5909" max="5910" width="12.88671875" style="8" customWidth="1"/>
    <col min="5911" max="6145" width="9.109375" style="8"/>
    <col min="6146" max="6147" width="12.109375" style="8" customWidth="1"/>
    <col min="6148" max="6149" width="8.6640625" style="8" customWidth="1"/>
    <col min="6150" max="6150" width="13.33203125" style="8" customWidth="1"/>
    <col min="6151" max="6151" width="9.109375" style="8"/>
    <col min="6152" max="6152" width="7.5546875" style="8" customWidth="1"/>
    <col min="6153" max="6158" width="11.5546875" style="8" customWidth="1"/>
    <col min="6159" max="6163" width="9.109375" style="8"/>
    <col min="6164" max="6164" width="16.33203125" style="8" customWidth="1"/>
    <col min="6165" max="6166" width="12.88671875" style="8" customWidth="1"/>
    <col min="6167" max="6401" width="9.109375" style="8"/>
    <col min="6402" max="6403" width="12.109375" style="8" customWidth="1"/>
    <col min="6404" max="6405" width="8.6640625" style="8" customWidth="1"/>
    <col min="6406" max="6406" width="13.33203125" style="8" customWidth="1"/>
    <col min="6407" max="6407" width="9.109375" style="8"/>
    <col min="6408" max="6408" width="7.5546875" style="8" customWidth="1"/>
    <col min="6409" max="6414" width="11.5546875" style="8" customWidth="1"/>
    <col min="6415" max="6419" width="9.109375" style="8"/>
    <col min="6420" max="6420" width="16.33203125" style="8" customWidth="1"/>
    <col min="6421" max="6422" width="12.88671875" style="8" customWidth="1"/>
    <col min="6423" max="6657" width="9.109375" style="8"/>
    <col min="6658" max="6659" width="12.109375" style="8" customWidth="1"/>
    <col min="6660" max="6661" width="8.6640625" style="8" customWidth="1"/>
    <col min="6662" max="6662" width="13.33203125" style="8" customWidth="1"/>
    <col min="6663" max="6663" width="9.109375" style="8"/>
    <col min="6664" max="6664" width="7.5546875" style="8" customWidth="1"/>
    <col min="6665" max="6670" width="11.5546875" style="8" customWidth="1"/>
    <col min="6671" max="6675" width="9.109375" style="8"/>
    <col min="6676" max="6676" width="16.33203125" style="8" customWidth="1"/>
    <col min="6677" max="6678" width="12.88671875" style="8" customWidth="1"/>
    <col min="6679" max="6913" width="9.109375" style="8"/>
    <col min="6914" max="6915" width="12.109375" style="8" customWidth="1"/>
    <col min="6916" max="6917" width="8.6640625" style="8" customWidth="1"/>
    <col min="6918" max="6918" width="13.33203125" style="8" customWidth="1"/>
    <col min="6919" max="6919" width="9.109375" style="8"/>
    <col min="6920" max="6920" width="7.5546875" style="8" customWidth="1"/>
    <col min="6921" max="6926" width="11.5546875" style="8" customWidth="1"/>
    <col min="6927" max="6931" width="9.109375" style="8"/>
    <col min="6932" max="6932" width="16.33203125" style="8" customWidth="1"/>
    <col min="6933" max="6934" width="12.88671875" style="8" customWidth="1"/>
    <col min="6935" max="7169" width="9.109375" style="8"/>
    <col min="7170" max="7171" width="12.109375" style="8" customWidth="1"/>
    <col min="7172" max="7173" width="8.6640625" style="8" customWidth="1"/>
    <col min="7174" max="7174" width="13.33203125" style="8" customWidth="1"/>
    <col min="7175" max="7175" width="9.109375" style="8"/>
    <col min="7176" max="7176" width="7.5546875" style="8" customWidth="1"/>
    <col min="7177" max="7182" width="11.5546875" style="8" customWidth="1"/>
    <col min="7183" max="7187" width="9.109375" style="8"/>
    <col min="7188" max="7188" width="16.33203125" style="8" customWidth="1"/>
    <col min="7189" max="7190" width="12.88671875" style="8" customWidth="1"/>
    <col min="7191" max="7425" width="9.109375" style="8"/>
    <col min="7426" max="7427" width="12.109375" style="8" customWidth="1"/>
    <col min="7428" max="7429" width="8.6640625" style="8" customWidth="1"/>
    <col min="7430" max="7430" width="13.33203125" style="8" customWidth="1"/>
    <col min="7431" max="7431" width="9.109375" style="8"/>
    <col min="7432" max="7432" width="7.5546875" style="8" customWidth="1"/>
    <col min="7433" max="7438" width="11.5546875" style="8" customWidth="1"/>
    <col min="7439" max="7443" width="9.109375" style="8"/>
    <col min="7444" max="7444" width="16.33203125" style="8" customWidth="1"/>
    <col min="7445" max="7446" width="12.88671875" style="8" customWidth="1"/>
    <col min="7447" max="7681" width="9.109375" style="8"/>
    <col min="7682" max="7683" width="12.109375" style="8" customWidth="1"/>
    <col min="7684" max="7685" width="8.6640625" style="8" customWidth="1"/>
    <col min="7686" max="7686" width="13.33203125" style="8" customWidth="1"/>
    <col min="7687" max="7687" width="9.109375" style="8"/>
    <col min="7688" max="7688" width="7.5546875" style="8" customWidth="1"/>
    <col min="7689" max="7694" width="11.5546875" style="8" customWidth="1"/>
    <col min="7695" max="7699" width="9.109375" style="8"/>
    <col min="7700" max="7700" width="16.33203125" style="8" customWidth="1"/>
    <col min="7701" max="7702" width="12.88671875" style="8" customWidth="1"/>
    <col min="7703" max="7937" width="9.109375" style="8"/>
    <col min="7938" max="7939" width="12.109375" style="8" customWidth="1"/>
    <col min="7940" max="7941" width="8.6640625" style="8" customWidth="1"/>
    <col min="7942" max="7942" width="13.33203125" style="8" customWidth="1"/>
    <col min="7943" max="7943" width="9.109375" style="8"/>
    <col min="7944" max="7944" width="7.5546875" style="8" customWidth="1"/>
    <col min="7945" max="7950" width="11.5546875" style="8" customWidth="1"/>
    <col min="7951" max="7955" width="9.109375" style="8"/>
    <col min="7956" max="7956" width="16.33203125" style="8" customWidth="1"/>
    <col min="7957" max="7958" width="12.88671875" style="8" customWidth="1"/>
    <col min="7959" max="8193" width="9.109375" style="8"/>
    <col min="8194" max="8195" width="12.109375" style="8" customWidth="1"/>
    <col min="8196" max="8197" width="8.6640625" style="8" customWidth="1"/>
    <col min="8198" max="8198" width="13.33203125" style="8" customWidth="1"/>
    <col min="8199" max="8199" width="9.109375" style="8"/>
    <col min="8200" max="8200" width="7.5546875" style="8" customWidth="1"/>
    <col min="8201" max="8206" width="11.5546875" style="8" customWidth="1"/>
    <col min="8207" max="8211" width="9.109375" style="8"/>
    <col min="8212" max="8212" width="16.33203125" style="8" customWidth="1"/>
    <col min="8213" max="8214" width="12.88671875" style="8" customWidth="1"/>
    <col min="8215" max="8449" width="9.109375" style="8"/>
    <col min="8450" max="8451" width="12.109375" style="8" customWidth="1"/>
    <col min="8452" max="8453" width="8.6640625" style="8" customWidth="1"/>
    <col min="8454" max="8454" width="13.33203125" style="8" customWidth="1"/>
    <col min="8455" max="8455" width="9.109375" style="8"/>
    <col min="8456" max="8456" width="7.5546875" style="8" customWidth="1"/>
    <col min="8457" max="8462" width="11.5546875" style="8" customWidth="1"/>
    <col min="8463" max="8467" width="9.109375" style="8"/>
    <col min="8468" max="8468" width="16.33203125" style="8" customWidth="1"/>
    <col min="8469" max="8470" width="12.88671875" style="8" customWidth="1"/>
    <col min="8471" max="8705" width="9.109375" style="8"/>
    <col min="8706" max="8707" width="12.109375" style="8" customWidth="1"/>
    <col min="8708" max="8709" width="8.6640625" style="8" customWidth="1"/>
    <col min="8710" max="8710" width="13.33203125" style="8" customWidth="1"/>
    <col min="8711" max="8711" width="9.109375" style="8"/>
    <col min="8712" max="8712" width="7.5546875" style="8" customWidth="1"/>
    <col min="8713" max="8718" width="11.5546875" style="8" customWidth="1"/>
    <col min="8719" max="8723" width="9.109375" style="8"/>
    <col min="8724" max="8724" width="16.33203125" style="8" customWidth="1"/>
    <col min="8725" max="8726" width="12.88671875" style="8" customWidth="1"/>
    <col min="8727" max="8961" width="9.109375" style="8"/>
    <col min="8962" max="8963" width="12.109375" style="8" customWidth="1"/>
    <col min="8964" max="8965" width="8.6640625" style="8" customWidth="1"/>
    <col min="8966" max="8966" width="13.33203125" style="8" customWidth="1"/>
    <col min="8967" max="8967" width="9.109375" style="8"/>
    <col min="8968" max="8968" width="7.5546875" style="8" customWidth="1"/>
    <col min="8969" max="8974" width="11.5546875" style="8" customWidth="1"/>
    <col min="8975" max="8979" width="9.109375" style="8"/>
    <col min="8980" max="8980" width="16.33203125" style="8" customWidth="1"/>
    <col min="8981" max="8982" width="12.88671875" style="8" customWidth="1"/>
    <col min="8983" max="9217" width="9.109375" style="8"/>
    <col min="9218" max="9219" width="12.109375" style="8" customWidth="1"/>
    <col min="9220" max="9221" width="8.6640625" style="8" customWidth="1"/>
    <col min="9222" max="9222" width="13.33203125" style="8" customWidth="1"/>
    <col min="9223" max="9223" width="9.109375" style="8"/>
    <col min="9224" max="9224" width="7.5546875" style="8" customWidth="1"/>
    <col min="9225" max="9230" width="11.5546875" style="8" customWidth="1"/>
    <col min="9231" max="9235" width="9.109375" style="8"/>
    <col min="9236" max="9236" width="16.33203125" style="8" customWidth="1"/>
    <col min="9237" max="9238" width="12.88671875" style="8" customWidth="1"/>
    <col min="9239" max="9473" width="9.109375" style="8"/>
    <col min="9474" max="9475" width="12.109375" style="8" customWidth="1"/>
    <col min="9476" max="9477" width="8.6640625" style="8" customWidth="1"/>
    <col min="9478" max="9478" width="13.33203125" style="8" customWidth="1"/>
    <col min="9479" max="9479" width="9.109375" style="8"/>
    <col min="9480" max="9480" width="7.5546875" style="8" customWidth="1"/>
    <col min="9481" max="9486" width="11.5546875" style="8" customWidth="1"/>
    <col min="9487" max="9491" width="9.109375" style="8"/>
    <col min="9492" max="9492" width="16.33203125" style="8" customWidth="1"/>
    <col min="9493" max="9494" width="12.88671875" style="8" customWidth="1"/>
    <col min="9495" max="9729" width="9.109375" style="8"/>
    <col min="9730" max="9731" width="12.109375" style="8" customWidth="1"/>
    <col min="9732" max="9733" width="8.6640625" style="8" customWidth="1"/>
    <col min="9734" max="9734" width="13.33203125" style="8" customWidth="1"/>
    <col min="9735" max="9735" width="9.109375" style="8"/>
    <col min="9736" max="9736" width="7.5546875" style="8" customWidth="1"/>
    <col min="9737" max="9742" width="11.5546875" style="8" customWidth="1"/>
    <col min="9743" max="9747" width="9.109375" style="8"/>
    <col min="9748" max="9748" width="16.33203125" style="8" customWidth="1"/>
    <col min="9749" max="9750" width="12.88671875" style="8" customWidth="1"/>
    <col min="9751" max="9985" width="9.109375" style="8"/>
    <col min="9986" max="9987" width="12.109375" style="8" customWidth="1"/>
    <col min="9988" max="9989" width="8.6640625" style="8" customWidth="1"/>
    <col min="9990" max="9990" width="13.33203125" style="8" customWidth="1"/>
    <col min="9991" max="9991" width="9.109375" style="8"/>
    <col min="9992" max="9992" width="7.5546875" style="8" customWidth="1"/>
    <col min="9993" max="9998" width="11.5546875" style="8" customWidth="1"/>
    <col min="9999" max="10003" width="9.109375" style="8"/>
    <col min="10004" max="10004" width="16.33203125" style="8" customWidth="1"/>
    <col min="10005" max="10006" width="12.88671875" style="8" customWidth="1"/>
    <col min="10007" max="10241" width="9.109375" style="8"/>
    <col min="10242" max="10243" width="12.109375" style="8" customWidth="1"/>
    <col min="10244" max="10245" width="8.6640625" style="8" customWidth="1"/>
    <col min="10246" max="10246" width="13.33203125" style="8" customWidth="1"/>
    <col min="10247" max="10247" width="9.109375" style="8"/>
    <col min="10248" max="10248" width="7.5546875" style="8" customWidth="1"/>
    <col min="10249" max="10254" width="11.5546875" style="8" customWidth="1"/>
    <col min="10255" max="10259" width="9.109375" style="8"/>
    <col min="10260" max="10260" width="16.33203125" style="8" customWidth="1"/>
    <col min="10261" max="10262" width="12.88671875" style="8" customWidth="1"/>
    <col min="10263" max="10497" width="9.109375" style="8"/>
    <col min="10498" max="10499" width="12.109375" style="8" customWidth="1"/>
    <col min="10500" max="10501" width="8.6640625" style="8" customWidth="1"/>
    <col min="10502" max="10502" width="13.33203125" style="8" customWidth="1"/>
    <col min="10503" max="10503" width="9.109375" style="8"/>
    <col min="10504" max="10504" width="7.5546875" style="8" customWidth="1"/>
    <col min="10505" max="10510" width="11.5546875" style="8" customWidth="1"/>
    <col min="10511" max="10515" width="9.109375" style="8"/>
    <col min="10516" max="10516" width="16.33203125" style="8" customWidth="1"/>
    <col min="10517" max="10518" width="12.88671875" style="8" customWidth="1"/>
    <col min="10519" max="10753" width="9.109375" style="8"/>
    <col min="10754" max="10755" width="12.109375" style="8" customWidth="1"/>
    <col min="10756" max="10757" width="8.6640625" style="8" customWidth="1"/>
    <col min="10758" max="10758" width="13.33203125" style="8" customWidth="1"/>
    <col min="10759" max="10759" width="9.109375" style="8"/>
    <col min="10760" max="10760" width="7.5546875" style="8" customWidth="1"/>
    <col min="10761" max="10766" width="11.5546875" style="8" customWidth="1"/>
    <col min="10767" max="10771" width="9.109375" style="8"/>
    <col min="10772" max="10772" width="16.33203125" style="8" customWidth="1"/>
    <col min="10773" max="10774" width="12.88671875" style="8" customWidth="1"/>
    <col min="10775" max="11009" width="9.109375" style="8"/>
    <col min="11010" max="11011" width="12.109375" style="8" customWidth="1"/>
    <col min="11012" max="11013" width="8.6640625" style="8" customWidth="1"/>
    <col min="11014" max="11014" width="13.33203125" style="8" customWidth="1"/>
    <col min="11015" max="11015" width="9.109375" style="8"/>
    <col min="11016" max="11016" width="7.5546875" style="8" customWidth="1"/>
    <col min="11017" max="11022" width="11.5546875" style="8" customWidth="1"/>
    <col min="11023" max="11027" width="9.109375" style="8"/>
    <col min="11028" max="11028" width="16.33203125" style="8" customWidth="1"/>
    <col min="11029" max="11030" width="12.88671875" style="8" customWidth="1"/>
    <col min="11031" max="11265" width="9.109375" style="8"/>
    <col min="11266" max="11267" width="12.109375" style="8" customWidth="1"/>
    <col min="11268" max="11269" width="8.6640625" style="8" customWidth="1"/>
    <col min="11270" max="11270" width="13.33203125" style="8" customWidth="1"/>
    <col min="11271" max="11271" width="9.109375" style="8"/>
    <col min="11272" max="11272" width="7.5546875" style="8" customWidth="1"/>
    <col min="11273" max="11278" width="11.5546875" style="8" customWidth="1"/>
    <col min="11279" max="11283" width="9.109375" style="8"/>
    <col min="11284" max="11284" width="16.33203125" style="8" customWidth="1"/>
    <col min="11285" max="11286" width="12.88671875" style="8" customWidth="1"/>
    <col min="11287" max="11521" width="9.109375" style="8"/>
    <col min="11522" max="11523" width="12.109375" style="8" customWidth="1"/>
    <col min="11524" max="11525" width="8.6640625" style="8" customWidth="1"/>
    <col min="11526" max="11526" width="13.33203125" style="8" customWidth="1"/>
    <col min="11527" max="11527" width="9.109375" style="8"/>
    <col min="11528" max="11528" width="7.5546875" style="8" customWidth="1"/>
    <col min="11529" max="11534" width="11.5546875" style="8" customWidth="1"/>
    <col min="11535" max="11539" width="9.109375" style="8"/>
    <col min="11540" max="11540" width="16.33203125" style="8" customWidth="1"/>
    <col min="11541" max="11542" width="12.88671875" style="8" customWidth="1"/>
    <col min="11543" max="11777" width="9.109375" style="8"/>
    <col min="11778" max="11779" width="12.109375" style="8" customWidth="1"/>
    <col min="11780" max="11781" width="8.6640625" style="8" customWidth="1"/>
    <col min="11782" max="11782" width="13.33203125" style="8" customWidth="1"/>
    <col min="11783" max="11783" width="9.109375" style="8"/>
    <col min="11784" max="11784" width="7.5546875" style="8" customWidth="1"/>
    <col min="11785" max="11790" width="11.5546875" style="8" customWidth="1"/>
    <col min="11791" max="11795" width="9.109375" style="8"/>
    <col min="11796" max="11796" width="16.33203125" style="8" customWidth="1"/>
    <col min="11797" max="11798" width="12.88671875" style="8" customWidth="1"/>
    <col min="11799" max="12033" width="9.109375" style="8"/>
    <col min="12034" max="12035" width="12.109375" style="8" customWidth="1"/>
    <col min="12036" max="12037" width="8.6640625" style="8" customWidth="1"/>
    <col min="12038" max="12038" width="13.33203125" style="8" customWidth="1"/>
    <col min="12039" max="12039" width="9.109375" style="8"/>
    <col min="12040" max="12040" width="7.5546875" style="8" customWidth="1"/>
    <col min="12041" max="12046" width="11.5546875" style="8" customWidth="1"/>
    <col min="12047" max="12051" width="9.109375" style="8"/>
    <col min="12052" max="12052" width="16.33203125" style="8" customWidth="1"/>
    <col min="12053" max="12054" width="12.88671875" style="8" customWidth="1"/>
    <col min="12055" max="12289" width="9.109375" style="8"/>
    <col min="12290" max="12291" width="12.109375" style="8" customWidth="1"/>
    <col min="12292" max="12293" width="8.6640625" style="8" customWidth="1"/>
    <col min="12294" max="12294" width="13.33203125" style="8" customWidth="1"/>
    <col min="12295" max="12295" width="9.109375" style="8"/>
    <col min="12296" max="12296" width="7.5546875" style="8" customWidth="1"/>
    <col min="12297" max="12302" width="11.5546875" style="8" customWidth="1"/>
    <col min="12303" max="12307" width="9.109375" style="8"/>
    <col min="12308" max="12308" width="16.33203125" style="8" customWidth="1"/>
    <col min="12309" max="12310" width="12.88671875" style="8" customWidth="1"/>
    <col min="12311" max="12545" width="9.109375" style="8"/>
    <col min="12546" max="12547" width="12.109375" style="8" customWidth="1"/>
    <col min="12548" max="12549" width="8.6640625" style="8" customWidth="1"/>
    <col min="12550" max="12550" width="13.33203125" style="8" customWidth="1"/>
    <col min="12551" max="12551" width="9.109375" style="8"/>
    <col min="12552" max="12552" width="7.5546875" style="8" customWidth="1"/>
    <col min="12553" max="12558" width="11.5546875" style="8" customWidth="1"/>
    <col min="12559" max="12563" width="9.109375" style="8"/>
    <col min="12564" max="12564" width="16.33203125" style="8" customWidth="1"/>
    <col min="12565" max="12566" width="12.88671875" style="8" customWidth="1"/>
    <col min="12567" max="12801" width="9.109375" style="8"/>
    <col min="12802" max="12803" width="12.109375" style="8" customWidth="1"/>
    <col min="12804" max="12805" width="8.6640625" style="8" customWidth="1"/>
    <col min="12806" max="12806" width="13.33203125" style="8" customWidth="1"/>
    <col min="12807" max="12807" width="9.109375" style="8"/>
    <col min="12808" max="12808" width="7.5546875" style="8" customWidth="1"/>
    <col min="12809" max="12814" width="11.5546875" style="8" customWidth="1"/>
    <col min="12815" max="12819" width="9.109375" style="8"/>
    <col min="12820" max="12820" width="16.33203125" style="8" customWidth="1"/>
    <col min="12821" max="12822" width="12.88671875" style="8" customWidth="1"/>
    <col min="12823" max="13057" width="9.109375" style="8"/>
    <col min="13058" max="13059" width="12.109375" style="8" customWidth="1"/>
    <col min="13060" max="13061" width="8.6640625" style="8" customWidth="1"/>
    <col min="13062" max="13062" width="13.33203125" style="8" customWidth="1"/>
    <col min="13063" max="13063" width="9.109375" style="8"/>
    <col min="13064" max="13064" width="7.5546875" style="8" customWidth="1"/>
    <col min="13065" max="13070" width="11.5546875" style="8" customWidth="1"/>
    <col min="13071" max="13075" width="9.109375" style="8"/>
    <col min="13076" max="13076" width="16.33203125" style="8" customWidth="1"/>
    <col min="13077" max="13078" width="12.88671875" style="8" customWidth="1"/>
    <col min="13079" max="13313" width="9.109375" style="8"/>
    <col min="13314" max="13315" width="12.109375" style="8" customWidth="1"/>
    <col min="13316" max="13317" width="8.6640625" style="8" customWidth="1"/>
    <col min="13318" max="13318" width="13.33203125" style="8" customWidth="1"/>
    <col min="13319" max="13319" width="9.109375" style="8"/>
    <col min="13320" max="13320" width="7.5546875" style="8" customWidth="1"/>
    <col min="13321" max="13326" width="11.5546875" style="8" customWidth="1"/>
    <col min="13327" max="13331" width="9.109375" style="8"/>
    <col min="13332" max="13332" width="16.33203125" style="8" customWidth="1"/>
    <col min="13333" max="13334" width="12.88671875" style="8" customWidth="1"/>
    <col min="13335" max="13569" width="9.109375" style="8"/>
    <col min="13570" max="13571" width="12.109375" style="8" customWidth="1"/>
    <col min="13572" max="13573" width="8.6640625" style="8" customWidth="1"/>
    <col min="13574" max="13574" width="13.33203125" style="8" customWidth="1"/>
    <col min="13575" max="13575" width="9.109375" style="8"/>
    <col min="13576" max="13576" width="7.5546875" style="8" customWidth="1"/>
    <col min="13577" max="13582" width="11.5546875" style="8" customWidth="1"/>
    <col min="13583" max="13587" width="9.109375" style="8"/>
    <col min="13588" max="13588" width="16.33203125" style="8" customWidth="1"/>
    <col min="13589" max="13590" width="12.88671875" style="8" customWidth="1"/>
    <col min="13591" max="13825" width="9.109375" style="8"/>
    <col min="13826" max="13827" width="12.109375" style="8" customWidth="1"/>
    <col min="13828" max="13829" width="8.6640625" style="8" customWidth="1"/>
    <col min="13830" max="13830" width="13.33203125" style="8" customWidth="1"/>
    <col min="13831" max="13831" width="9.109375" style="8"/>
    <col min="13832" max="13832" width="7.5546875" style="8" customWidth="1"/>
    <col min="13833" max="13838" width="11.5546875" style="8" customWidth="1"/>
    <col min="13839" max="13843" width="9.109375" style="8"/>
    <col min="13844" max="13844" width="16.33203125" style="8" customWidth="1"/>
    <col min="13845" max="13846" width="12.88671875" style="8" customWidth="1"/>
    <col min="13847" max="14081" width="9.109375" style="8"/>
    <col min="14082" max="14083" width="12.109375" style="8" customWidth="1"/>
    <col min="14084" max="14085" width="8.6640625" style="8" customWidth="1"/>
    <col min="14086" max="14086" width="13.33203125" style="8" customWidth="1"/>
    <col min="14087" max="14087" width="9.109375" style="8"/>
    <col min="14088" max="14088" width="7.5546875" style="8" customWidth="1"/>
    <col min="14089" max="14094" width="11.5546875" style="8" customWidth="1"/>
    <col min="14095" max="14099" width="9.109375" style="8"/>
    <col min="14100" max="14100" width="16.33203125" style="8" customWidth="1"/>
    <col min="14101" max="14102" width="12.88671875" style="8" customWidth="1"/>
    <col min="14103" max="14337" width="9.109375" style="8"/>
    <col min="14338" max="14339" width="12.109375" style="8" customWidth="1"/>
    <col min="14340" max="14341" width="8.6640625" style="8" customWidth="1"/>
    <col min="14342" max="14342" width="13.33203125" style="8" customWidth="1"/>
    <col min="14343" max="14343" width="9.109375" style="8"/>
    <col min="14344" max="14344" width="7.5546875" style="8" customWidth="1"/>
    <col min="14345" max="14350" width="11.5546875" style="8" customWidth="1"/>
    <col min="14351" max="14355" width="9.109375" style="8"/>
    <col min="14356" max="14356" width="16.33203125" style="8" customWidth="1"/>
    <col min="14357" max="14358" width="12.88671875" style="8" customWidth="1"/>
    <col min="14359" max="14593" width="9.109375" style="8"/>
    <col min="14594" max="14595" width="12.109375" style="8" customWidth="1"/>
    <col min="14596" max="14597" width="8.6640625" style="8" customWidth="1"/>
    <col min="14598" max="14598" width="13.33203125" style="8" customWidth="1"/>
    <col min="14599" max="14599" width="9.109375" style="8"/>
    <col min="14600" max="14600" width="7.5546875" style="8" customWidth="1"/>
    <col min="14601" max="14606" width="11.5546875" style="8" customWidth="1"/>
    <col min="14607" max="14611" width="9.109375" style="8"/>
    <col min="14612" max="14612" width="16.33203125" style="8" customWidth="1"/>
    <col min="14613" max="14614" width="12.88671875" style="8" customWidth="1"/>
    <col min="14615" max="14849" width="9.109375" style="8"/>
    <col min="14850" max="14851" width="12.109375" style="8" customWidth="1"/>
    <col min="14852" max="14853" width="8.6640625" style="8" customWidth="1"/>
    <col min="14854" max="14854" width="13.33203125" style="8" customWidth="1"/>
    <col min="14855" max="14855" width="9.109375" style="8"/>
    <col min="14856" max="14856" width="7.5546875" style="8" customWidth="1"/>
    <col min="14857" max="14862" width="11.5546875" style="8" customWidth="1"/>
    <col min="14863" max="14867" width="9.109375" style="8"/>
    <col min="14868" max="14868" width="16.33203125" style="8" customWidth="1"/>
    <col min="14869" max="14870" width="12.88671875" style="8" customWidth="1"/>
    <col min="14871" max="15105" width="9.109375" style="8"/>
    <col min="15106" max="15107" width="12.109375" style="8" customWidth="1"/>
    <col min="15108" max="15109" width="8.6640625" style="8" customWidth="1"/>
    <col min="15110" max="15110" width="13.33203125" style="8" customWidth="1"/>
    <col min="15111" max="15111" width="9.109375" style="8"/>
    <col min="15112" max="15112" width="7.5546875" style="8" customWidth="1"/>
    <col min="15113" max="15118" width="11.5546875" style="8" customWidth="1"/>
    <col min="15119" max="15123" width="9.109375" style="8"/>
    <col min="15124" max="15124" width="16.33203125" style="8" customWidth="1"/>
    <col min="15125" max="15126" width="12.88671875" style="8" customWidth="1"/>
    <col min="15127" max="15361" width="9.109375" style="8"/>
    <col min="15362" max="15363" width="12.109375" style="8" customWidth="1"/>
    <col min="15364" max="15365" width="8.6640625" style="8" customWidth="1"/>
    <col min="15366" max="15366" width="13.33203125" style="8" customWidth="1"/>
    <col min="15367" max="15367" width="9.109375" style="8"/>
    <col min="15368" max="15368" width="7.5546875" style="8" customWidth="1"/>
    <col min="15369" max="15374" width="11.5546875" style="8" customWidth="1"/>
    <col min="15375" max="15379" width="9.109375" style="8"/>
    <col min="15380" max="15380" width="16.33203125" style="8" customWidth="1"/>
    <col min="15381" max="15382" width="12.88671875" style="8" customWidth="1"/>
    <col min="15383" max="15617" width="9.109375" style="8"/>
    <col min="15618" max="15619" width="12.109375" style="8" customWidth="1"/>
    <col min="15620" max="15621" width="8.6640625" style="8" customWidth="1"/>
    <col min="15622" max="15622" width="13.33203125" style="8" customWidth="1"/>
    <col min="15623" max="15623" width="9.109375" style="8"/>
    <col min="15624" max="15624" width="7.5546875" style="8" customWidth="1"/>
    <col min="15625" max="15630" width="11.5546875" style="8" customWidth="1"/>
    <col min="15631" max="15635" width="9.109375" style="8"/>
    <col min="15636" max="15636" width="16.33203125" style="8" customWidth="1"/>
    <col min="15637" max="15638" width="12.88671875" style="8" customWidth="1"/>
    <col min="15639" max="15873" width="9.109375" style="8"/>
    <col min="15874" max="15875" width="12.109375" style="8" customWidth="1"/>
    <col min="15876" max="15877" width="8.6640625" style="8" customWidth="1"/>
    <col min="15878" max="15878" width="13.33203125" style="8" customWidth="1"/>
    <col min="15879" max="15879" width="9.109375" style="8"/>
    <col min="15880" max="15880" width="7.5546875" style="8" customWidth="1"/>
    <col min="15881" max="15886" width="11.5546875" style="8" customWidth="1"/>
    <col min="15887" max="15891" width="9.109375" style="8"/>
    <col min="15892" max="15892" width="16.33203125" style="8" customWidth="1"/>
    <col min="15893" max="15894" width="12.88671875" style="8" customWidth="1"/>
    <col min="15895" max="16129" width="9.109375" style="8"/>
    <col min="16130" max="16131" width="12.109375" style="8" customWidth="1"/>
    <col min="16132" max="16133" width="8.6640625" style="8" customWidth="1"/>
    <col min="16134" max="16134" width="13.33203125" style="8" customWidth="1"/>
    <col min="16135" max="16135" width="9.109375" style="8"/>
    <col min="16136" max="16136" width="7.5546875" style="8" customWidth="1"/>
    <col min="16137" max="16142" width="11.5546875" style="8" customWidth="1"/>
    <col min="16143" max="16147" width="9.109375" style="8"/>
    <col min="16148" max="16148" width="16.33203125" style="8" customWidth="1"/>
    <col min="16149" max="16150" width="12.88671875" style="8" customWidth="1"/>
    <col min="16151" max="16384" width="9.109375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2"/>
      <c r="AI1" s="72"/>
      <c r="AJ1" s="72"/>
      <c r="AK1" s="72"/>
      <c r="AL1" s="72" t="s">
        <v>34</v>
      </c>
      <c r="AM1" s="72" t="s">
        <v>49</v>
      </c>
      <c r="AN1" s="72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39.75" customHeight="1" thickBot="1" x14ac:dyDescent="0.35">
      <c r="A2" s="10" t="s">
        <v>23</v>
      </c>
      <c r="B2" s="50" t="s">
        <v>34</v>
      </c>
      <c r="C2" s="51" t="s">
        <v>49</v>
      </c>
      <c r="D2" s="7"/>
      <c r="E2" s="12"/>
      <c r="F2" s="81" t="s">
        <v>24</v>
      </c>
      <c r="G2" s="88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"/>
      <c r="Z2" s="7"/>
      <c r="AA2" s="7"/>
      <c r="AB2" s="7"/>
      <c r="AC2" s="7"/>
      <c r="AD2" s="7"/>
      <c r="AE2" s="7"/>
      <c r="AF2" s="7"/>
      <c r="AG2" s="7"/>
      <c r="AH2" s="72">
        <v>-80</v>
      </c>
      <c r="AI2" s="72"/>
      <c r="AJ2" s="72"/>
      <c r="AK2" s="72">
        <v>-80</v>
      </c>
      <c r="AL2" s="72">
        <v>0</v>
      </c>
      <c r="AM2" s="72">
        <v>0</v>
      </c>
      <c r="AN2" s="72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52">
        <v>186.97684786546594</v>
      </c>
      <c r="C3" s="53">
        <v>230.04388512790513</v>
      </c>
      <c r="E3" s="17"/>
      <c r="F3" s="18">
        <v>10000</v>
      </c>
      <c r="G3" s="19" t="s">
        <v>25</v>
      </c>
      <c r="AH3" s="72">
        <v>-70</v>
      </c>
      <c r="AI3" s="72"/>
      <c r="AJ3" s="72"/>
      <c r="AK3" s="72">
        <v>-80</v>
      </c>
      <c r="AL3" s="72">
        <v>0</v>
      </c>
      <c r="AM3" s="72">
        <v>2</v>
      </c>
      <c r="AN3" s="72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52">
        <v>198.74432836435884</v>
      </c>
      <c r="C4" s="53">
        <v>196.81297313027162</v>
      </c>
      <c r="E4" s="17"/>
      <c r="F4" s="20">
        <v>8.9999995892867446</v>
      </c>
      <c r="G4" s="54" t="s">
        <v>35</v>
      </c>
      <c r="I4" s="89" t="s">
        <v>34</v>
      </c>
      <c r="J4" s="90"/>
      <c r="K4" s="91" t="s">
        <v>49</v>
      </c>
      <c r="L4" s="92"/>
      <c r="M4" s="86" t="s">
        <v>28</v>
      </c>
      <c r="N4" s="87"/>
      <c r="P4" s="73"/>
      <c r="AH4" s="72">
        <v>-60</v>
      </c>
      <c r="AI4" s="72"/>
      <c r="AJ4" s="72"/>
      <c r="AK4" s="72">
        <v>-70</v>
      </c>
      <c r="AL4" s="72">
        <v>0</v>
      </c>
      <c r="AM4" s="72">
        <v>2</v>
      </c>
      <c r="AN4" s="72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52">
        <v>177.99919511313232</v>
      </c>
      <c r="C5" s="53">
        <v>274.39876744617135</v>
      </c>
      <c r="E5" s="22"/>
      <c r="F5" s="23"/>
      <c r="G5" s="22"/>
      <c r="I5" s="55" t="s">
        <v>29</v>
      </c>
      <c r="J5" s="56">
        <v>199.42055783900628</v>
      </c>
      <c r="K5" s="57" t="s">
        <v>29</v>
      </c>
      <c r="L5" s="58">
        <v>198.78879659945716</v>
      </c>
      <c r="M5" s="28"/>
      <c r="N5" s="59"/>
      <c r="P5" s="73"/>
      <c r="AH5" s="72">
        <v>-50</v>
      </c>
      <c r="AI5" s="72"/>
      <c r="AJ5" s="72"/>
      <c r="AK5" s="72">
        <v>-70</v>
      </c>
      <c r="AL5" s="72">
        <v>0</v>
      </c>
      <c r="AM5" s="72">
        <v>1</v>
      </c>
      <c r="AN5" s="72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52">
        <v>220.0771715533042</v>
      </c>
      <c r="C6" s="53">
        <v>166.49989907004235</v>
      </c>
      <c r="I6" s="55" t="s">
        <v>30</v>
      </c>
      <c r="J6" s="60">
        <v>32.502272303029763</v>
      </c>
      <c r="K6" s="57" t="s">
        <v>30</v>
      </c>
      <c r="L6" s="61">
        <v>63.219769232787158</v>
      </c>
      <c r="M6" s="62"/>
      <c r="N6" s="63"/>
      <c r="AH6" s="72">
        <v>-40</v>
      </c>
      <c r="AI6" s="72"/>
      <c r="AJ6" s="72"/>
      <c r="AK6" s="72">
        <v>-60</v>
      </c>
      <c r="AL6" s="72">
        <v>0</v>
      </c>
      <c r="AM6" s="72">
        <v>1</v>
      </c>
      <c r="AN6" s="72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52">
        <v>216.70771911128827</v>
      </c>
      <c r="C7" s="53">
        <v>230.84656752802067</v>
      </c>
      <c r="F7" s="64"/>
      <c r="I7" s="55" t="s">
        <v>31</v>
      </c>
      <c r="J7" s="56">
        <v>329.24897670881865</v>
      </c>
      <c r="K7" s="57" t="s">
        <v>31</v>
      </c>
      <c r="L7" s="58">
        <v>538.27104185492158</v>
      </c>
      <c r="M7" s="17"/>
      <c r="N7" s="32"/>
      <c r="AH7" s="72">
        <v>-30</v>
      </c>
      <c r="AI7" s="72"/>
      <c r="AJ7" s="72"/>
      <c r="AK7" s="72">
        <v>-60</v>
      </c>
      <c r="AL7" s="72">
        <v>0</v>
      </c>
      <c r="AM7" s="72">
        <v>0</v>
      </c>
      <c r="AN7" s="72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52">
        <v>224.18481847293288</v>
      </c>
      <c r="C8" s="53">
        <v>210.9541528319624</v>
      </c>
      <c r="F8" s="64"/>
      <c r="I8" s="65" t="s">
        <v>32</v>
      </c>
      <c r="J8" s="66">
        <v>77.369835668606115</v>
      </c>
      <c r="K8" s="67" t="s">
        <v>32</v>
      </c>
      <c r="L8" s="68">
        <v>-77.388270499777192</v>
      </c>
      <c r="M8" s="43"/>
      <c r="N8" s="44"/>
      <c r="AH8" s="72">
        <v>-20</v>
      </c>
      <c r="AI8" s="72"/>
      <c r="AJ8" s="72"/>
      <c r="AK8" s="72">
        <v>-50</v>
      </c>
      <c r="AL8" s="72">
        <v>0</v>
      </c>
      <c r="AM8" s="72">
        <v>0</v>
      </c>
      <c r="AN8" s="72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52">
        <v>213.08491913829909</v>
      </c>
      <c r="C9" s="53">
        <v>262.10339355768235</v>
      </c>
      <c r="F9" s="64"/>
      <c r="I9" s="22"/>
      <c r="J9" s="45"/>
      <c r="K9" s="22"/>
      <c r="L9" s="22"/>
      <c r="M9" s="22"/>
      <c r="N9" s="22"/>
      <c r="AH9" s="72">
        <v>-10</v>
      </c>
      <c r="AI9" s="72"/>
      <c r="AJ9" s="72"/>
      <c r="AK9" s="72">
        <v>-50</v>
      </c>
      <c r="AL9" s="72">
        <v>0</v>
      </c>
      <c r="AM9" s="72">
        <v>2</v>
      </c>
      <c r="AN9" s="72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52">
        <v>235.56189651149606</v>
      </c>
      <c r="C10" s="53">
        <v>226.82796408942735</v>
      </c>
      <c r="F10" s="64"/>
      <c r="I10" s="17"/>
      <c r="J10" s="45"/>
      <c r="K10" s="22"/>
      <c r="L10" s="22"/>
      <c r="M10" s="22"/>
      <c r="N10" s="22"/>
      <c r="P10" s="73"/>
      <c r="AH10" s="72">
        <v>0</v>
      </c>
      <c r="AI10" s="72"/>
      <c r="AJ10" s="72"/>
      <c r="AK10" s="72">
        <v>-40</v>
      </c>
      <c r="AL10" s="72">
        <v>0</v>
      </c>
      <c r="AM10" s="72">
        <v>2</v>
      </c>
      <c r="AN10" s="72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52">
        <v>170.91569445769773</v>
      </c>
      <c r="C11" s="53">
        <v>1.9050229387514677</v>
      </c>
      <c r="I11" s="22"/>
      <c r="J11" s="45"/>
      <c r="K11" s="22"/>
      <c r="L11" s="22"/>
      <c r="M11" s="22"/>
      <c r="N11" s="22"/>
      <c r="P11" s="73"/>
      <c r="AH11" s="72">
        <v>10</v>
      </c>
      <c r="AI11" s="72"/>
      <c r="AJ11" s="72"/>
      <c r="AK11" s="72">
        <v>-40</v>
      </c>
      <c r="AL11" s="72">
        <v>0</v>
      </c>
      <c r="AM11" s="72">
        <v>5</v>
      </c>
      <c r="AN11" s="72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52">
        <v>178.21212115372714</v>
      </c>
      <c r="C12" s="53">
        <v>176.56619366917315</v>
      </c>
      <c r="I12" s="22"/>
      <c r="J12" s="22"/>
      <c r="K12" s="22"/>
      <c r="L12" s="22"/>
      <c r="M12" s="22"/>
      <c r="N12" s="22"/>
      <c r="P12" s="73"/>
      <c r="AH12" s="72">
        <v>20</v>
      </c>
      <c r="AI12" s="72"/>
      <c r="AJ12" s="72"/>
      <c r="AK12" s="72">
        <v>-30</v>
      </c>
      <c r="AL12" s="72">
        <v>0</v>
      </c>
      <c r="AM12" s="72">
        <v>5</v>
      </c>
      <c r="AN12" s="72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52">
        <v>166.58485942930236</v>
      </c>
      <c r="C13" s="53">
        <v>135.04361890693377</v>
      </c>
      <c r="I13" s="22"/>
      <c r="J13" s="22"/>
      <c r="K13" s="22"/>
      <c r="L13" s="22"/>
      <c r="M13" s="22"/>
      <c r="N13" s="22"/>
      <c r="AH13" s="72">
        <v>30</v>
      </c>
      <c r="AI13" s="72"/>
      <c r="AJ13" s="72"/>
      <c r="AK13" s="72">
        <v>-30</v>
      </c>
      <c r="AL13" s="72">
        <v>0</v>
      </c>
      <c r="AM13" s="72">
        <v>9</v>
      </c>
      <c r="AN13" s="72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52">
        <v>260.79884132052433</v>
      </c>
      <c r="C14" s="53">
        <v>228.33296320962836</v>
      </c>
      <c r="E14" s="74"/>
      <c r="I14" s="22"/>
      <c r="J14" s="22"/>
      <c r="K14" s="22"/>
      <c r="L14" s="22"/>
      <c r="M14" s="22"/>
      <c r="N14" s="22"/>
      <c r="AH14" s="72">
        <v>40</v>
      </c>
      <c r="AI14" s="72"/>
      <c r="AJ14" s="72"/>
      <c r="AK14" s="72">
        <v>-20</v>
      </c>
      <c r="AL14" s="72">
        <v>0</v>
      </c>
      <c r="AM14" s="72">
        <v>9</v>
      </c>
      <c r="AN14" s="72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52">
        <v>200.64976019102897</v>
      </c>
      <c r="C15" s="53">
        <v>210.36610040979224</v>
      </c>
      <c r="E15" s="74"/>
      <c r="I15" s="22"/>
      <c r="J15" s="22"/>
      <c r="K15" s="22"/>
      <c r="L15" s="22"/>
      <c r="M15" s="22"/>
      <c r="N15" s="22"/>
      <c r="AH15" s="72">
        <v>50</v>
      </c>
      <c r="AI15" s="72"/>
      <c r="AJ15" s="72"/>
      <c r="AK15" s="72">
        <v>-20</v>
      </c>
      <c r="AL15" s="72">
        <v>0</v>
      </c>
      <c r="AM15" s="72">
        <v>7</v>
      </c>
      <c r="AN15" s="72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52">
        <v>225.40398824482421</v>
      </c>
      <c r="C16" s="53">
        <v>201.50149869841667</v>
      </c>
      <c r="E16" s="74"/>
      <c r="I16" s="22"/>
      <c r="J16" s="22"/>
      <c r="K16" s="22"/>
      <c r="L16" s="22"/>
      <c r="M16" s="22"/>
      <c r="N16" s="22"/>
      <c r="AH16" s="72">
        <v>60</v>
      </c>
      <c r="AI16" s="72"/>
      <c r="AJ16" s="72"/>
      <c r="AK16" s="72">
        <v>-10</v>
      </c>
      <c r="AL16" s="72">
        <v>0</v>
      </c>
      <c r="AM16" s="72">
        <v>7</v>
      </c>
      <c r="AN16" s="72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52">
        <v>209.12516237116375</v>
      </c>
      <c r="C17" s="53">
        <v>190.2129923000719</v>
      </c>
      <c r="I17" s="22"/>
      <c r="J17" s="22"/>
      <c r="K17" s="22"/>
      <c r="L17" s="22"/>
      <c r="M17" s="22"/>
      <c r="N17" s="22"/>
      <c r="AH17" s="72">
        <v>70</v>
      </c>
      <c r="AI17" s="72"/>
      <c r="AJ17" s="72"/>
      <c r="AK17" s="72">
        <v>-10</v>
      </c>
      <c r="AL17" s="72">
        <v>0</v>
      </c>
      <c r="AM17" s="72">
        <v>5</v>
      </c>
      <c r="AN17" s="72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52">
        <v>186.75964896153283</v>
      </c>
      <c r="C18" s="53">
        <v>143.32706069230358</v>
      </c>
      <c r="I18" s="22"/>
      <c r="J18" s="22"/>
      <c r="K18" s="22"/>
      <c r="L18" s="22"/>
      <c r="M18" s="22"/>
      <c r="N18" s="22"/>
      <c r="AH18" s="72">
        <v>80</v>
      </c>
      <c r="AI18" s="72"/>
      <c r="AJ18" s="72"/>
      <c r="AK18" s="72">
        <v>0</v>
      </c>
      <c r="AL18" s="72">
        <v>0</v>
      </c>
      <c r="AM18" s="72">
        <v>5</v>
      </c>
      <c r="AN18" s="72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52">
        <v>183.75117431240315</v>
      </c>
      <c r="C19" s="53">
        <v>180.98819688847107</v>
      </c>
      <c r="F19" s="69">
        <v>1</v>
      </c>
      <c r="I19" s="22"/>
      <c r="J19" s="22"/>
      <c r="K19" s="22"/>
      <c r="L19" s="22"/>
      <c r="M19" s="22"/>
      <c r="N19" s="22"/>
      <c r="AH19" s="72">
        <v>90</v>
      </c>
      <c r="AI19" s="72"/>
      <c r="AJ19" s="72"/>
      <c r="AK19" s="72">
        <v>0</v>
      </c>
      <c r="AL19" s="72">
        <v>0</v>
      </c>
      <c r="AM19" s="72">
        <v>16</v>
      </c>
      <c r="AN19" s="72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52">
        <v>197.61801884666966</v>
      </c>
      <c r="C20" s="53">
        <v>201.94758028010401</v>
      </c>
      <c r="I20" s="22"/>
      <c r="J20" s="22"/>
      <c r="K20" s="22"/>
      <c r="L20" s="22"/>
      <c r="M20" s="22"/>
      <c r="N20" s="22"/>
      <c r="AH20" s="72">
        <v>100</v>
      </c>
      <c r="AI20" s="72"/>
      <c r="AJ20" s="72"/>
      <c r="AK20" s="72">
        <v>10</v>
      </c>
      <c r="AL20" s="72">
        <v>0</v>
      </c>
      <c r="AM20" s="72">
        <v>16</v>
      </c>
      <c r="AN20" s="72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52">
        <v>190.34720924347187</v>
      </c>
      <c r="C21" s="53">
        <v>155.10117828658238</v>
      </c>
      <c r="I21" s="22"/>
      <c r="J21" s="22"/>
      <c r="K21" s="22"/>
      <c r="L21" s="22"/>
      <c r="M21" s="22"/>
      <c r="N21" s="22"/>
      <c r="AH21" s="72">
        <v>110</v>
      </c>
      <c r="AI21" s="72"/>
      <c r="AJ21" s="72"/>
      <c r="AK21" s="72">
        <v>10</v>
      </c>
      <c r="AL21" s="72">
        <v>0</v>
      </c>
      <c r="AM21" s="72">
        <v>19</v>
      </c>
      <c r="AN21" s="72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52">
        <v>213.89981348633646</v>
      </c>
      <c r="C22" s="53">
        <v>178.29845107988055</v>
      </c>
      <c r="I22" s="22"/>
      <c r="J22" s="22"/>
      <c r="K22" s="22"/>
      <c r="L22" s="22"/>
      <c r="M22" s="22"/>
      <c r="N22" s="22"/>
      <c r="AH22" s="72">
        <v>120</v>
      </c>
      <c r="AI22" s="72"/>
      <c r="AJ22" s="72"/>
      <c r="AK22" s="72">
        <v>20</v>
      </c>
      <c r="AL22" s="72">
        <v>0</v>
      </c>
      <c r="AM22" s="72">
        <v>19</v>
      </c>
      <c r="AN22" s="72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52">
        <v>228.03466919233128</v>
      </c>
      <c r="C23" s="53">
        <v>166.68404344126853</v>
      </c>
      <c r="AH23" s="72">
        <v>130</v>
      </c>
      <c r="AI23" s="72"/>
      <c r="AJ23" s="72"/>
      <c r="AK23" s="72">
        <v>20</v>
      </c>
      <c r="AL23" s="72">
        <v>0</v>
      </c>
      <c r="AM23" s="72">
        <v>20</v>
      </c>
      <c r="AN23" s="72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52">
        <v>194.477556614874</v>
      </c>
      <c r="C24" s="53">
        <v>305.79783013459826</v>
      </c>
      <c r="I24" s="70"/>
      <c r="AH24" s="72">
        <v>140</v>
      </c>
      <c r="AI24" s="72"/>
      <c r="AJ24" s="72"/>
      <c r="AK24" s="72">
        <v>30</v>
      </c>
      <c r="AL24" s="72">
        <v>0</v>
      </c>
      <c r="AM24" s="72">
        <v>20</v>
      </c>
      <c r="AN24" s="72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52">
        <v>192.24834141689848</v>
      </c>
      <c r="C25" s="53">
        <v>160.62752990168659</v>
      </c>
      <c r="AH25" s="72">
        <v>150</v>
      </c>
      <c r="AI25" s="72"/>
      <c r="AJ25" s="72"/>
      <c r="AK25" s="72">
        <v>30</v>
      </c>
      <c r="AL25" s="72">
        <v>0</v>
      </c>
      <c r="AM25" s="72">
        <v>35</v>
      </c>
      <c r="AN25" s="72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52">
        <v>219.91865939818064</v>
      </c>
      <c r="C26" s="53">
        <v>148.09157190807738</v>
      </c>
      <c r="AH26" s="72">
        <v>160</v>
      </c>
      <c r="AI26" s="72"/>
      <c r="AJ26" s="72"/>
      <c r="AK26" s="72">
        <v>40</v>
      </c>
      <c r="AL26" s="72">
        <v>0</v>
      </c>
      <c r="AM26" s="72">
        <v>35</v>
      </c>
      <c r="AN26" s="72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52">
        <v>221.88928557199586</v>
      </c>
      <c r="C27" s="53">
        <v>123.38899099575322</v>
      </c>
      <c r="AH27" s="72">
        <v>170</v>
      </c>
      <c r="AI27" s="72"/>
      <c r="AJ27" s="72"/>
      <c r="AK27" s="72">
        <v>40</v>
      </c>
      <c r="AL27" s="72">
        <v>0</v>
      </c>
      <c r="AM27" s="72">
        <v>38</v>
      </c>
      <c r="AN27" s="72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52">
        <v>188.93437739238286</v>
      </c>
      <c r="C28" s="53">
        <v>145.88738919432265</v>
      </c>
      <c r="AH28" s="72">
        <v>180</v>
      </c>
      <c r="AI28" s="72"/>
      <c r="AJ28" s="72"/>
      <c r="AK28" s="72">
        <v>50</v>
      </c>
      <c r="AL28" s="72">
        <v>0</v>
      </c>
      <c r="AM28" s="72">
        <v>38</v>
      </c>
      <c r="AN28" s="72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52">
        <v>151.97065150799563</v>
      </c>
      <c r="C29" s="53">
        <v>136.97011290236523</v>
      </c>
      <c r="AH29" s="72">
        <v>190</v>
      </c>
      <c r="AI29" s="72"/>
      <c r="AJ29" s="72"/>
      <c r="AK29" s="72">
        <v>50</v>
      </c>
      <c r="AL29" s="72">
        <v>0</v>
      </c>
      <c r="AM29" s="72">
        <v>54</v>
      </c>
      <c r="AN29" s="72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52">
        <v>205.71070565740339</v>
      </c>
      <c r="C30" s="53">
        <v>168.49709054062302</v>
      </c>
      <c r="AH30" s="72">
        <v>200</v>
      </c>
      <c r="AI30" s="72"/>
      <c r="AJ30" s="72"/>
      <c r="AK30" s="72">
        <v>60</v>
      </c>
      <c r="AL30" s="72">
        <v>0</v>
      </c>
      <c r="AM30" s="72">
        <v>54</v>
      </c>
      <c r="AN30" s="72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52">
        <v>140.86296218874122</v>
      </c>
      <c r="C31" s="53">
        <v>71.557453395750329</v>
      </c>
      <c r="AH31" s="72">
        <v>210</v>
      </c>
      <c r="AI31" s="72"/>
      <c r="AJ31" s="72"/>
      <c r="AK31" s="72">
        <v>60</v>
      </c>
      <c r="AL31" s="72">
        <v>0</v>
      </c>
      <c r="AM31" s="72">
        <v>64</v>
      </c>
      <c r="AN31" s="72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52">
        <v>187.01643663620803</v>
      </c>
      <c r="C32" s="53">
        <v>139.48203815980216</v>
      </c>
      <c r="AH32" s="72">
        <v>220</v>
      </c>
      <c r="AI32" s="72"/>
      <c r="AJ32" s="72"/>
      <c r="AK32" s="72">
        <v>70</v>
      </c>
      <c r="AL32" s="72">
        <v>0</v>
      </c>
      <c r="AM32" s="72">
        <v>64</v>
      </c>
      <c r="AN32" s="72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52">
        <v>232.91792549895092</v>
      </c>
      <c r="C33" s="53">
        <v>205.66884967485058</v>
      </c>
      <c r="AH33" s="72">
        <v>230</v>
      </c>
      <c r="AI33" s="72"/>
      <c r="AJ33" s="72"/>
      <c r="AK33" s="72">
        <v>70</v>
      </c>
      <c r="AL33" s="72">
        <v>1</v>
      </c>
      <c r="AM33" s="72">
        <v>64</v>
      </c>
      <c r="AN33" s="72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52">
        <v>221.79342779478355</v>
      </c>
      <c r="C34" s="53">
        <v>211.52262289409555</v>
      </c>
      <c r="AH34" s="72">
        <v>240</v>
      </c>
      <c r="AI34" s="72"/>
      <c r="AJ34" s="72"/>
      <c r="AK34" s="72">
        <v>80</v>
      </c>
      <c r="AL34" s="72">
        <v>1</v>
      </c>
      <c r="AM34" s="72">
        <v>64</v>
      </c>
      <c r="AN34" s="72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52">
        <v>174.10491412412543</v>
      </c>
      <c r="C35" s="53">
        <v>174.26762108100459</v>
      </c>
      <c r="AH35" s="72">
        <v>250</v>
      </c>
      <c r="AI35" s="72"/>
      <c r="AJ35" s="72"/>
      <c r="AK35" s="72">
        <v>80</v>
      </c>
      <c r="AL35" s="72">
        <v>5</v>
      </c>
      <c r="AM35" s="72">
        <v>91</v>
      </c>
      <c r="AN35" s="72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52">
        <v>208.47426400014771</v>
      </c>
      <c r="C36" s="53">
        <v>196.11938267266916</v>
      </c>
      <c r="AH36" s="72">
        <v>260</v>
      </c>
      <c r="AI36" s="72"/>
      <c r="AJ36" s="72"/>
      <c r="AK36" s="72">
        <v>90</v>
      </c>
      <c r="AL36" s="72">
        <v>5</v>
      </c>
      <c r="AM36" s="72">
        <v>91</v>
      </c>
      <c r="AN36" s="72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52">
        <v>195.52923445145632</v>
      </c>
      <c r="C37" s="53">
        <v>132.65752750540719</v>
      </c>
      <c r="AH37" s="72">
        <v>270</v>
      </c>
      <c r="AI37" s="72"/>
      <c r="AJ37" s="72"/>
      <c r="AK37" s="72">
        <v>90</v>
      </c>
      <c r="AL37" s="72">
        <v>5</v>
      </c>
      <c r="AM37" s="72">
        <v>142</v>
      </c>
      <c r="AN37" s="72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52">
        <v>198.92347082535088</v>
      </c>
      <c r="C38" s="53">
        <v>192.41544213244305</v>
      </c>
      <c r="AH38" s="72">
        <v>280</v>
      </c>
      <c r="AI38" s="72"/>
      <c r="AJ38" s="72"/>
      <c r="AK38" s="72">
        <v>100</v>
      </c>
      <c r="AL38" s="72">
        <v>5</v>
      </c>
      <c r="AM38" s="72">
        <v>142</v>
      </c>
      <c r="AN38" s="72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52">
        <v>221.97592531171142</v>
      </c>
      <c r="C39" s="53">
        <v>255.55563559595294</v>
      </c>
      <c r="AH39" s="72">
        <v>290</v>
      </c>
      <c r="AI39" s="72"/>
      <c r="AJ39" s="72"/>
      <c r="AK39" s="72">
        <v>100</v>
      </c>
      <c r="AL39" s="72">
        <v>24</v>
      </c>
      <c r="AM39" s="72">
        <v>140</v>
      </c>
      <c r="AN39" s="72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52">
        <v>188.98302212627519</v>
      </c>
      <c r="C40" s="53">
        <v>191.86854084923633</v>
      </c>
      <c r="AH40" s="72">
        <v>300</v>
      </c>
      <c r="AI40" s="72"/>
      <c r="AJ40" s="72"/>
      <c r="AK40" s="72">
        <v>110</v>
      </c>
      <c r="AL40" s="72">
        <v>24</v>
      </c>
      <c r="AM40" s="72">
        <v>140</v>
      </c>
      <c r="AN40" s="72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52">
        <v>183.20158342689876</v>
      </c>
      <c r="C41" s="53">
        <v>154.69115300750755</v>
      </c>
      <c r="AH41" s="72">
        <v>310</v>
      </c>
      <c r="AI41" s="72"/>
      <c r="AJ41" s="72"/>
      <c r="AK41" s="72">
        <v>110</v>
      </c>
      <c r="AL41" s="72">
        <v>44</v>
      </c>
      <c r="AM41" s="72">
        <v>221</v>
      </c>
      <c r="AN41" s="72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52">
        <v>197.76046262075587</v>
      </c>
      <c r="C42" s="53">
        <v>144.44681913435485</v>
      </c>
      <c r="AH42" s="72">
        <v>320</v>
      </c>
      <c r="AI42" s="72"/>
      <c r="AJ42" s="72"/>
      <c r="AK42" s="72">
        <v>120</v>
      </c>
      <c r="AL42" s="72">
        <v>44</v>
      </c>
      <c r="AM42" s="72">
        <v>221</v>
      </c>
      <c r="AN42" s="72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52">
        <v>241.10547145175678</v>
      </c>
      <c r="C43" s="53">
        <v>440.8385113013681</v>
      </c>
      <c r="AH43" s="72">
        <v>330</v>
      </c>
      <c r="AI43" s="72"/>
      <c r="AJ43" s="72"/>
      <c r="AK43" s="72">
        <v>120</v>
      </c>
      <c r="AL43" s="72">
        <v>89</v>
      </c>
      <c r="AM43" s="72">
        <v>273</v>
      </c>
      <c r="AN43" s="72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52">
        <v>201.6297817640735</v>
      </c>
      <c r="C44" s="53">
        <v>174.36607568878901</v>
      </c>
      <c r="AH44" s="72"/>
      <c r="AI44" s="72"/>
      <c r="AJ44" s="72"/>
      <c r="AK44" s="72">
        <v>130</v>
      </c>
      <c r="AL44" s="72">
        <v>89</v>
      </c>
      <c r="AM44" s="72">
        <v>273</v>
      </c>
      <c r="AN44" s="72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52">
        <v>245.02009816638716</v>
      </c>
      <c r="C45" s="53">
        <v>233.43870550333895</v>
      </c>
      <c r="AH45" s="72"/>
      <c r="AI45" s="72"/>
      <c r="AJ45" s="72"/>
      <c r="AK45" s="72">
        <v>130</v>
      </c>
      <c r="AL45" s="72">
        <v>172</v>
      </c>
      <c r="AM45" s="72">
        <v>322</v>
      </c>
      <c r="AN45" s="72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52">
        <v>221.885701548269</v>
      </c>
      <c r="C46" s="53">
        <v>143.94467039245058</v>
      </c>
      <c r="I46" s="70"/>
      <c r="AH46" s="72"/>
      <c r="AI46" s="72"/>
      <c r="AJ46" s="72"/>
      <c r="AK46" s="72">
        <v>140</v>
      </c>
      <c r="AL46" s="72">
        <v>172</v>
      </c>
      <c r="AM46" s="72">
        <v>322</v>
      </c>
      <c r="AN46" s="72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52">
        <v>178.18176792382877</v>
      </c>
      <c r="C47" s="53">
        <v>110.181934928581</v>
      </c>
      <c r="AH47" s="72"/>
      <c r="AI47" s="72"/>
      <c r="AJ47" s="72"/>
      <c r="AK47" s="72">
        <v>140</v>
      </c>
      <c r="AL47" s="72">
        <v>285</v>
      </c>
      <c r="AM47" s="72">
        <v>423</v>
      </c>
      <c r="AN47" s="72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52">
        <v>154.39201855107905</v>
      </c>
      <c r="C48" s="53">
        <v>102.37783057154266</v>
      </c>
      <c r="AH48" s="72"/>
      <c r="AI48" s="72"/>
      <c r="AJ48" s="72"/>
      <c r="AK48" s="72">
        <v>150</v>
      </c>
      <c r="AL48" s="72">
        <v>285</v>
      </c>
      <c r="AM48" s="72">
        <v>423</v>
      </c>
      <c r="AN48" s="72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52">
        <v>172.53684900932882</v>
      </c>
      <c r="C49" s="53">
        <v>295.50591904209944</v>
      </c>
      <c r="AH49" s="72"/>
      <c r="AI49" s="72"/>
      <c r="AJ49" s="72"/>
      <c r="AK49" s="72">
        <v>150</v>
      </c>
      <c r="AL49" s="72">
        <v>506</v>
      </c>
      <c r="AM49" s="72">
        <v>477</v>
      </c>
      <c r="AN49" s="72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52">
        <v>222.47385797661025</v>
      </c>
      <c r="C50" s="53">
        <v>258.62150765366687</v>
      </c>
      <c r="AH50" s="72"/>
      <c r="AI50" s="72"/>
      <c r="AJ50" s="72"/>
      <c r="AK50" s="72">
        <v>160</v>
      </c>
      <c r="AL50" s="72">
        <v>506</v>
      </c>
      <c r="AM50" s="72">
        <v>477</v>
      </c>
      <c r="AN50" s="72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52">
        <v>156.83709097246856</v>
      </c>
      <c r="C51" s="53">
        <v>186.70528701547437</v>
      </c>
      <c r="AH51" s="72"/>
      <c r="AI51" s="72"/>
      <c r="AJ51" s="72"/>
      <c r="AK51" s="72">
        <v>160</v>
      </c>
      <c r="AL51" s="72">
        <v>695</v>
      </c>
      <c r="AM51" s="72">
        <v>576</v>
      </c>
      <c r="AN51" s="72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52">
        <v>240.95478118981276</v>
      </c>
      <c r="C52" s="53">
        <v>229.59576739422948</v>
      </c>
      <c r="AH52" s="72"/>
      <c r="AI52" s="72"/>
      <c r="AJ52" s="72"/>
      <c r="AK52" s="72">
        <v>170</v>
      </c>
      <c r="AL52" s="72">
        <v>695</v>
      </c>
      <c r="AM52" s="72">
        <v>576</v>
      </c>
      <c r="AN52" s="72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52">
        <v>218.44939479822239</v>
      </c>
      <c r="C53" s="53">
        <v>233.68103617847012</v>
      </c>
      <c r="AH53" s="72"/>
      <c r="AI53" s="72"/>
      <c r="AJ53" s="72"/>
      <c r="AK53" s="72">
        <v>170</v>
      </c>
      <c r="AL53" s="72">
        <v>914</v>
      </c>
      <c r="AM53" s="72">
        <v>661</v>
      </c>
      <c r="AN53" s="72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52">
        <v>219.90306417253007</v>
      </c>
      <c r="C54" s="53">
        <v>243.2441546946126</v>
      </c>
      <c r="AH54" s="72"/>
      <c r="AI54" s="72"/>
      <c r="AJ54" s="72"/>
      <c r="AK54" s="72">
        <v>180</v>
      </c>
      <c r="AL54" s="72">
        <v>914</v>
      </c>
      <c r="AM54" s="72">
        <v>661</v>
      </c>
      <c r="AN54" s="72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52">
        <v>183.67977821616591</v>
      </c>
      <c r="C55" s="53">
        <v>174.46881404168292</v>
      </c>
      <c r="AH55" s="72"/>
      <c r="AI55" s="72"/>
      <c r="AJ55" s="72"/>
      <c r="AK55" s="72">
        <v>180</v>
      </c>
      <c r="AL55" s="72">
        <v>1125</v>
      </c>
      <c r="AM55" s="72">
        <v>700</v>
      </c>
      <c r="AN55" s="72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52">
        <v>175.27829046983805</v>
      </c>
      <c r="C56" s="53">
        <v>127.49953998377386</v>
      </c>
      <c r="AH56" s="72"/>
      <c r="AI56" s="72"/>
      <c r="AJ56" s="72"/>
      <c r="AK56" s="72">
        <v>190</v>
      </c>
      <c r="AL56" s="72">
        <v>1125</v>
      </c>
      <c r="AM56" s="72">
        <v>700</v>
      </c>
      <c r="AN56" s="72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52">
        <v>246.24481230802871</v>
      </c>
      <c r="C57" s="53">
        <v>274.11900709755713</v>
      </c>
      <c r="AH57" s="72"/>
      <c r="AI57" s="72"/>
      <c r="AJ57" s="72"/>
      <c r="AK57" s="72">
        <v>190</v>
      </c>
      <c r="AL57" s="72">
        <v>1213</v>
      </c>
      <c r="AM57" s="72">
        <v>759</v>
      </c>
      <c r="AN57" s="72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52">
        <v>177.311174783404</v>
      </c>
      <c r="C58" s="53">
        <v>194.35437081888068</v>
      </c>
      <c r="AH58" s="72"/>
      <c r="AI58" s="72"/>
      <c r="AJ58" s="72"/>
      <c r="AK58" s="72">
        <v>200</v>
      </c>
      <c r="AL58" s="72">
        <v>1213</v>
      </c>
      <c r="AM58" s="72">
        <v>759</v>
      </c>
      <c r="AN58" s="72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52">
        <v>198.79373209255996</v>
      </c>
      <c r="C59" s="53">
        <v>140.31135260238179</v>
      </c>
      <c r="AH59" s="72"/>
      <c r="AI59" s="72"/>
      <c r="AJ59" s="72"/>
      <c r="AK59" s="72">
        <v>200</v>
      </c>
      <c r="AL59" s="72">
        <v>1168</v>
      </c>
      <c r="AM59" s="72">
        <v>661</v>
      </c>
      <c r="AN59" s="72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52">
        <v>197.86194165234502</v>
      </c>
      <c r="C60" s="53">
        <v>167.43324453037869</v>
      </c>
      <c r="AH60" s="72"/>
      <c r="AI60" s="72"/>
      <c r="AJ60" s="72"/>
      <c r="AK60" s="72">
        <v>210</v>
      </c>
      <c r="AL60" s="72">
        <v>1168</v>
      </c>
      <c r="AM60" s="72">
        <v>661</v>
      </c>
      <c r="AN60" s="72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52">
        <v>195.0094553593419</v>
      </c>
      <c r="C61" s="53">
        <v>148.0850491895703</v>
      </c>
      <c r="AH61" s="72"/>
      <c r="AI61" s="72"/>
      <c r="AJ61" s="72"/>
      <c r="AK61" s="72">
        <v>210</v>
      </c>
      <c r="AL61" s="72">
        <v>1154</v>
      </c>
      <c r="AM61" s="72">
        <v>660</v>
      </c>
      <c r="AN61" s="72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52">
        <v>237.66897129420823</v>
      </c>
      <c r="C62" s="53">
        <v>196.57783730294474</v>
      </c>
      <c r="AH62" s="72"/>
      <c r="AI62" s="72"/>
      <c r="AJ62" s="72"/>
      <c r="AK62" s="72">
        <v>220</v>
      </c>
      <c r="AL62" s="72">
        <v>1154</v>
      </c>
      <c r="AM62" s="72">
        <v>660</v>
      </c>
      <c r="AN62" s="72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52">
        <v>175.11238997410555</v>
      </c>
      <c r="C63" s="53">
        <v>72.407719450725523</v>
      </c>
      <c r="AH63" s="72"/>
      <c r="AI63" s="72"/>
      <c r="AJ63" s="72"/>
      <c r="AK63" s="72">
        <v>220</v>
      </c>
      <c r="AL63" s="72">
        <v>871</v>
      </c>
      <c r="AM63" s="72">
        <v>609</v>
      </c>
      <c r="AN63" s="72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52">
        <v>216.83976887660452</v>
      </c>
      <c r="C64" s="53">
        <v>183.06613391149014</v>
      </c>
      <c r="AH64" s="72"/>
      <c r="AI64" s="72"/>
      <c r="AJ64" s="72"/>
      <c r="AK64" s="72">
        <v>230</v>
      </c>
      <c r="AL64" s="72">
        <v>871</v>
      </c>
      <c r="AM64" s="72">
        <v>609</v>
      </c>
      <c r="AN64" s="72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52">
        <v>221.36692484196303</v>
      </c>
      <c r="C65" s="53">
        <v>207.01759309616605</v>
      </c>
      <c r="AH65" s="72"/>
      <c r="AI65" s="72"/>
      <c r="AJ65" s="72"/>
      <c r="AK65" s="72">
        <v>230</v>
      </c>
      <c r="AL65" s="72">
        <v>676</v>
      </c>
      <c r="AM65" s="72">
        <v>590</v>
      </c>
      <c r="AN65" s="72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52">
        <v>213.69095571734684</v>
      </c>
      <c r="C66" s="53">
        <v>126.62081286025773</v>
      </c>
      <c r="AH66" s="72"/>
      <c r="AI66" s="72"/>
      <c r="AJ66" s="72"/>
      <c r="AK66" s="72">
        <v>240</v>
      </c>
      <c r="AL66" s="72">
        <v>676</v>
      </c>
      <c r="AM66" s="72">
        <v>590</v>
      </c>
      <c r="AN66" s="72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52">
        <v>228.86870104450838</v>
      </c>
      <c r="C67" s="53">
        <v>114.22571681473525</v>
      </c>
      <c r="AH67" s="72"/>
      <c r="AI67" s="72"/>
      <c r="AJ67" s="72"/>
      <c r="AK67" s="72">
        <v>240</v>
      </c>
      <c r="AL67" s="72">
        <v>461</v>
      </c>
      <c r="AM67" s="72">
        <v>494</v>
      </c>
      <c r="AN67" s="72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52">
        <v>190.36037860759473</v>
      </c>
      <c r="C68" s="53">
        <v>200.45288384505622</v>
      </c>
      <c r="AK68" s="7">
        <v>250</v>
      </c>
      <c r="AL68" s="7">
        <v>461</v>
      </c>
      <c r="AM68" s="7">
        <v>494</v>
      </c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52">
        <v>131.20812862314222</v>
      </c>
      <c r="C69" s="53">
        <v>177.83975298232573</v>
      </c>
      <c r="AK69" s="7">
        <v>250</v>
      </c>
      <c r="AL69" s="7">
        <v>278</v>
      </c>
      <c r="AM69" s="7">
        <v>410</v>
      </c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52">
        <v>191.44549842701659</v>
      </c>
      <c r="C70" s="53">
        <v>192.34223451569525</v>
      </c>
      <c r="AK70" s="7">
        <v>260</v>
      </c>
      <c r="AL70" s="7">
        <v>278</v>
      </c>
      <c r="AM70" s="7">
        <v>410</v>
      </c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52">
        <v>159.46879423909377</v>
      </c>
      <c r="C71" s="53">
        <v>125.50482035379758</v>
      </c>
      <c r="AK71" s="7">
        <v>260</v>
      </c>
      <c r="AL71" s="7">
        <v>165</v>
      </c>
      <c r="AM71" s="7">
        <v>320</v>
      </c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52">
        <v>209.73901834871813</v>
      </c>
      <c r="C72" s="53">
        <v>278.81735269644093</v>
      </c>
      <c r="AK72" s="7">
        <v>270</v>
      </c>
      <c r="AL72" s="7">
        <v>165</v>
      </c>
      <c r="AM72" s="7">
        <v>320</v>
      </c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52">
        <v>180.10850182407711</v>
      </c>
      <c r="C73" s="53">
        <v>11.825794568696256</v>
      </c>
      <c r="AK73" s="7">
        <v>270</v>
      </c>
      <c r="AL73" s="7">
        <v>84</v>
      </c>
      <c r="AM73" s="7">
        <v>282</v>
      </c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52">
        <v>216.46899979018207</v>
      </c>
      <c r="C74" s="53">
        <v>288.06980095552655</v>
      </c>
      <c r="AK74" s="7">
        <v>280</v>
      </c>
      <c r="AL74" s="7">
        <v>84</v>
      </c>
      <c r="AM74" s="7">
        <v>282</v>
      </c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52">
        <v>173.11165603424945</v>
      </c>
      <c r="C75" s="53">
        <v>176.26547983272783</v>
      </c>
      <c r="AK75" s="7">
        <v>280</v>
      </c>
      <c r="AL75" s="7">
        <v>42</v>
      </c>
      <c r="AM75" s="7">
        <v>190</v>
      </c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52">
        <v>236.60202971158284</v>
      </c>
      <c r="C76" s="53">
        <v>150.55241202612427</v>
      </c>
      <c r="AK76" s="7">
        <v>290</v>
      </c>
      <c r="AL76" s="7">
        <v>42</v>
      </c>
      <c r="AM76" s="7">
        <v>190</v>
      </c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52">
        <v>228.51294841045276</v>
      </c>
      <c r="C77" s="53">
        <v>152.56453767530186</v>
      </c>
      <c r="AK77" s="7">
        <v>290</v>
      </c>
      <c r="AL77" s="7">
        <v>15</v>
      </c>
      <c r="AM77" s="7">
        <v>151</v>
      </c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52">
        <v>167.77505020872798</v>
      </c>
      <c r="C78" s="53">
        <v>150.64384392839338</v>
      </c>
      <c r="AK78" s="7">
        <v>300</v>
      </c>
      <c r="AL78" s="7">
        <v>15</v>
      </c>
      <c r="AM78" s="7">
        <v>151</v>
      </c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52">
        <v>214.11793966139621</v>
      </c>
      <c r="C79" s="53">
        <v>249.98634983904958</v>
      </c>
      <c r="AK79" s="7">
        <v>300</v>
      </c>
      <c r="AL79" s="7">
        <v>6</v>
      </c>
      <c r="AM79" s="7">
        <v>118</v>
      </c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52">
        <v>189.15636537140247</v>
      </c>
      <c r="C80" s="53">
        <v>43.127631136621346</v>
      </c>
      <c r="AK80" s="7">
        <v>310</v>
      </c>
      <c r="AL80" s="7">
        <v>6</v>
      </c>
      <c r="AM80" s="7">
        <v>118</v>
      </c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52">
        <v>190.325348132074</v>
      </c>
      <c r="C81" s="53">
        <v>245.18751208721724</v>
      </c>
      <c r="AK81" s="7">
        <v>310</v>
      </c>
      <c r="AL81" s="7">
        <v>0</v>
      </c>
      <c r="AM81" s="7">
        <v>88</v>
      </c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52">
        <v>200.2809714040655</v>
      </c>
      <c r="C82" s="53">
        <v>220.0808426846969</v>
      </c>
      <c r="AK82" s="7">
        <v>320</v>
      </c>
      <c r="AL82" s="7">
        <v>0</v>
      </c>
      <c r="AM82" s="7">
        <v>88</v>
      </c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52">
        <v>224.11669327367485</v>
      </c>
      <c r="C83" s="53">
        <v>291.30172787333868</v>
      </c>
      <c r="AK83" s="7">
        <v>320</v>
      </c>
      <c r="AL83" s="7">
        <v>2</v>
      </c>
      <c r="AM83" s="7">
        <v>57</v>
      </c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52">
        <v>202.33670401865606</v>
      </c>
      <c r="C84" s="53">
        <v>330.54953721931037</v>
      </c>
      <c r="AK84" s="7">
        <v>330</v>
      </c>
      <c r="AL84" s="7">
        <v>2</v>
      </c>
      <c r="AM84" s="7">
        <v>57</v>
      </c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52">
        <v>119.87036283314427</v>
      </c>
      <c r="C85" s="53">
        <v>139.81272828710846</v>
      </c>
      <c r="AK85" s="7">
        <v>330</v>
      </c>
      <c r="AL85" s="7">
        <v>0</v>
      </c>
      <c r="AM85" s="7">
        <v>62</v>
      </c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52">
        <v>186.3449466206751</v>
      </c>
      <c r="C86" s="53">
        <v>177.16633713196276</v>
      </c>
      <c r="AK86" s="7">
        <v>340</v>
      </c>
      <c r="AM86" s="7">
        <v>62</v>
      </c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52">
        <v>218.5240393742375</v>
      </c>
      <c r="C87" s="53">
        <v>212.59577580476059</v>
      </c>
      <c r="AK87" s="7">
        <v>340</v>
      </c>
      <c r="AM87" s="7">
        <v>51</v>
      </c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52">
        <v>138.76175547255778</v>
      </c>
      <c r="C88" s="53">
        <v>-77.388270499777192</v>
      </c>
      <c r="AK88" s="7">
        <v>350</v>
      </c>
      <c r="AM88" s="7">
        <v>51</v>
      </c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52">
        <v>162.26011657910524</v>
      </c>
      <c r="C89" s="53">
        <v>118.48454703858479</v>
      </c>
      <c r="AK89" s="7">
        <v>350</v>
      </c>
      <c r="AM89" s="7">
        <v>30</v>
      </c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52">
        <v>264.88370113892302</v>
      </c>
      <c r="C90" s="53">
        <v>214.67817683549038</v>
      </c>
      <c r="AK90" s="7">
        <v>360</v>
      </c>
      <c r="AM90" s="7">
        <v>30</v>
      </c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52">
        <v>137.31848189176924</v>
      </c>
      <c r="C91" s="53">
        <v>109.90056752439344</v>
      </c>
      <c r="AK91" s="7">
        <v>360</v>
      </c>
      <c r="AM91" s="7">
        <v>21</v>
      </c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52">
        <v>200.00396849607418</v>
      </c>
      <c r="C92" s="53">
        <v>11.419498740307946</v>
      </c>
      <c r="AK92" s="7">
        <v>370</v>
      </c>
      <c r="AM92" s="7">
        <v>21</v>
      </c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52">
        <v>152.57105690235707</v>
      </c>
      <c r="C93" s="53">
        <v>-1.1369193357893339</v>
      </c>
      <c r="AK93" s="7">
        <v>370</v>
      </c>
      <c r="AM93" s="7">
        <v>25</v>
      </c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52">
        <v>221.70776100126795</v>
      </c>
      <c r="C94" s="53">
        <v>55.914797585653623</v>
      </c>
      <c r="AK94" s="7">
        <v>380</v>
      </c>
      <c r="AM94" s="7">
        <v>25</v>
      </c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52">
        <v>206.99562981367382</v>
      </c>
      <c r="C95" s="53">
        <v>204.06170384593884</v>
      </c>
      <c r="AK95" s="7">
        <v>380</v>
      </c>
      <c r="AM95" s="7">
        <v>13</v>
      </c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52">
        <v>172.24400489667443</v>
      </c>
      <c r="C96" s="53">
        <v>250.49704032372821</v>
      </c>
      <c r="AK96" s="7">
        <v>390</v>
      </c>
      <c r="AM96" s="7">
        <v>13</v>
      </c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52">
        <v>214.32987507111514</v>
      </c>
      <c r="C97" s="53">
        <v>260.74128256757911</v>
      </c>
      <c r="AK97" s="7">
        <v>390</v>
      </c>
      <c r="AM97" s="7">
        <v>14</v>
      </c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52">
        <v>247.42133103202181</v>
      </c>
      <c r="C98" s="53">
        <v>256.60691009402979</v>
      </c>
      <c r="AK98" s="7">
        <v>400</v>
      </c>
      <c r="AM98" s="7">
        <v>14</v>
      </c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52">
        <v>223.50675286855434</v>
      </c>
      <c r="C99" s="53">
        <v>265.50502447873288</v>
      </c>
      <c r="AK99" s="7">
        <v>400</v>
      </c>
      <c r="AM99" s="7">
        <v>8</v>
      </c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52">
        <v>193.6678699589425</v>
      </c>
      <c r="C100" s="53">
        <v>293.76848119692306</v>
      </c>
      <c r="AK100" s="7">
        <v>410</v>
      </c>
      <c r="AM100" s="7">
        <v>8</v>
      </c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52">
        <v>258.46730448017195</v>
      </c>
      <c r="C101" s="53">
        <v>293.00111118501889</v>
      </c>
      <c r="AK101" s="7">
        <v>410</v>
      </c>
      <c r="AM101" s="7">
        <v>5</v>
      </c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52">
        <v>238.58497658632294</v>
      </c>
      <c r="C102" s="53">
        <v>296.89544919737602</v>
      </c>
      <c r="AK102" s="7">
        <v>420</v>
      </c>
      <c r="AM102" s="7">
        <v>5</v>
      </c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  <c r="AK103" s="7">
        <v>420</v>
      </c>
      <c r="AM103" s="7">
        <v>3</v>
      </c>
    </row>
    <row r="104" spans="1:66" x14ac:dyDescent="0.3">
      <c r="AK104" s="7">
        <v>430</v>
      </c>
      <c r="AM104" s="7">
        <v>3</v>
      </c>
    </row>
    <row r="105" spans="1:66" x14ac:dyDescent="0.3">
      <c r="AK105" s="7">
        <v>430</v>
      </c>
      <c r="AM105" s="7">
        <v>0</v>
      </c>
    </row>
    <row r="106" spans="1:66" x14ac:dyDescent="0.3">
      <c r="AK106" s="7">
        <v>440</v>
      </c>
      <c r="AM106" s="7">
        <v>0</v>
      </c>
    </row>
    <row r="107" spans="1:66" x14ac:dyDescent="0.3">
      <c r="AK107" s="7">
        <v>440</v>
      </c>
      <c r="AM107" s="7">
        <v>4</v>
      </c>
    </row>
    <row r="108" spans="1:66" x14ac:dyDescent="0.3">
      <c r="AK108" s="7">
        <v>450</v>
      </c>
      <c r="AM108" s="7">
        <v>4</v>
      </c>
    </row>
    <row r="109" spans="1:66" x14ac:dyDescent="0.3">
      <c r="AK109" s="7">
        <v>450</v>
      </c>
      <c r="AM109" s="7">
        <v>1</v>
      </c>
    </row>
    <row r="110" spans="1:66" x14ac:dyDescent="0.3">
      <c r="AK110" s="7">
        <v>460</v>
      </c>
      <c r="AM110" s="7">
        <v>1</v>
      </c>
    </row>
    <row r="111" spans="1:66" x14ac:dyDescent="0.3">
      <c r="AK111" s="7">
        <v>460</v>
      </c>
      <c r="AM111" s="7">
        <v>3</v>
      </c>
    </row>
    <row r="112" spans="1:66" x14ac:dyDescent="0.3">
      <c r="AK112" s="7">
        <v>470</v>
      </c>
      <c r="AM112" s="7">
        <v>3</v>
      </c>
    </row>
    <row r="113" spans="37:39" x14ac:dyDescent="0.3">
      <c r="AK113" s="7">
        <v>470</v>
      </c>
      <c r="AM113" s="7">
        <v>1</v>
      </c>
    </row>
    <row r="114" spans="37:39" x14ac:dyDescent="0.3">
      <c r="AK114" s="7">
        <v>480</v>
      </c>
      <c r="AM114" s="7">
        <v>1</v>
      </c>
    </row>
    <row r="115" spans="37:39" x14ac:dyDescent="0.3">
      <c r="AK115" s="7">
        <v>480</v>
      </c>
      <c r="AM115" s="7">
        <v>1</v>
      </c>
    </row>
    <row r="116" spans="37:39" x14ac:dyDescent="0.3">
      <c r="AK116" s="7">
        <v>490</v>
      </c>
      <c r="AM116" s="7">
        <v>1</v>
      </c>
    </row>
    <row r="117" spans="37:39" x14ac:dyDescent="0.3">
      <c r="AK117" s="7">
        <v>490</v>
      </c>
      <c r="AM117" s="7">
        <v>1</v>
      </c>
    </row>
    <row r="118" spans="37:39" x14ac:dyDescent="0.3">
      <c r="AK118" s="7">
        <v>500</v>
      </c>
      <c r="AM118" s="7">
        <v>1</v>
      </c>
    </row>
    <row r="119" spans="37:39" x14ac:dyDescent="0.3">
      <c r="AK119" s="7">
        <v>500</v>
      </c>
      <c r="AM119" s="7">
        <v>0</v>
      </c>
    </row>
    <row r="120" spans="37:39" x14ac:dyDescent="0.3">
      <c r="AK120" s="7">
        <v>510</v>
      </c>
      <c r="AM120" s="7">
        <v>0</v>
      </c>
    </row>
    <row r="121" spans="37:39" x14ac:dyDescent="0.3">
      <c r="AK121" s="7">
        <v>510</v>
      </c>
      <c r="AM121" s="7">
        <v>0</v>
      </c>
    </row>
    <row r="122" spans="37:39" x14ac:dyDescent="0.3">
      <c r="AK122" s="7">
        <v>520</v>
      </c>
      <c r="AM122" s="7">
        <v>0</v>
      </c>
    </row>
    <row r="123" spans="37:39" x14ac:dyDescent="0.3">
      <c r="AK123" s="7">
        <v>520</v>
      </c>
      <c r="AM123" s="7">
        <v>0</v>
      </c>
    </row>
    <row r="124" spans="37:39" x14ac:dyDescent="0.3">
      <c r="AK124" s="7">
        <v>530</v>
      </c>
      <c r="AM124" s="7">
        <v>0</v>
      </c>
    </row>
    <row r="125" spans="37:39" x14ac:dyDescent="0.3">
      <c r="AK125" s="7">
        <v>530</v>
      </c>
      <c r="AM125" s="7">
        <v>1</v>
      </c>
    </row>
    <row r="126" spans="37:39" x14ac:dyDescent="0.3">
      <c r="AK126" s="7">
        <v>540</v>
      </c>
      <c r="AM126" s="7">
        <v>1</v>
      </c>
    </row>
    <row r="127" spans="37:39" x14ac:dyDescent="0.3">
      <c r="AK127" s="7">
        <v>540</v>
      </c>
      <c r="AM127" s="7">
        <v>0</v>
      </c>
    </row>
  </sheetData>
  <dataConsolidate/>
  <mergeCells count="4">
    <mergeCell ref="F2:G2"/>
    <mergeCell ref="I4:J4"/>
    <mergeCell ref="K4:L4"/>
    <mergeCell ref="M4:N4"/>
  </mergeCells>
  <pageMargins left="0.75" right="0.75" top="1" bottom="1" header="0.5" footer="0.5"/>
  <pageSetup orientation="portrait" horizontalDpi="200" verticalDpi="200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EF95A-0082-4F30-BBA5-A18188C05D92}">
  <sheetPr codeName="Sheet2"/>
  <dimension ref="A1:BN103"/>
  <sheetViews>
    <sheetView showGridLines="0" workbookViewId="0">
      <selection activeCell="E13" sqref="E13"/>
    </sheetView>
  </sheetViews>
  <sheetFormatPr defaultRowHeight="15.6" x14ac:dyDescent="0.3"/>
  <cols>
    <col min="1" max="1" width="9.109375" style="15" customWidth="1"/>
    <col min="2" max="2" width="12.109375" style="6" customWidth="1"/>
    <col min="3" max="3" width="12.109375" style="7" customWidth="1"/>
    <col min="4" max="4" width="8.6640625" style="7" customWidth="1"/>
    <col min="5" max="5" width="8.6640625" style="8" customWidth="1"/>
    <col min="6" max="6" width="13.33203125" style="9" customWidth="1"/>
    <col min="7" max="7" width="9.109375" style="8"/>
    <col min="8" max="8" width="6.5546875" style="8" customWidth="1"/>
    <col min="9" max="14" width="10.5546875" style="8" customWidth="1"/>
    <col min="15" max="17" width="9.109375" style="8"/>
    <col min="18" max="19" width="9.109375" style="7"/>
    <col min="20" max="20" width="16.33203125" style="7" customWidth="1"/>
    <col min="21" max="22" width="12.88671875" style="7" customWidth="1"/>
    <col min="23" max="24" width="9.109375" style="7"/>
    <col min="25" max="26" width="10" style="72" customWidth="1"/>
    <col min="27" max="33" width="9.109375" style="7"/>
    <col min="34" max="43" width="9.109375" style="8"/>
    <col min="44" max="50" width="9.109375" style="7"/>
    <col min="51" max="257" width="9.109375" style="8"/>
    <col min="258" max="259" width="12.109375" style="8" customWidth="1"/>
    <col min="260" max="261" width="8.6640625" style="8" customWidth="1"/>
    <col min="262" max="262" width="13.33203125" style="8" customWidth="1"/>
    <col min="263" max="263" width="9.109375" style="8"/>
    <col min="264" max="264" width="6.5546875" style="8" customWidth="1"/>
    <col min="265" max="270" width="10.5546875" style="8" customWidth="1"/>
    <col min="271" max="275" width="9.109375" style="8"/>
    <col min="276" max="276" width="16.33203125" style="8" customWidth="1"/>
    <col min="277" max="278" width="12.88671875" style="8" customWidth="1"/>
    <col min="279" max="280" width="9.109375" style="8"/>
    <col min="281" max="282" width="10" style="8" customWidth="1"/>
    <col min="283" max="513" width="9.109375" style="8"/>
    <col min="514" max="515" width="12.109375" style="8" customWidth="1"/>
    <col min="516" max="517" width="8.6640625" style="8" customWidth="1"/>
    <col min="518" max="518" width="13.33203125" style="8" customWidth="1"/>
    <col min="519" max="519" width="9.109375" style="8"/>
    <col min="520" max="520" width="6.5546875" style="8" customWidth="1"/>
    <col min="521" max="526" width="10.5546875" style="8" customWidth="1"/>
    <col min="527" max="531" width="9.109375" style="8"/>
    <col min="532" max="532" width="16.33203125" style="8" customWidth="1"/>
    <col min="533" max="534" width="12.88671875" style="8" customWidth="1"/>
    <col min="535" max="536" width="9.109375" style="8"/>
    <col min="537" max="538" width="10" style="8" customWidth="1"/>
    <col min="539" max="769" width="9.109375" style="8"/>
    <col min="770" max="771" width="12.109375" style="8" customWidth="1"/>
    <col min="772" max="773" width="8.6640625" style="8" customWidth="1"/>
    <col min="774" max="774" width="13.33203125" style="8" customWidth="1"/>
    <col min="775" max="775" width="9.109375" style="8"/>
    <col min="776" max="776" width="6.5546875" style="8" customWidth="1"/>
    <col min="777" max="782" width="10.5546875" style="8" customWidth="1"/>
    <col min="783" max="787" width="9.109375" style="8"/>
    <col min="788" max="788" width="16.33203125" style="8" customWidth="1"/>
    <col min="789" max="790" width="12.88671875" style="8" customWidth="1"/>
    <col min="791" max="792" width="9.109375" style="8"/>
    <col min="793" max="794" width="10" style="8" customWidth="1"/>
    <col min="795" max="1025" width="9.109375" style="8"/>
    <col min="1026" max="1027" width="12.109375" style="8" customWidth="1"/>
    <col min="1028" max="1029" width="8.6640625" style="8" customWidth="1"/>
    <col min="1030" max="1030" width="13.33203125" style="8" customWidth="1"/>
    <col min="1031" max="1031" width="9.109375" style="8"/>
    <col min="1032" max="1032" width="6.5546875" style="8" customWidth="1"/>
    <col min="1033" max="1038" width="10.5546875" style="8" customWidth="1"/>
    <col min="1039" max="1043" width="9.109375" style="8"/>
    <col min="1044" max="1044" width="16.33203125" style="8" customWidth="1"/>
    <col min="1045" max="1046" width="12.88671875" style="8" customWidth="1"/>
    <col min="1047" max="1048" width="9.109375" style="8"/>
    <col min="1049" max="1050" width="10" style="8" customWidth="1"/>
    <col min="1051" max="1281" width="9.109375" style="8"/>
    <col min="1282" max="1283" width="12.109375" style="8" customWidth="1"/>
    <col min="1284" max="1285" width="8.6640625" style="8" customWidth="1"/>
    <col min="1286" max="1286" width="13.33203125" style="8" customWidth="1"/>
    <col min="1287" max="1287" width="9.109375" style="8"/>
    <col min="1288" max="1288" width="6.5546875" style="8" customWidth="1"/>
    <col min="1289" max="1294" width="10.5546875" style="8" customWidth="1"/>
    <col min="1295" max="1299" width="9.109375" style="8"/>
    <col min="1300" max="1300" width="16.33203125" style="8" customWidth="1"/>
    <col min="1301" max="1302" width="12.88671875" style="8" customWidth="1"/>
    <col min="1303" max="1304" width="9.109375" style="8"/>
    <col min="1305" max="1306" width="10" style="8" customWidth="1"/>
    <col min="1307" max="1537" width="9.109375" style="8"/>
    <col min="1538" max="1539" width="12.109375" style="8" customWidth="1"/>
    <col min="1540" max="1541" width="8.6640625" style="8" customWidth="1"/>
    <col min="1542" max="1542" width="13.33203125" style="8" customWidth="1"/>
    <col min="1543" max="1543" width="9.109375" style="8"/>
    <col min="1544" max="1544" width="6.5546875" style="8" customWidth="1"/>
    <col min="1545" max="1550" width="10.5546875" style="8" customWidth="1"/>
    <col min="1551" max="1555" width="9.109375" style="8"/>
    <col min="1556" max="1556" width="16.33203125" style="8" customWidth="1"/>
    <col min="1557" max="1558" width="12.88671875" style="8" customWidth="1"/>
    <col min="1559" max="1560" width="9.109375" style="8"/>
    <col min="1561" max="1562" width="10" style="8" customWidth="1"/>
    <col min="1563" max="1793" width="9.109375" style="8"/>
    <col min="1794" max="1795" width="12.109375" style="8" customWidth="1"/>
    <col min="1796" max="1797" width="8.6640625" style="8" customWidth="1"/>
    <col min="1798" max="1798" width="13.33203125" style="8" customWidth="1"/>
    <col min="1799" max="1799" width="9.109375" style="8"/>
    <col min="1800" max="1800" width="6.5546875" style="8" customWidth="1"/>
    <col min="1801" max="1806" width="10.5546875" style="8" customWidth="1"/>
    <col min="1807" max="1811" width="9.109375" style="8"/>
    <col min="1812" max="1812" width="16.33203125" style="8" customWidth="1"/>
    <col min="1813" max="1814" width="12.88671875" style="8" customWidth="1"/>
    <col min="1815" max="1816" width="9.109375" style="8"/>
    <col min="1817" max="1818" width="10" style="8" customWidth="1"/>
    <col min="1819" max="2049" width="9.109375" style="8"/>
    <col min="2050" max="2051" width="12.109375" style="8" customWidth="1"/>
    <col min="2052" max="2053" width="8.6640625" style="8" customWidth="1"/>
    <col min="2054" max="2054" width="13.33203125" style="8" customWidth="1"/>
    <col min="2055" max="2055" width="9.109375" style="8"/>
    <col min="2056" max="2056" width="6.5546875" style="8" customWidth="1"/>
    <col min="2057" max="2062" width="10.5546875" style="8" customWidth="1"/>
    <col min="2063" max="2067" width="9.109375" style="8"/>
    <col min="2068" max="2068" width="16.33203125" style="8" customWidth="1"/>
    <col min="2069" max="2070" width="12.88671875" style="8" customWidth="1"/>
    <col min="2071" max="2072" width="9.109375" style="8"/>
    <col min="2073" max="2074" width="10" style="8" customWidth="1"/>
    <col min="2075" max="2305" width="9.109375" style="8"/>
    <col min="2306" max="2307" width="12.109375" style="8" customWidth="1"/>
    <col min="2308" max="2309" width="8.6640625" style="8" customWidth="1"/>
    <col min="2310" max="2310" width="13.33203125" style="8" customWidth="1"/>
    <col min="2311" max="2311" width="9.109375" style="8"/>
    <col min="2312" max="2312" width="6.5546875" style="8" customWidth="1"/>
    <col min="2313" max="2318" width="10.5546875" style="8" customWidth="1"/>
    <col min="2319" max="2323" width="9.109375" style="8"/>
    <col min="2324" max="2324" width="16.33203125" style="8" customWidth="1"/>
    <col min="2325" max="2326" width="12.88671875" style="8" customWidth="1"/>
    <col min="2327" max="2328" width="9.109375" style="8"/>
    <col min="2329" max="2330" width="10" style="8" customWidth="1"/>
    <col min="2331" max="2561" width="9.109375" style="8"/>
    <col min="2562" max="2563" width="12.109375" style="8" customWidth="1"/>
    <col min="2564" max="2565" width="8.6640625" style="8" customWidth="1"/>
    <col min="2566" max="2566" width="13.33203125" style="8" customWidth="1"/>
    <col min="2567" max="2567" width="9.109375" style="8"/>
    <col min="2568" max="2568" width="6.5546875" style="8" customWidth="1"/>
    <col min="2569" max="2574" width="10.5546875" style="8" customWidth="1"/>
    <col min="2575" max="2579" width="9.109375" style="8"/>
    <col min="2580" max="2580" width="16.33203125" style="8" customWidth="1"/>
    <col min="2581" max="2582" width="12.88671875" style="8" customWidth="1"/>
    <col min="2583" max="2584" width="9.109375" style="8"/>
    <col min="2585" max="2586" width="10" style="8" customWidth="1"/>
    <col min="2587" max="2817" width="9.109375" style="8"/>
    <col min="2818" max="2819" width="12.109375" style="8" customWidth="1"/>
    <col min="2820" max="2821" width="8.6640625" style="8" customWidth="1"/>
    <col min="2822" max="2822" width="13.33203125" style="8" customWidth="1"/>
    <col min="2823" max="2823" width="9.109375" style="8"/>
    <col min="2824" max="2824" width="6.5546875" style="8" customWidth="1"/>
    <col min="2825" max="2830" width="10.5546875" style="8" customWidth="1"/>
    <col min="2831" max="2835" width="9.109375" style="8"/>
    <col min="2836" max="2836" width="16.33203125" style="8" customWidth="1"/>
    <col min="2837" max="2838" width="12.88671875" style="8" customWidth="1"/>
    <col min="2839" max="2840" width="9.109375" style="8"/>
    <col min="2841" max="2842" width="10" style="8" customWidth="1"/>
    <col min="2843" max="3073" width="9.109375" style="8"/>
    <col min="3074" max="3075" width="12.109375" style="8" customWidth="1"/>
    <col min="3076" max="3077" width="8.6640625" style="8" customWidth="1"/>
    <col min="3078" max="3078" width="13.33203125" style="8" customWidth="1"/>
    <col min="3079" max="3079" width="9.109375" style="8"/>
    <col min="3080" max="3080" width="6.5546875" style="8" customWidth="1"/>
    <col min="3081" max="3086" width="10.5546875" style="8" customWidth="1"/>
    <col min="3087" max="3091" width="9.109375" style="8"/>
    <col min="3092" max="3092" width="16.33203125" style="8" customWidth="1"/>
    <col min="3093" max="3094" width="12.88671875" style="8" customWidth="1"/>
    <col min="3095" max="3096" width="9.109375" style="8"/>
    <col min="3097" max="3098" width="10" style="8" customWidth="1"/>
    <col min="3099" max="3329" width="9.109375" style="8"/>
    <col min="3330" max="3331" width="12.109375" style="8" customWidth="1"/>
    <col min="3332" max="3333" width="8.6640625" style="8" customWidth="1"/>
    <col min="3334" max="3334" width="13.33203125" style="8" customWidth="1"/>
    <col min="3335" max="3335" width="9.109375" style="8"/>
    <col min="3336" max="3336" width="6.5546875" style="8" customWidth="1"/>
    <col min="3337" max="3342" width="10.5546875" style="8" customWidth="1"/>
    <col min="3343" max="3347" width="9.109375" style="8"/>
    <col min="3348" max="3348" width="16.33203125" style="8" customWidth="1"/>
    <col min="3349" max="3350" width="12.88671875" style="8" customWidth="1"/>
    <col min="3351" max="3352" width="9.109375" style="8"/>
    <col min="3353" max="3354" width="10" style="8" customWidth="1"/>
    <col min="3355" max="3585" width="9.109375" style="8"/>
    <col min="3586" max="3587" width="12.109375" style="8" customWidth="1"/>
    <col min="3588" max="3589" width="8.6640625" style="8" customWidth="1"/>
    <col min="3590" max="3590" width="13.33203125" style="8" customWidth="1"/>
    <col min="3591" max="3591" width="9.109375" style="8"/>
    <col min="3592" max="3592" width="6.5546875" style="8" customWidth="1"/>
    <col min="3593" max="3598" width="10.5546875" style="8" customWidth="1"/>
    <col min="3599" max="3603" width="9.109375" style="8"/>
    <col min="3604" max="3604" width="16.33203125" style="8" customWidth="1"/>
    <col min="3605" max="3606" width="12.88671875" style="8" customWidth="1"/>
    <col min="3607" max="3608" width="9.109375" style="8"/>
    <col min="3609" max="3610" width="10" style="8" customWidth="1"/>
    <col min="3611" max="3841" width="9.109375" style="8"/>
    <col min="3842" max="3843" width="12.109375" style="8" customWidth="1"/>
    <col min="3844" max="3845" width="8.6640625" style="8" customWidth="1"/>
    <col min="3846" max="3846" width="13.33203125" style="8" customWidth="1"/>
    <col min="3847" max="3847" width="9.109375" style="8"/>
    <col min="3848" max="3848" width="6.5546875" style="8" customWidth="1"/>
    <col min="3849" max="3854" width="10.5546875" style="8" customWidth="1"/>
    <col min="3855" max="3859" width="9.109375" style="8"/>
    <col min="3860" max="3860" width="16.33203125" style="8" customWidth="1"/>
    <col min="3861" max="3862" width="12.88671875" style="8" customWidth="1"/>
    <col min="3863" max="3864" width="9.109375" style="8"/>
    <col min="3865" max="3866" width="10" style="8" customWidth="1"/>
    <col min="3867" max="4097" width="9.109375" style="8"/>
    <col min="4098" max="4099" width="12.109375" style="8" customWidth="1"/>
    <col min="4100" max="4101" width="8.6640625" style="8" customWidth="1"/>
    <col min="4102" max="4102" width="13.33203125" style="8" customWidth="1"/>
    <col min="4103" max="4103" width="9.109375" style="8"/>
    <col min="4104" max="4104" width="6.5546875" style="8" customWidth="1"/>
    <col min="4105" max="4110" width="10.5546875" style="8" customWidth="1"/>
    <col min="4111" max="4115" width="9.109375" style="8"/>
    <col min="4116" max="4116" width="16.33203125" style="8" customWidth="1"/>
    <col min="4117" max="4118" width="12.88671875" style="8" customWidth="1"/>
    <col min="4119" max="4120" width="9.109375" style="8"/>
    <col min="4121" max="4122" width="10" style="8" customWidth="1"/>
    <col min="4123" max="4353" width="9.109375" style="8"/>
    <col min="4354" max="4355" width="12.109375" style="8" customWidth="1"/>
    <col min="4356" max="4357" width="8.6640625" style="8" customWidth="1"/>
    <col min="4358" max="4358" width="13.33203125" style="8" customWidth="1"/>
    <col min="4359" max="4359" width="9.109375" style="8"/>
    <col min="4360" max="4360" width="6.5546875" style="8" customWidth="1"/>
    <col min="4361" max="4366" width="10.5546875" style="8" customWidth="1"/>
    <col min="4367" max="4371" width="9.109375" style="8"/>
    <col min="4372" max="4372" width="16.33203125" style="8" customWidth="1"/>
    <col min="4373" max="4374" width="12.88671875" style="8" customWidth="1"/>
    <col min="4375" max="4376" width="9.109375" style="8"/>
    <col min="4377" max="4378" width="10" style="8" customWidth="1"/>
    <col min="4379" max="4609" width="9.109375" style="8"/>
    <col min="4610" max="4611" width="12.109375" style="8" customWidth="1"/>
    <col min="4612" max="4613" width="8.6640625" style="8" customWidth="1"/>
    <col min="4614" max="4614" width="13.33203125" style="8" customWidth="1"/>
    <col min="4615" max="4615" width="9.109375" style="8"/>
    <col min="4616" max="4616" width="6.5546875" style="8" customWidth="1"/>
    <col min="4617" max="4622" width="10.5546875" style="8" customWidth="1"/>
    <col min="4623" max="4627" width="9.109375" style="8"/>
    <col min="4628" max="4628" width="16.33203125" style="8" customWidth="1"/>
    <col min="4629" max="4630" width="12.88671875" style="8" customWidth="1"/>
    <col min="4631" max="4632" width="9.109375" style="8"/>
    <col min="4633" max="4634" width="10" style="8" customWidth="1"/>
    <col min="4635" max="4865" width="9.109375" style="8"/>
    <col min="4866" max="4867" width="12.109375" style="8" customWidth="1"/>
    <col min="4868" max="4869" width="8.6640625" style="8" customWidth="1"/>
    <col min="4870" max="4870" width="13.33203125" style="8" customWidth="1"/>
    <col min="4871" max="4871" width="9.109375" style="8"/>
    <col min="4872" max="4872" width="6.5546875" style="8" customWidth="1"/>
    <col min="4873" max="4878" width="10.5546875" style="8" customWidth="1"/>
    <col min="4879" max="4883" width="9.109375" style="8"/>
    <col min="4884" max="4884" width="16.33203125" style="8" customWidth="1"/>
    <col min="4885" max="4886" width="12.88671875" style="8" customWidth="1"/>
    <col min="4887" max="4888" width="9.109375" style="8"/>
    <col min="4889" max="4890" width="10" style="8" customWidth="1"/>
    <col min="4891" max="5121" width="9.109375" style="8"/>
    <col min="5122" max="5123" width="12.109375" style="8" customWidth="1"/>
    <col min="5124" max="5125" width="8.6640625" style="8" customWidth="1"/>
    <col min="5126" max="5126" width="13.33203125" style="8" customWidth="1"/>
    <col min="5127" max="5127" width="9.109375" style="8"/>
    <col min="5128" max="5128" width="6.5546875" style="8" customWidth="1"/>
    <col min="5129" max="5134" width="10.5546875" style="8" customWidth="1"/>
    <col min="5135" max="5139" width="9.109375" style="8"/>
    <col min="5140" max="5140" width="16.33203125" style="8" customWidth="1"/>
    <col min="5141" max="5142" width="12.88671875" style="8" customWidth="1"/>
    <col min="5143" max="5144" width="9.109375" style="8"/>
    <col min="5145" max="5146" width="10" style="8" customWidth="1"/>
    <col min="5147" max="5377" width="9.109375" style="8"/>
    <col min="5378" max="5379" width="12.109375" style="8" customWidth="1"/>
    <col min="5380" max="5381" width="8.6640625" style="8" customWidth="1"/>
    <col min="5382" max="5382" width="13.33203125" style="8" customWidth="1"/>
    <col min="5383" max="5383" width="9.109375" style="8"/>
    <col min="5384" max="5384" width="6.5546875" style="8" customWidth="1"/>
    <col min="5385" max="5390" width="10.5546875" style="8" customWidth="1"/>
    <col min="5391" max="5395" width="9.109375" style="8"/>
    <col min="5396" max="5396" width="16.33203125" style="8" customWidth="1"/>
    <col min="5397" max="5398" width="12.88671875" style="8" customWidth="1"/>
    <col min="5399" max="5400" width="9.109375" style="8"/>
    <col min="5401" max="5402" width="10" style="8" customWidth="1"/>
    <col min="5403" max="5633" width="9.109375" style="8"/>
    <col min="5634" max="5635" width="12.109375" style="8" customWidth="1"/>
    <col min="5636" max="5637" width="8.6640625" style="8" customWidth="1"/>
    <col min="5638" max="5638" width="13.33203125" style="8" customWidth="1"/>
    <col min="5639" max="5639" width="9.109375" style="8"/>
    <col min="5640" max="5640" width="6.5546875" style="8" customWidth="1"/>
    <col min="5641" max="5646" width="10.5546875" style="8" customWidth="1"/>
    <col min="5647" max="5651" width="9.109375" style="8"/>
    <col min="5652" max="5652" width="16.33203125" style="8" customWidth="1"/>
    <col min="5653" max="5654" width="12.88671875" style="8" customWidth="1"/>
    <col min="5655" max="5656" width="9.109375" style="8"/>
    <col min="5657" max="5658" width="10" style="8" customWidth="1"/>
    <col min="5659" max="5889" width="9.109375" style="8"/>
    <col min="5890" max="5891" width="12.109375" style="8" customWidth="1"/>
    <col min="5892" max="5893" width="8.6640625" style="8" customWidth="1"/>
    <col min="5894" max="5894" width="13.33203125" style="8" customWidth="1"/>
    <col min="5895" max="5895" width="9.109375" style="8"/>
    <col min="5896" max="5896" width="6.5546875" style="8" customWidth="1"/>
    <col min="5897" max="5902" width="10.5546875" style="8" customWidth="1"/>
    <col min="5903" max="5907" width="9.109375" style="8"/>
    <col min="5908" max="5908" width="16.33203125" style="8" customWidth="1"/>
    <col min="5909" max="5910" width="12.88671875" style="8" customWidth="1"/>
    <col min="5911" max="5912" width="9.109375" style="8"/>
    <col min="5913" max="5914" width="10" style="8" customWidth="1"/>
    <col min="5915" max="6145" width="9.109375" style="8"/>
    <col min="6146" max="6147" width="12.109375" style="8" customWidth="1"/>
    <col min="6148" max="6149" width="8.6640625" style="8" customWidth="1"/>
    <col min="6150" max="6150" width="13.33203125" style="8" customWidth="1"/>
    <col min="6151" max="6151" width="9.109375" style="8"/>
    <col min="6152" max="6152" width="6.5546875" style="8" customWidth="1"/>
    <col min="6153" max="6158" width="10.5546875" style="8" customWidth="1"/>
    <col min="6159" max="6163" width="9.109375" style="8"/>
    <col min="6164" max="6164" width="16.33203125" style="8" customWidth="1"/>
    <col min="6165" max="6166" width="12.88671875" style="8" customWidth="1"/>
    <col min="6167" max="6168" width="9.109375" style="8"/>
    <col min="6169" max="6170" width="10" style="8" customWidth="1"/>
    <col min="6171" max="6401" width="9.109375" style="8"/>
    <col min="6402" max="6403" width="12.109375" style="8" customWidth="1"/>
    <col min="6404" max="6405" width="8.6640625" style="8" customWidth="1"/>
    <col min="6406" max="6406" width="13.33203125" style="8" customWidth="1"/>
    <col min="6407" max="6407" width="9.109375" style="8"/>
    <col min="6408" max="6408" width="6.5546875" style="8" customWidth="1"/>
    <col min="6409" max="6414" width="10.5546875" style="8" customWidth="1"/>
    <col min="6415" max="6419" width="9.109375" style="8"/>
    <col min="6420" max="6420" width="16.33203125" style="8" customWidth="1"/>
    <col min="6421" max="6422" width="12.88671875" style="8" customWidth="1"/>
    <col min="6423" max="6424" width="9.109375" style="8"/>
    <col min="6425" max="6426" width="10" style="8" customWidth="1"/>
    <col min="6427" max="6657" width="9.109375" style="8"/>
    <col min="6658" max="6659" width="12.109375" style="8" customWidth="1"/>
    <col min="6660" max="6661" width="8.6640625" style="8" customWidth="1"/>
    <col min="6662" max="6662" width="13.33203125" style="8" customWidth="1"/>
    <col min="6663" max="6663" width="9.109375" style="8"/>
    <col min="6664" max="6664" width="6.5546875" style="8" customWidth="1"/>
    <col min="6665" max="6670" width="10.5546875" style="8" customWidth="1"/>
    <col min="6671" max="6675" width="9.109375" style="8"/>
    <col min="6676" max="6676" width="16.33203125" style="8" customWidth="1"/>
    <col min="6677" max="6678" width="12.88671875" style="8" customWidth="1"/>
    <col min="6679" max="6680" width="9.109375" style="8"/>
    <col min="6681" max="6682" width="10" style="8" customWidth="1"/>
    <col min="6683" max="6913" width="9.109375" style="8"/>
    <col min="6914" max="6915" width="12.109375" style="8" customWidth="1"/>
    <col min="6916" max="6917" width="8.6640625" style="8" customWidth="1"/>
    <col min="6918" max="6918" width="13.33203125" style="8" customWidth="1"/>
    <col min="6919" max="6919" width="9.109375" style="8"/>
    <col min="6920" max="6920" width="6.5546875" style="8" customWidth="1"/>
    <col min="6921" max="6926" width="10.5546875" style="8" customWidth="1"/>
    <col min="6927" max="6931" width="9.109375" style="8"/>
    <col min="6932" max="6932" width="16.33203125" style="8" customWidth="1"/>
    <col min="6933" max="6934" width="12.88671875" style="8" customWidth="1"/>
    <col min="6935" max="6936" width="9.109375" style="8"/>
    <col min="6937" max="6938" width="10" style="8" customWidth="1"/>
    <col min="6939" max="7169" width="9.109375" style="8"/>
    <col min="7170" max="7171" width="12.109375" style="8" customWidth="1"/>
    <col min="7172" max="7173" width="8.6640625" style="8" customWidth="1"/>
    <col min="7174" max="7174" width="13.33203125" style="8" customWidth="1"/>
    <col min="7175" max="7175" width="9.109375" style="8"/>
    <col min="7176" max="7176" width="6.5546875" style="8" customWidth="1"/>
    <col min="7177" max="7182" width="10.5546875" style="8" customWidth="1"/>
    <col min="7183" max="7187" width="9.109375" style="8"/>
    <col min="7188" max="7188" width="16.33203125" style="8" customWidth="1"/>
    <col min="7189" max="7190" width="12.88671875" style="8" customWidth="1"/>
    <col min="7191" max="7192" width="9.109375" style="8"/>
    <col min="7193" max="7194" width="10" style="8" customWidth="1"/>
    <col min="7195" max="7425" width="9.109375" style="8"/>
    <col min="7426" max="7427" width="12.109375" style="8" customWidth="1"/>
    <col min="7428" max="7429" width="8.6640625" style="8" customWidth="1"/>
    <col min="7430" max="7430" width="13.33203125" style="8" customWidth="1"/>
    <col min="7431" max="7431" width="9.109375" style="8"/>
    <col min="7432" max="7432" width="6.5546875" style="8" customWidth="1"/>
    <col min="7433" max="7438" width="10.5546875" style="8" customWidth="1"/>
    <col min="7439" max="7443" width="9.109375" style="8"/>
    <col min="7444" max="7444" width="16.33203125" style="8" customWidth="1"/>
    <col min="7445" max="7446" width="12.88671875" style="8" customWidth="1"/>
    <col min="7447" max="7448" width="9.109375" style="8"/>
    <col min="7449" max="7450" width="10" style="8" customWidth="1"/>
    <col min="7451" max="7681" width="9.109375" style="8"/>
    <col min="7682" max="7683" width="12.109375" style="8" customWidth="1"/>
    <col min="7684" max="7685" width="8.6640625" style="8" customWidth="1"/>
    <col min="7686" max="7686" width="13.33203125" style="8" customWidth="1"/>
    <col min="7687" max="7687" width="9.109375" style="8"/>
    <col min="7688" max="7688" width="6.5546875" style="8" customWidth="1"/>
    <col min="7689" max="7694" width="10.5546875" style="8" customWidth="1"/>
    <col min="7695" max="7699" width="9.109375" style="8"/>
    <col min="7700" max="7700" width="16.33203125" style="8" customWidth="1"/>
    <col min="7701" max="7702" width="12.88671875" style="8" customWidth="1"/>
    <col min="7703" max="7704" width="9.109375" style="8"/>
    <col min="7705" max="7706" width="10" style="8" customWidth="1"/>
    <col min="7707" max="7937" width="9.109375" style="8"/>
    <col min="7938" max="7939" width="12.109375" style="8" customWidth="1"/>
    <col min="7940" max="7941" width="8.6640625" style="8" customWidth="1"/>
    <col min="7942" max="7942" width="13.33203125" style="8" customWidth="1"/>
    <col min="7943" max="7943" width="9.109375" style="8"/>
    <col min="7944" max="7944" width="6.5546875" style="8" customWidth="1"/>
    <col min="7945" max="7950" width="10.5546875" style="8" customWidth="1"/>
    <col min="7951" max="7955" width="9.109375" style="8"/>
    <col min="7956" max="7956" width="16.33203125" style="8" customWidth="1"/>
    <col min="7957" max="7958" width="12.88671875" style="8" customWidth="1"/>
    <col min="7959" max="7960" width="9.109375" style="8"/>
    <col min="7961" max="7962" width="10" style="8" customWidth="1"/>
    <col min="7963" max="8193" width="9.109375" style="8"/>
    <col min="8194" max="8195" width="12.109375" style="8" customWidth="1"/>
    <col min="8196" max="8197" width="8.6640625" style="8" customWidth="1"/>
    <col min="8198" max="8198" width="13.33203125" style="8" customWidth="1"/>
    <col min="8199" max="8199" width="9.109375" style="8"/>
    <col min="8200" max="8200" width="6.5546875" style="8" customWidth="1"/>
    <col min="8201" max="8206" width="10.5546875" style="8" customWidth="1"/>
    <col min="8207" max="8211" width="9.109375" style="8"/>
    <col min="8212" max="8212" width="16.33203125" style="8" customWidth="1"/>
    <col min="8213" max="8214" width="12.88671875" style="8" customWidth="1"/>
    <col min="8215" max="8216" width="9.109375" style="8"/>
    <col min="8217" max="8218" width="10" style="8" customWidth="1"/>
    <col min="8219" max="8449" width="9.109375" style="8"/>
    <col min="8450" max="8451" width="12.109375" style="8" customWidth="1"/>
    <col min="8452" max="8453" width="8.6640625" style="8" customWidth="1"/>
    <col min="8454" max="8454" width="13.33203125" style="8" customWidth="1"/>
    <col min="8455" max="8455" width="9.109375" style="8"/>
    <col min="8456" max="8456" width="6.5546875" style="8" customWidth="1"/>
    <col min="8457" max="8462" width="10.5546875" style="8" customWidth="1"/>
    <col min="8463" max="8467" width="9.109375" style="8"/>
    <col min="8468" max="8468" width="16.33203125" style="8" customWidth="1"/>
    <col min="8469" max="8470" width="12.88671875" style="8" customWidth="1"/>
    <col min="8471" max="8472" width="9.109375" style="8"/>
    <col min="8473" max="8474" width="10" style="8" customWidth="1"/>
    <col min="8475" max="8705" width="9.109375" style="8"/>
    <col min="8706" max="8707" width="12.109375" style="8" customWidth="1"/>
    <col min="8708" max="8709" width="8.6640625" style="8" customWidth="1"/>
    <col min="8710" max="8710" width="13.33203125" style="8" customWidth="1"/>
    <col min="8711" max="8711" width="9.109375" style="8"/>
    <col min="8712" max="8712" width="6.5546875" style="8" customWidth="1"/>
    <col min="8713" max="8718" width="10.5546875" style="8" customWidth="1"/>
    <col min="8719" max="8723" width="9.109375" style="8"/>
    <col min="8724" max="8724" width="16.33203125" style="8" customWidth="1"/>
    <col min="8725" max="8726" width="12.88671875" style="8" customWidth="1"/>
    <col min="8727" max="8728" width="9.109375" style="8"/>
    <col min="8729" max="8730" width="10" style="8" customWidth="1"/>
    <col min="8731" max="8961" width="9.109375" style="8"/>
    <col min="8962" max="8963" width="12.109375" style="8" customWidth="1"/>
    <col min="8964" max="8965" width="8.6640625" style="8" customWidth="1"/>
    <col min="8966" max="8966" width="13.33203125" style="8" customWidth="1"/>
    <col min="8967" max="8967" width="9.109375" style="8"/>
    <col min="8968" max="8968" width="6.5546875" style="8" customWidth="1"/>
    <col min="8969" max="8974" width="10.5546875" style="8" customWidth="1"/>
    <col min="8975" max="8979" width="9.109375" style="8"/>
    <col min="8980" max="8980" width="16.33203125" style="8" customWidth="1"/>
    <col min="8981" max="8982" width="12.88671875" style="8" customWidth="1"/>
    <col min="8983" max="8984" width="9.109375" style="8"/>
    <col min="8985" max="8986" width="10" style="8" customWidth="1"/>
    <col min="8987" max="9217" width="9.109375" style="8"/>
    <col min="9218" max="9219" width="12.109375" style="8" customWidth="1"/>
    <col min="9220" max="9221" width="8.6640625" style="8" customWidth="1"/>
    <col min="9222" max="9222" width="13.33203125" style="8" customWidth="1"/>
    <col min="9223" max="9223" width="9.109375" style="8"/>
    <col min="9224" max="9224" width="6.5546875" style="8" customWidth="1"/>
    <col min="9225" max="9230" width="10.5546875" style="8" customWidth="1"/>
    <col min="9231" max="9235" width="9.109375" style="8"/>
    <col min="9236" max="9236" width="16.33203125" style="8" customWidth="1"/>
    <col min="9237" max="9238" width="12.88671875" style="8" customWidth="1"/>
    <col min="9239" max="9240" width="9.109375" style="8"/>
    <col min="9241" max="9242" width="10" style="8" customWidth="1"/>
    <col min="9243" max="9473" width="9.109375" style="8"/>
    <col min="9474" max="9475" width="12.109375" style="8" customWidth="1"/>
    <col min="9476" max="9477" width="8.6640625" style="8" customWidth="1"/>
    <col min="9478" max="9478" width="13.33203125" style="8" customWidth="1"/>
    <col min="9479" max="9479" width="9.109375" style="8"/>
    <col min="9480" max="9480" width="6.5546875" style="8" customWidth="1"/>
    <col min="9481" max="9486" width="10.5546875" style="8" customWidth="1"/>
    <col min="9487" max="9491" width="9.109375" style="8"/>
    <col min="9492" max="9492" width="16.33203125" style="8" customWidth="1"/>
    <col min="9493" max="9494" width="12.88671875" style="8" customWidth="1"/>
    <col min="9495" max="9496" width="9.109375" style="8"/>
    <col min="9497" max="9498" width="10" style="8" customWidth="1"/>
    <col min="9499" max="9729" width="9.109375" style="8"/>
    <col min="9730" max="9731" width="12.109375" style="8" customWidth="1"/>
    <col min="9732" max="9733" width="8.6640625" style="8" customWidth="1"/>
    <col min="9734" max="9734" width="13.33203125" style="8" customWidth="1"/>
    <col min="9735" max="9735" width="9.109375" style="8"/>
    <col min="9736" max="9736" width="6.5546875" style="8" customWidth="1"/>
    <col min="9737" max="9742" width="10.5546875" style="8" customWidth="1"/>
    <col min="9743" max="9747" width="9.109375" style="8"/>
    <col min="9748" max="9748" width="16.33203125" style="8" customWidth="1"/>
    <col min="9749" max="9750" width="12.88671875" style="8" customWidth="1"/>
    <col min="9751" max="9752" width="9.109375" style="8"/>
    <col min="9753" max="9754" width="10" style="8" customWidth="1"/>
    <col min="9755" max="9985" width="9.109375" style="8"/>
    <col min="9986" max="9987" width="12.109375" style="8" customWidth="1"/>
    <col min="9988" max="9989" width="8.6640625" style="8" customWidth="1"/>
    <col min="9990" max="9990" width="13.33203125" style="8" customWidth="1"/>
    <col min="9991" max="9991" width="9.109375" style="8"/>
    <col min="9992" max="9992" width="6.5546875" style="8" customWidth="1"/>
    <col min="9993" max="9998" width="10.5546875" style="8" customWidth="1"/>
    <col min="9999" max="10003" width="9.109375" style="8"/>
    <col min="10004" max="10004" width="16.33203125" style="8" customWidth="1"/>
    <col min="10005" max="10006" width="12.88671875" style="8" customWidth="1"/>
    <col min="10007" max="10008" width="9.109375" style="8"/>
    <col min="10009" max="10010" width="10" style="8" customWidth="1"/>
    <col min="10011" max="10241" width="9.109375" style="8"/>
    <col min="10242" max="10243" width="12.109375" style="8" customWidth="1"/>
    <col min="10244" max="10245" width="8.6640625" style="8" customWidth="1"/>
    <col min="10246" max="10246" width="13.33203125" style="8" customWidth="1"/>
    <col min="10247" max="10247" width="9.109375" style="8"/>
    <col min="10248" max="10248" width="6.5546875" style="8" customWidth="1"/>
    <col min="10249" max="10254" width="10.5546875" style="8" customWidth="1"/>
    <col min="10255" max="10259" width="9.109375" style="8"/>
    <col min="10260" max="10260" width="16.33203125" style="8" customWidth="1"/>
    <col min="10261" max="10262" width="12.88671875" style="8" customWidth="1"/>
    <col min="10263" max="10264" width="9.109375" style="8"/>
    <col min="10265" max="10266" width="10" style="8" customWidth="1"/>
    <col min="10267" max="10497" width="9.109375" style="8"/>
    <col min="10498" max="10499" width="12.109375" style="8" customWidth="1"/>
    <col min="10500" max="10501" width="8.6640625" style="8" customWidth="1"/>
    <col min="10502" max="10502" width="13.33203125" style="8" customWidth="1"/>
    <col min="10503" max="10503" width="9.109375" style="8"/>
    <col min="10504" max="10504" width="6.5546875" style="8" customWidth="1"/>
    <col min="10505" max="10510" width="10.5546875" style="8" customWidth="1"/>
    <col min="10511" max="10515" width="9.109375" style="8"/>
    <col min="10516" max="10516" width="16.33203125" style="8" customWidth="1"/>
    <col min="10517" max="10518" width="12.88671875" style="8" customWidth="1"/>
    <col min="10519" max="10520" width="9.109375" style="8"/>
    <col min="10521" max="10522" width="10" style="8" customWidth="1"/>
    <col min="10523" max="10753" width="9.109375" style="8"/>
    <col min="10754" max="10755" width="12.109375" style="8" customWidth="1"/>
    <col min="10756" max="10757" width="8.6640625" style="8" customWidth="1"/>
    <col min="10758" max="10758" width="13.33203125" style="8" customWidth="1"/>
    <col min="10759" max="10759" width="9.109375" style="8"/>
    <col min="10760" max="10760" width="6.5546875" style="8" customWidth="1"/>
    <col min="10761" max="10766" width="10.5546875" style="8" customWidth="1"/>
    <col min="10767" max="10771" width="9.109375" style="8"/>
    <col min="10772" max="10772" width="16.33203125" style="8" customWidth="1"/>
    <col min="10773" max="10774" width="12.88671875" style="8" customWidth="1"/>
    <col min="10775" max="10776" width="9.109375" style="8"/>
    <col min="10777" max="10778" width="10" style="8" customWidth="1"/>
    <col min="10779" max="11009" width="9.109375" style="8"/>
    <col min="11010" max="11011" width="12.109375" style="8" customWidth="1"/>
    <col min="11012" max="11013" width="8.6640625" style="8" customWidth="1"/>
    <col min="11014" max="11014" width="13.33203125" style="8" customWidth="1"/>
    <col min="11015" max="11015" width="9.109375" style="8"/>
    <col min="11016" max="11016" width="6.5546875" style="8" customWidth="1"/>
    <col min="11017" max="11022" width="10.5546875" style="8" customWidth="1"/>
    <col min="11023" max="11027" width="9.109375" style="8"/>
    <col min="11028" max="11028" width="16.33203125" style="8" customWidth="1"/>
    <col min="11029" max="11030" width="12.88671875" style="8" customWidth="1"/>
    <col min="11031" max="11032" width="9.109375" style="8"/>
    <col min="11033" max="11034" width="10" style="8" customWidth="1"/>
    <col min="11035" max="11265" width="9.109375" style="8"/>
    <col min="11266" max="11267" width="12.109375" style="8" customWidth="1"/>
    <col min="11268" max="11269" width="8.6640625" style="8" customWidth="1"/>
    <col min="11270" max="11270" width="13.33203125" style="8" customWidth="1"/>
    <col min="11271" max="11271" width="9.109375" style="8"/>
    <col min="11272" max="11272" width="6.5546875" style="8" customWidth="1"/>
    <col min="11273" max="11278" width="10.5546875" style="8" customWidth="1"/>
    <col min="11279" max="11283" width="9.109375" style="8"/>
    <col min="11284" max="11284" width="16.33203125" style="8" customWidth="1"/>
    <col min="11285" max="11286" width="12.88671875" style="8" customWidth="1"/>
    <col min="11287" max="11288" width="9.109375" style="8"/>
    <col min="11289" max="11290" width="10" style="8" customWidth="1"/>
    <col min="11291" max="11521" width="9.109375" style="8"/>
    <col min="11522" max="11523" width="12.109375" style="8" customWidth="1"/>
    <col min="11524" max="11525" width="8.6640625" style="8" customWidth="1"/>
    <col min="11526" max="11526" width="13.33203125" style="8" customWidth="1"/>
    <col min="11527" max="11527" width="9.109375" style="8"/>
    <col min="11528" max="11528" width="6.5546875" style="8" customWidth="1"/>
    <col min="11529" max="11534" width="10.5546875" style="8" customWidth="1"/>
    <col min="11535" max="11539" width="9.109375" style="8"/>
    <col min="11540" max="11540" width="16.33203125" style="8" customWidth="1"/>
    <col min="11541" max="11542" width="12.88671875" style="8" customWidth="1"/>
    <col min="11543" max="11544" width="9.109375" style="8"/>
    <col min="11545" max="11546" width="10" style="8" customWidth="1"/>
    <col min="11547" max="11777" width="9.109375" style="8"/>
    <col min="11778" max="11779" width="12.109375" style="8" customWidth="1"/>
    <col min="11780" max="11781" width="8.6640625" style="8" customWidth="1"/>
    <col min="11782" max="11782" width="13.33203125" style="8" customWidth="1"/>
    <col min="11783" max="11783" width="9.109375" style="8"/>
    <col min="11784" max="11784" width="6.5546875" style="8" customWidth="1"/>
    <col min="11785" max="11790" width="10.5546875" style="8" customWidth="1"/>
    <col min="11791" max="11795" width="9.109375" style="8"/>
    <col min="11796" max="11796" width="16.33203125" style="8" customWidth="1"/>
    <col min="11797" max="11798" width="12.88671875" style="8" customWidth="1"/>
    <col min="11799" max="11800" width="9.109375" style="8"/>
    <col min="11801" max="11802" width="10" style="8" customWidth="1"/>
    <col min="11803" max="12033" width="9.109375" style="8"/>
    <col min="12034" max="12035" width="12.109375" style="8" customWidth="1"/>
    <col min="12036" max="12037" width="8.6640625" style="8" customWidth="1"/>
    <col min="12038" max="12038" width="13.33203125" style="8" customWidth="1"/>
    <col min="12039" max="12039" width="9.109375" style="8"/>
    <col min="12040" max="12040" width="6.5546875" style="8" customWidth="1"/>
    <col min="12041" max="12046" width="10.5546875" style="8" customWidth="1"/>
    <col min="12047" max="12051" width="9.109375" style="8"/>
    <col min="12052" max="12052" width="16.33203125" style="8" customWidth="1"/>
    <col min="12053" max="12054" width="12.88671875" style="8" customWidth="1"/>
    <col min="12055" max="12056" width="9.109375" style="8"/>
    <col min="12057" max="12058" width="10" style="8" customWidth="1"/>
    <col min="12059" max="12289" width="9.109375" style="8"/>
    <col min="12290" max="12291" width="12.109375" style="8" customWidth="1"/>
    <col min="12292" max="12293" width="8.6640625" style="8" customWidth="1"/>
    <col min="12294" max="12294" width="13.33203125" style="8" customWidth="1"/>
    <col min="12295" max="12295" width="9.109375" style="8"/>
    <col min="12296" max="12296" width="6.5546875" style="8" customWidth="1"/>
    <col min="12297" max="12302" width="10.5546875" style="8" customWidth="1"/>
    <col min="12303" max="12307" width="9.109375" style="8"/>
    <col min="12308" max="12308" width="16.33203125" style="8" customWidth="1"/>
    <col min="12309" max="12310" width="12.88671875" style="8" customWidth="1"/>
    <col min="12311" max="12312" width="9.109375" style="8"/>
    <col min="12313" max="12314" width="10" style="8" customWidth="1"/>
    <col min="12315" max="12545" width="9.109375" style="8"/>
    <col min="12546" max="12547" width="12.109375" style="8" customWidth="1"/>
    <col min="12548" max="12549" width="8.6640625" style="8" customWidth="1"/>
    <col min="12550" max="12550" width="13.33203125" style="8" customWidth="1"/>
    <col min="12551" max="12551" width="9.109375" style="8"/>
    <col min="12552" max="12552" width="6.5546875" style="8" customWidth="1"/>
    <col min="12553" max="12558" width="10.5546875" style="8" customWidth="1"/>
    <col min="12559" max="12563" width="9.109375" style="8"/>
    <col min="12564" max="12564" width="16.33203125" style="8" customWidth="1"/>
    <col min="12565" max="12566" width="12.88671875" style="8" customWidth="1"/>
    <col min="12567" max="12568" width="9.109375" style="8"/>
    <col min="12569" max="12570" width="10" style="8" customWidth="1"/>
    <col min="12571" max="12801" width="9.109375" style="8"/>
    <col min="12802" max="12803" width="12.109375" style="8" customWidth="1"/>
    <col min="12804" max="12805" width="8.6640625" style="8" customWidth="1"/>
    <col min="12806" max="12806" width="13.33203125" style="8" customWidth="1"/>
    <col min="12807" max="12807" width="9.109375" style="8"/>
    <col min="12808" max="12808" width="6.5546875" style="8" customWidth="1"/>
    <col min="12809" max="12814" width="10.5546875" style="8" customWidth="1"/>
    <col min="12815" max="12819" width="9.109375" style="8"/>
    <col min="12820" max="12820" width="16.33203125" style="8" customWidth="1"/>
    <col min="12821" max="12822" width="12.88671875" style="8" customWidth="1"/>
    <col min="12823" max="12824" width="9.109375" style="8"/>
    <col min="12825" max="12826" width="10" style="8" customWidth="1"/>
    <col min="12827" max="13057" width="9.109375" style="8"/>
    <col min="13058" max="13059" width="12.109375" style="8" customWidth="1"/>
    <col min="13060" max="13061" width="8.6640625" style="8" customWidth="1"/>
    <col min="13062" max="13062" width="13.33203125" style="8" customWidth="1"/>
    <col min="13063" max="13063" width="9.109375" style="8"/>
    <col min="13064" max="13064" width="6.5546875" style="8" customWidth="1"/>
    <col min="13065" max="13070" width="10.5546875" style="8" customWidth="1"/>
    <col min="13071" max="13075" width="9.109375" style="8"/>
    <col min="13076" max="13076" width="16.33203125" style="8" customWidth="1"/>
    <col min="13077" max="13078" width="12.88671875" style="8" customWidth="1"/>
    <col min="13079" max="13080" width="9.109375" style="8"/>
    <col min="13081" max="13082" width="10" style="8" customWidth="1"/>
    <col min="13083" max="13313" width="9.109375" style="8"/>
    <col min="13314" max="13315" width="12.109375" style="8" customWidth="1"/>
    <col min="13316" max="13317" width="8.6640625" style="8" customWidth="1"/>
    <col min="13318" max="13318" width="13.33203125" style="8" customWidth="1"/>
    <col min="13319" max="13319" width="9.109375" style="8"/>
    <col min="13320" max="13320" width="6.5546875" style="8" customWidth="1"/>
    <col min="13321" max="13326" width="10.5546875" style="8" customWidth="1"/>
    <col min="13327" max="13331" width="9.109375" style="8"/>
    <col min="13332" max="13332" width="16.33203125" style="8" customWidth="1"/>
    <col min="13333" max="13334" width="12.88671875" style="8" customWidth="1"/>
    <col min="13335" max="13336" width="9.109375" style="8"/>
    <col min="13337" max="13338" width="10" style="8" customWidth="1"/>
    <col min="13339" max="13569" width="9.109375" style="8"/>
    <col min="13570" max="13571" width="12.109375" style="8" customWidth="1"/>
    <col min="13572" max="13573" width="8.6640625" style="8" customWidth="1"/>
    <col min="13574" max="13574" width="13.33203125" style="8" customWidth="1"/>
    <col min="13575" max="13575" width="9.109375" style="8"/>
    <col min="13576" max="13576" width="6.5546875" style="8" customWidth="1"/>
    <col min="13577" max="13582" width="10.5546875" style="8" customWidth="1"/>
    <col min="13583" max="13587" width="9.109375" style="8"/>
    <col min="13588" max="13588" width="16.33203125" style="8" customWidth="1"/>
    <col min="13589" max="13590" width="12.88671875" style="8" customWidth="1"/>
    <col min="13591" max="13592" width="9.109375" style="8"/>
    <col min="13593" max="13594" width="10" style="8" customWidth="1"/>
    <col min="13595" max="13825" width="9.109375" style="8"/>
    <col min="13826" max="13827" width="12.109375" style="8" customWidth="1"/>
    <col min="13828" max="13829" width="8.6640625" style="8" customWidth="1"/>
    <col min="13830" max="13830" width="13.33203125" style="8" customWidth="1"/>
    <col min="13831" max="13831" width="9.109375" style="8"/>
    <col min="13832" max="13832" width="6.5546875" style="8" customWidth="1"/>
    <col min="13833" max="13838" width="10.5546875" style="8" customWidth="1"/>
    <col min="13839" max="13843" width="9.109375" style="8"/>
    <col min="13844" max="13844" width="16.33203125" style="8" customWidth="1"/>
    <col min="13845" max="13846" width="12.88671875" style="8" customWidth="1"/>
    <col min="13847" max="13848" width="9.109375" style="8"/>
    <col min="13849" max="13850" width="10" style="8" customWidth="1"/>
    <col min="13851" max="14081" width="9.109375" style="8"/>
    <col min="14082" max="14083" width="12.109375" style="8" customWidth="1"/>
    <col min="14084" max="14085" width="8.6640625" style="8" customWidth="1"/>
    <col min="14086" max="14086" width="13.33203125" style="8" customWidth="1"/>
    <col min="14087" max="14087" width="9.109375" style="8"/>
    <col min="14088" max="14088" width="6.5546875" style="8" customWidth="1"/>
    <col min="14089" max="14094" width="10.5546875" style="8" customWidth="1"/>
    <col min="14095" max="14099" width="9.109375" style="8"/>
    <col min="14100" max="14100" width="16.33203125" style="8" customWidth="1"/>
    <col min="14101" max="14102" width="12.88671875" style="8" customWidth="1"/>
    <col min="14103" max="14104" width="9.109375" style="8"/>
    <col min="14105" max="14106" width="10" style="8" customWidth="1"/>
    <col min="14107" max="14337" width="9.109375" style="8"/>
    <col min="14338" max="14339" width="12.109375" style="8" customWidth="1"/>
    <col min="14340" max="14341" width="8.6640625" style="8" customWidth="1"/>
    <col min="14342" max="14342" width="13.33203125" style="8" customWidth="1"/>
    <col min="14343" max="14343" width="9.109375" style="8"/>
    <col min="14344" max="14344" width="6.5546875" style="8" customWidth="1"/>
    <col min="14345" max="14350" width="10.5546875" style="8" customWidth="1"/>
    <col min="14351" max="14355" width="9.109375" style="8"/>
    <col min="14356" max="14356" width="16.33203125" style="8" customWidth="1"/>
    <col min="14357" max="14358" width="12.88671875" style="8" customWidth="1"/>
    <col min="14359" max="14360" width="9.109375" style="8"/>
    <col min="14361" max="14362" width="10" style="8" customWidth="1"/>
    <col min="14363" max="14593" width="9.109375" style="8"/>
    <col min="14594" max="14595" width="12.109375" style="8" customWidth="1"/>
    <col min="14596" max="14597" width="8.6640625" style="8" customWidth="1"/>
    <col min="14598" max="14598" width="13.33203125" style="8" customWidth="1"/>
    <col min="14599" max="14599" width="9.109375" style="8"/>
    <col min="14600" max="14600" width="6.5546875" style="8" customWidth="1"/>
    <col min="14601" max="14606" width="10.5546875" style="8" customWidth="1"/>
    <col min="14607" max="14611" width="9.109375" style="8"/>
    <col min="14612" max="14612" width="16.33203125" style="8" customWidth="1"/>
    <col min="14613" max="14614" width="12.88671875" style="8" customWidth="1"/>
    <col min="14615" max="14616" width="9.109375" style="8"/>
    <col min="14617" max="14618" width="10" style="8" customWidth="1"/>
    <col min="14619" max="14849" width="9.109375" style="8"/>
    <col min="14850" max="14851" width="12.109375" style="8" customWidth="1"/>
    <col min="14852" max="14853" width="8.6640625" style="8" customWidth="1"/>
    <col min="14854" max="14854" width="13.33203125" style="8" customWidth="1"/>
    <col min="14855" max="14855" width="9.109375" style="8"/>
    <col min="14856" max="14856" width="6.5546875" style="8" customWidth="1"/>
    <col min="14857" max="14862" width="10.5546875" style="8" customWidth="1"/>
    <col min="14863" max="14867" width="9.109375" style="8"/>
    <col min="14868" max="14868" width="16.33203125" style="8" customWidth="1"/>
    <col min="14869" max="14870" width="12.88671875" style="8" customWidth="1"/>
    <col min="14871" max="14872" width="9.109375" style="8"/>
    <col min="14873" max="14874" width="10" style="8" customWidth="1"/>
    <col min="14875" max="15105" width="9.109375" style="8"/>
    <col min="15106" max="15107" width="12.109375" style="8" customWidth="1"/>
    <col min="15108" max="15109" width="8.6640625" style="8" customWidth="1"/>
    <col min="15110" max="15110" width="13.33203125" style="8" customWidth="1"/>
    <col min="15111" max="15111" width="9.109375" style="8"/>
    <col min="15112" max="15112" width="6.5546875" style="8" customWidth="1"/>
    <col min="15113" max="15118" width="10.5546875" style="8" customWidth="1"/>
    <col min="15119" max="15123" width="9.109375" style="8"/>
    <col min="15124" max="15124" width="16.33203125" style="8" customWidth="1"/>
    <col min="15125" max="15126" width="12.88671875" style="8" customWidth="1"/>
    <col min="15127" max="15128" width="9.109375" style="8"/>
    <col min="15129" max="15130" width="10" style="8" customWidth="1"/>
    <col min="15131" max="15361" width="9.109375" style="8"/>
    <col min="15362" max="15363" width="12.109375" style="8" customWidth="1"/>
    <col min="15364" max="15365" width="8.6640625" style="8" customWidth="1"/>
    <col min="15366" max="15366" width="13.33203125" style="8" customWidth="1"/>
    <col min="15367" max="15367" width="9.109375" style="8"/>
    <col min="15368" max="15368" width="6.5546875" style="8" customWidth="1"/>
    <col min="15369" max="15374" width="10.5546875" style="8" customWidth="1"/>
    <col min="15375" max="15379" width="9.109375" style="8"/>
    <col min="15380" max="15380" width="16.33203125" style="8" customWidth="1"/>
    <col min="15381" max="15382" width="12.88671875" style="8" customWidth="1"/>
    <col min="15383" max="15384" width="9.109375" style="8"/>
    <col min="15385" max="15386" width="10" style="8" customWidth="1"/>
    <col min="15387" max="15617" width="9.109375" style="8"/>
    <col min="15618" max="15619" width="12.109375" style="8" customWidth="1"/>
    <col min="15620" max="15621" width="8.6640625" style="8" customWidth="1"/>
    <col min="15622" max="15622" width="13.33203125" style="8" customWidth="1"/>
    <col min="15623" max="15623" width="9.109375" style="8"/>
    <col min="15624" max="15624" width="6.5546875" style="8" customWidth="1"/>
    <col min="15625" max="15630" width="10.5546875" style="8" customWidth="1"/>
    <col min="15631" max="15635" width="9.109375" style="8"/>
    <col min="15636" max="15636" width="16.33203125" style="8" customWidth="1"/>
    <col min="15637" max="15638" width="12.88671875" style="8" customWidth="1"/>
    <col min="15639" max="15640" width="9.109375" style="8"/>
    <col min="15641" max="15642" width="10" style="8" customWidth="1"/>
    <col min="15643" max="15873" width="9.109375" style="8"/>
    <col min="15874" max="15875" width="12.109375" style="8" customWidth="1"/>
    <col min="15876" max="15877" width="8.6640625" style="8" customWidth="1"/>
    <col min="15878" max="15878" width="13.33203125" style="8" customWidth="1"/>
    <col min="15879" max="15879" width="9.109375" style="8"/>
    <col min="15880" max="15880" width="6.5546875" style="8" customWidth="1"/>
    <col min="15881" max="15886" width="10.5546875" style="8" customWidth="1"/>
    <col min="15887" max="15891" width="9.109375" style="8"/>
    <col min="15892" max="15892" width="16.33203125" style="8" customWidth="1"/>
    <col min="15893" max="15894" width="12.88671875" style="8" customWidth="1"/>
    <col min="15895" max="15896" width="9.109375" style="8"/>
    <col min="15897" max="15898" width="10" style="8" customWidth="1"/>
    <col min="15899" max="16129" width="9.109375" style="8"/>
    <col min="16130" max="16131" width="12.109375" style="8" customWidth="1"/>
    <col min="16132" max="16133" width="8.6640625" style="8" customWidth="1"/>
    <col min="16134" max="16134" width="13.33203125" style="8" customWidth="1"/>
    <col min="16135" max="16135" width="9.109375" style="8"/>
    <col min="16136" max="16136" width="6.5546875" style="8" customWidth="1"/>
    <col min="16137" max="16142" width="10.5546875" style="8" customWidth="1"/>
    <col min="16143" max="16147" width="9.109375" style="8"/>
    <col min="16148" max="16148" width="16.33203125" style="8" customWidth="1"/>
    <col min="16149" max="16150" width="12.88671875" style="8" customWidth="1"/>
    <col min="16151" max="16152" width="9.109375" style="8"/>
    <col min="16153" max="16154" width="10" style="8" customWidth="1"/>
    <col min="16155" max="16384" width="9.109375" style="8"/>
  </cols>
  <sheetData>
    <row r="1" spans="1:66" ht="31.2" thickBot="1" x14ac:dyDescent="0.6">
      <c r="A1" s="5" t="s">
        <v>22</v>
      </c>
      <c r="I1" s="7"/>
      <c r="J1" s="7"/>
      <c r="K1" s="7"/>
      <c r="L1" s="7"/>
      <c r="M1" s="7"/>
      <c r="N1" s="7"/>
      <c r="O1" s="7"/>
      <c r="Q1" s="7"/>
      <c r="AH1" s="7"/>
      <c r="AI1" s="7"/>
      <c r="AJ1" s="7"/>
      <c r="AK1" s="7">
        <v>0</v>
      </c>
      <c r="AL1" s="7" t="s">
        <v>42</v>
      </c>
      <c r="AM1" s="7"/>
      <c r="AN1" s="7"/>
      <c r="AO1" s="7"/>
      <c r="AP1" s="7"/>
      <c r="AQ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3" customFormat="1" ht="42" customHeight="1" thickBot="1" x14ac:dyDescent="0.35">
      <c r="A2" s="10" t="s">
        <v>23</v>
      </c>
      <c r="B2" s="11" t="s">
        <v>42</v>
      </c>
      <c r="C2" s="7"/>
      <c r="D2" s="7"/>
      <c r="E2" s="12"/>
      <c r="F2" s="81" t="s">
        <v>24</v>
      </c>
      <c r="G2" s="82"/>
      <c r="I2" s="14"/>
      <c r="J2" s="14"/>
      <c r="K2" s="14"/>
      <c r="L2" s="14"/>
      <c r="M2" s="14"/>
      <c r="N2" s="14"/>
      <c r="O2" s="14"/>
      <c r="Q2" s="14"/>
      <c r="R2" s="7"/>
      <c r="S2" s="7"/>
      <c r="T2" s="7"/>
      <c r="U2" s="7"/>
      <c r="V2" s="7"/>
      <c r="W2" s="14"/>
      <c r="X2" s="14"/>
      <c r="Y2" s="72"/>
      <c r="Z2" s="72"/>
      <c r="AA2" s="14"/>
      <c r="AB2" s="14"/>
      <c r="AC2" s="14"/>
      <c r="AD2" s="14"/>
      <c r="AE2" s="14"/>
      <c r="AF2" s="14"/>
      <c r="AG2" s="14"/>
      <c r="AH2" s="14">
        <v>0</v>
      </c>
      <c r="AI2" s="14"/>
      <c r="AJ2" s="14"/>
      <c r="AK2" s="14">
        <v>0</v>
      </c>
      <c r="AL2" s="14">
        <v>0</v>
      </c>
      <c r="AM2" s="14"/>
      <c r="AN2" s="14"/>
      <c r="AO2" s="14"/>
      <c r="AP2" s="14"/>
      <c r="AQ2" s="14"/>
      <c r="AR2" s="7"/>
      <c r="AS2" s="7"/>
      <c r="AT2" s="7"/>
      <c r="AU2" s="7"/>
      <c r="AV2" s="7"/>
      <c r="AW2" s="7"/>
      <c r="AX2" s="7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</row>
    <row r="3" spans="1:66" ht="16.2" thickBot="1" x14ac:dyDescent="0.35">
      <c r="A3" s="15">
        <v>1</v>
      </c>
      <c r="B3" s="16">
        <v>1</v>
      </c>
      <c r="E3" s="17"/>
      <c r="F3" s="18">
        <v>10000</v>
      </c>
      <c r="G3" s="19" t="s">
        <v>25</v>
      </c>
      <c r="AH3" s="7">
        <v>0.12903225421905518</v>
      </c>
      <c r="AI3" s="7">
        <v>0</v>
      </c>
      <c r="AJ3" s="7"/>
      <c r="AK3" s="7">
        <v>0</v>
      </c>
      <c r="AL3" s="7">
        <v>3705</v>
      </c>
      <c r="AM3" s="7"/>
      <c r="AN3" s="7"/>
      <c r="AO3" s="7"/>
      <c r="AP3" s="7"/>
      <c r="AQ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ht="16.2" thickBot="1" x14ac:dyDescent="0.35">
      <c r="A4" s="15">
        <v>2</v>
      </c>
      <c r="B4" s="16">
        <v>1</v>
      </c>
      <c r="E4" s="17"/>
      <c r="F4" s="20">
        <v>9.9999998230487108</v>
      </c>
      <c r="G4" s="21" t="s">
        <v>26</v>
      </c>
      <c r="I4" s="83" t="s">
        <v>27</v>
      </c>
      <c r="J4" s="84"/>
      <c r="K4" s="85"/>
      <c r="L4" s="86" t="s">
        <v>28</v>
      </c>
      <c r="M4" s="86"/>
      <c r="N4" s="87"/>
      <c r="P4" s="73"/>
      <c r="AH4" s="7">
        <v>0.25806450843811035</v>
      </c>
      <c r="AI4" s="7">
        <v>3</v>
      </c>
      <c r="AJ4" s="7"/>
      <c r="AK4" s="7">
        <v>2.5000000000000001E-2</v>
      </c>
      <c r="AL4" s="7">
        <v>3705</v>
      </c>
      <c r="AM4" s="7"/>
      <c r="AN4" s="7"/>
      <c r="AO4" s="7"/>
      <c r="AP4" s="7"/>
      <c r="AQ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x14ac:dyDescent="0.3">
      <c r="A5" s="15">
        <v>3</v>
      </c>
      <c r="B5" s="16">
        <v>1</v>
      </c>
      <c r="E5" s="22"/>
      <c r="F5" s="23"/>
      <c r="G5" s="22"/>
      <c r="I5" s="24" t="s">
        <v>29</v>
      </c>
      <c r="J5" s="25">
        <v>0.62949999999999995</v>
      </c>
      <c r="K5" s="26"/>
      <c r="L5" s="27"/>
      <c r="M5" s="28"/>
      <c r="N5" s="29"/>
      <c r="P5" s="73"/>
      <c r="AH5" s="7">
        <v>0.38709676265716553</v>
      </c>
      <c r="AI5" s="7">
        <v>4</v>
      </c>
      <c r="AJ5" s="7"/>
      <c r="AK5" s="7">
        <v>2.5000000000000001E-2</v>
      </c>
      <c r="AL5" s="7">
        <v>0</v>
      </c>
      <c r="AM5" s="7"/>
      <c r="AN5" s="7"/>
      <c r="AO5" s="7"/>
      <c r="AP5" s="7"/>
      <c r="AQ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x14ac:dyDescent="0.3">
      <c r="A6" s="15">
        <v>4</v>
      </c>
      <c r="B6" s="16">
        <v>0</v>
      </c>
      <c r="I6" s="30" t="s">
        <v>30</v>
      </c>
      <c r="J6" s="31">
        <v>0.48296280944553716</v>
      </c>
      <c r="K6" s="32"/>
      <c r="L6" s="33"/>
      <c r="M6" s="34"/>
      <c r="N6" s="32"/>
      <c r="AH6" s="7">
        <v>0.5161290168762207</v>
      </c>
      <c r="AI6" s="7">
        <v>8</v>
      </c>
      <c r="AJ6" s="7"/>
      <c r="AK6" s="7">
        <v>0.05</v>
      </c>
      <c r="AL6" s="7">
        <v>0</v>
      </c>
      <c r="AM6" s="7"/>
      <c r="AN6" s="7"/>
      <c r="AO6" s="7"/>
      <c r="AP6" s="7"/>
      <c r="AQ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3">
      <c r="A7" s="15">
        <v>5</v>
      </c>
      <c r="B7" s="16">
        <v>1</v>
      </c>
      <c r="F7" s="35"/>
      <c r="I7" s="36" t="s">
        <v>31</v>
      </c>
      <c r="J7" s="37">
        <v>1</v>
      </c>
      <c r="K7" s="26"/>
      <c r="L7" s="38"/>
      <c r="M7" s="17"/>
      <c r="N7" s="32"/>
      <c r="AH7" s="7">
        <v>0.64516127109527588</v>
      </c>
      <c r="AI7" s="7">
        <v>4</v>
      </c>
      <c r="AJ7" s="7"/>
      <c r="AK7" s="7">
        <v>0.05</v>
      </c>
      <c r="AL7" s="7">
        <v>0</v>
      </c>
      <c r="AM7" s="7"/>
      <c r="AN7" s="7"/>
      <c r="AO7" s="7"/>
      <c r="AP7" s="7"/>
      <c r="AQ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</row>
    <row r="8" spans="1:66" ht="16.2" thickBot="1" x14ac:dyDescent="0.35">
      <c r="A8" s="15">
        <v>6</v>
      </c>
      <c r="B8" s="16">
        <v>1</v>
      </c>
      <c r="F8" s="35"/>
      <c r="I8" s="39" t="s">
        <v>32</v>
      </c>
      <c r="J8" s="40">
        <v>0</v>
      </c>
      <c r="K8" s="41"/>
      <c r="L8" s="42"/>
      <c r="M8" s="43"/>
      <c r="N8" s="44"/>
      <c r="AH8" s="7">
        <v>0.77419352531433105</v>
      </c>
      <c r="AI8" s="7">
        <v>9</v>
      </c>
      <c r="AJ8" s="7"/>
      <c r="AK8" s="7">
        <v>7.4999999999999997E-2</v>
      </c>
      <c r="AL8" s="7">
        <v>0</v>
      </c>
      <c r="AM8" s="7"/>
      <c r="AN8" s="7"/>
      <c r="AO8" s="7"/>
      <c r="AP8" s="7"/>
      <c r="AQ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</row>
    <row r="9" spans="1:66" x14ac:dyDescent="0.3">
      <c r="A9" s="15">
        <v>7</v>
      </c>
      <c r="B9" s="16">
        <v>1</v>
      </c>
      <c r="F9" s="35"/>
      <c r="I9" s="22"/>
      <c r="J9" s="45"/>
      <c r="K9" s="22"/>
      <c r="L9" s="22"/>
      <c r="M9" s="22"/>
      <c r="N9" s="22"/>
      <c r="AH9" s="7">
        <v>0.90322577953338623</v>
      </c>
      <c r="AI9" s="7">
        <v>9</v>
      </c>
      <c r="AJ9" s="7"/>
      <c r="AK9" s="7">
        <v>7.4999999999999997E-2</v>
      </c>
      <c r="AL9" s="7">
        <v>0</v>
      </c>
      <c r="AM9" s="7"/>
      <c r="AN9" s="7"/>
      <c r="AO9" s="7"/>
      <c r="AP9" s="7"/>
      <c r="AQ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</row>
    <row r="10" spans="1:66" x14ac:dyDescent="0.3">
      <c r="A10" s="15">
        <v>8</v>
      </c>
      <c r="B10" s="16">
        <v>1</v>
      </c>
      <c r="F10" s="35"/>
      <c r="I10" s="17"/>
      <c r="J10" s="45"/>
      <c r="K10" s="22"/>
      <c r="L10" s="22"/>
      <c r="M10" s="22"/>
      <c r="N10" s="22"/>
      <c r="P10" s="73"/>
      <c r="AH10" s="7">
        <v>1.0322580337524414</v>
      </c>
      <c r="AI10" s="7">
        <v>12</v>
      </c>
      <c r="AJ10" s="7"/>
      <c r="AK10" s="7">
        <v>0.1</v>
      </c>
      <c r="AL10" s="7">
        <v>0</v>
      </c>
      <c r="AM10" s="7"/>
      <c r="AN10" s="7"/>
      <c r="AO10" s="7"/>
      <c r="AP10" s="7"/>
      <c r="AQ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</row>
    <row r="11" spans="1:66" x14ac:dyDescent="0.3">
      <c r="A11" s="15">
        <v>9</v>
      </c>
      <c r="B11" s="16">
        <v>1</v>
      </c>
      <c r="I11" s="22"/>
      <c r="J11" s="45"/>
      <c r="K11" s="22"/>
      <c r="L11" s="22"/>
      <c r="M11" s="22"/>
      <c r="N11" s="22"/>
      <c r="P11" s="73"/>
      <c r="AH11" s="7">
        <v>1.1612902879714966</v>
      </c>
      <c r="AI11" s="7">
        <v>8</v>
      </c>
      <c r="AJ11" s="7"/>
      <c r="AK11" s="7">
        <v>0.1</v>
      </c>
      <c r="AL11" s="7">
        <v>0</v>
      </c>
      <c r="AM11" s="7"/>
      <c r="AN11" s="7"/>
      <c r="AO11" s="7"/>
      <c r="AP11" s="7"/>
      <c r="AQ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</row>
    <row r="12" spans="1:66" x14ac:dyDescent="0.3">
      <c r="A12" s="15">
        <v>10</v>
      </c>
      <c r="B12" s="16">
        <v>0</v>
      </c>
      <c r="I12" s="22"/>
      <c r="J12" s="22"/>
      <c r="K12" s="22"/>
      <c r="L12" s="22"/>
      <c r="M12" s="22"/>
      <c r="N12" s="22"/>
      <c r="P12" s="73"/>
      <c r="AH12" s="7">
        <v>1.2903225421905518</v>
      </c>
      <c r="AI12" s="7">
        <v>3</v>
      </c>
      <c r="AJ12" s="7"/>
      <c r="AK12" s="7">
        <v>0.125</v>
      </c>
      <c r="AL12" s="7">
        <v>0</v>
      </c>
      <c r="AM12" s="7"/>
      <c r="AN12" s="7"/>
      <c r="AO12" s="7"/>
      <c r="AP12" s="7"/>
      <c r="AQ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</row>
    <row r="13" spans="1:66" x14ac:dyDescent="0.3">
      <c r="A13" s="15">
        <v>11</v>
      </c>
      <c r="B13" s="16">
        <v>1</v>
      </c>
      <c r="I13" s="22"/>
      <c r="J13" s="22"/>
      <c r="K13" s="22"/>
      <c r="L13" s="22"/>
      <c r="M13" s="22"/>
      <c r="N13" s="22"/>
      <c r="AH13" s="7">
        <v>1.4193547964096069</v>
      </c>
      <c r="AI13" s="7">
        <v>6</v>
      </c>
      <c r="AJ13" s="7"/>
      <c r="AK13" s="7">
        <v>0.125</v>
      </c>
      <c r="AL13" s="7">
        <v>0</v>
      </c>
      <c r="AM13" s="7"/>
      <c r="AN13" s="7"/>
      <c r="AO13" s="7"/>
      <c r="AP13" s="7"/>
      <c r="AQ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</row>
    <row r="14" spans="1:66" x14ac:dyDescent="0.3">
      <c r="A14" s="15">
        <v>12</v>
      </c>
      <c r="B14" s="16">
        <v>1</v>
      </c>
      <c r="E14" s="74"/>
      <c r="I14" s="22"/>
      <c r="J14" s="22"/>
      <c r="K14" s="22"/>
      <c r="L14" s="22"/>
      <c r="M14" s="22"/>
      <c r="N14" s="22"/>
      <c r="AH14" s="7">
        <v>1.5483870506286621</v>
      </c>
      <c r="AI14" s="7">
        <v>7</v>
      </c>
      <c r="AJ14" s="7"/>
      <c r="AK14" s="7">
        <v>0.15</v>
      </c>
      <c r="AL14" s="7">
        <v>0</v>
      </c>
      <c r="AM14" s="7"/>
      <c r="AN14" s="7"/>
      <c r="AO14" s="7"/>
      <c r="AP14" s="7"/>
      <c r="AQ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</row>
    <row r="15" spans="1:66" x14ac:dyDescent="0.3">
      <c r="A15" s="15">
        <v>13</v>
      </c>
      <c r="B15" s="16">
        <v>1</v>
      </c>
      <c r="E15" s="74"/>
      <c r="I15" s="22"/>
      <c r="J15" s="22"/>
      <c r="K15" s="22"/>
      <c r="L15" s="22"/>
      <c r="M15" s="22"/>
      <c r="N15" s="22"/>
      <c r="AH15" s="7">
        <v>1.6774193048477173</v>
      </c>
      <c r="AI15" s="7">
        <v>6</v>
      </c>
      <c r="AJ15" s="7"/>
      <c r="AK15" s="7">
        <v>0.15</v>
      </c>
      <c r="AL15" s="7">
        <v>0</v>
      </c>
      <c r="AM15" s="7"/>
      <c r="AN15" s="7"/>
      <c r="AO15" s="7"/>
      <c r="AP15" s="7"/>
      <c r="AQ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</row>
    <row r="16" spans="1:66" x14ac:dyDescent="0.3">
      <c r="A16" s="15">
        <v>14</v>
      </c>
      <c r="B16" s="16">
        <v>1</v>
      </c>
      <c r="E16" s="74"/>
      <c r="I16" s="22"/>
      <c r="J16" s="22"/>
      <c r="K16" s="22"/>
      <c r="L16" s="22"/>
      <c r="M16" s="22"/>
      <c r="N16" s="22"/>
      <c r="AH16" s="7">
        <v>1.8064515590667725</v>
      </c>
      <c r="AI16" s="7">
        <v>6</v>
      </c>
      <c r="AJ16" s="7"/>
      <c r="AK16" s="7">
        <v>0.17499999999999999</v>
      </c>
      <c r="AL16" s="7">
        <v>0</v>
      </c>
      <c r="AM16" s="7"/>
      <c r="AN16" s="7"/>
      <c r="AO16" s="7"/>
      <c r="AP16" s="7"/>
      <c r="AQ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</row>
    <row r="17" spans="1:66" x14ac:dyDescent="0.3">
      <c r="A17" s="15">
        <v>15</v>
      </c>
      <c r="B17" s="16">
        <v>1</v>
      </c>
      <c r="I17" s="22"/>
      <c r="J17" s="22"/>
      <c r="K17" s="22"/>
      <c r="L17" s="22"/>
      <c r="M17" s="22"/>
      <c r="N17" s="22"/>
      <c r="AH17" s="7">
        <v>1.9354838132858276</v>
      </c>
      <c r="AI17" s="7">
        <v>2</v>
      </c>
      <c r="AJ17" s="7"/>
      <c r="AK17" s="7">
        <v>0.17499999999999999</v>
      </c>
      <c r="AL17" s="7">
        <v>0</v>
      </c>
      <c r="AM17" s="7"/>
      <c r="AN17" s="7"/>
      <c r="AO17" s="7"/>
      <c r="AP17" s="7"/>
      <c r="AQ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</row>
    <row r="18" spans="1:66" x14ac:dyDescent="0.3">
      <c r="A18" s="15">
        <v>16</v>
      </c>
      <c r="B18" s="16">
        <v>1</v>
      </c>
      <c r="I18" s="22"/>
      <c r="J18" s="22"/>
      <c r="K18" s="22"/>
      <c r="L18" s="22"/>
      <c r="M18" s="22"/>
      <c r="N18" s="22"/>
      <c r="AH18" s="7">
        <v>2.0645160675048828</v>
      </c>
      <c r="AI18" s="7">
        <v>5</v>
      </c>
      <c r="AJ18" s="7"/>
      <c r="AK18" s="7">
        <v>0.2</v>
      </c>
      <c r="AL18" s="7">
        <v>0</v>
      </c>
      <c r="AM18" s="7"/>
      <c r="AN18" s="7"/>
      <c r="AO18" s="7"/>
      <c r="AP18" s="7"/>
      <c r="AQ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</row>
    <row r="19" spans="1:66" x14ac:dyDescent="0.3">
      <c r="A19" s="15">
        <v>17</v>
      </c>
      <c r="B19" s="16">
        <v>1</v>
      </c>
      <c r="I19" s="22"/>
      <c r="J19" s="22"/>
      <c r="K19" s="22"/>
      <c r="L19" s="22"/>
      <c r="M19" s="22"/>
      <c r="N19" s="22"/>
      <c r="AH19" s="7">
        <v>2.193548321723938</v>
      </c>
      <c r="AI19" s="7">
        <v>2</v>
      </c>
      <c r="AJ19" s="7"/>
      <c r="AK19" s="7">
        <v>0.2</v>
      </c>
      <c r="AL19" s="7">
        <v>0</v>
      </c>
      <c r="AM19" s="7"/>
      <c r="AN19" s="7"/>
      <c r="AO19" s="7"/>
      <c r="AP19" s="7"/>
      <c r="AQ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</row>
    <row r="20" spans="1:66" x14ac:dyDescent="0.3">
      <c r="A20" s="15">
        <v>18</v>
      </c>
      <c r="B20" s="16">
        <v>0</v>
      </c>
      <c r="I20" s="22"/>
      <c r="J20" s="22"/>
      <c r="K20" s="22"/>
      <c r="L20" s="22"/>
      <c r="M20" s="22"/>
      <c r="N20" s="22"/>
      <c r="AH20" s="7">
        <v>2.3225805759429932</v>
      </c>
      <c r="AI20" s="7">
        <v>3</v>
      </c>
      <c r="AJ20" s="7"/>
      <c r="AK20" s="7">
        <v>0.22500000000000001</v>
      </c>
      <c r="AL20" s="7">
        <v>0</v>
      </c>
      <c r="AM20" s="7"/>
      <c r="AN20" s="7"/>
      <c r="AO20" s="7"/>
      <c r="AP20" s="7"/>
      <c r="AQ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</row>
    <row r="21" spans="1:66" x14ac:dyDescent="0.3">
      <c r="A21" s="15">
        <v>19</v>
      </c>
      <c r="B21" s="16">
        <v>0</v>
      </c>
      <c r="I21" s="22"/>
      <c r="J21" s="22"/>
      <c r="K21" s="22"/>
      <c r="L21" s="22"/>
      <c r="M21" s="22"/>
      <c r="N21" s="22"/>
      <c r="AH21" s="7">
        <v>2.4516128301620483</v>
      </c>
      <c r="AI21" s="7">
        <v>2</v>
      </c>
      <c r="AJ21" s="7"/>
      <c r="AK21" s="7">
        <v>0.22500000000000001</v>
      </c>
      <c r="AL21" s="7">
        <v>0</v>
      </c>
      <c r="AM21" s="7"/>
      <c r="AN21" s="7"/>
      <c r="AO21" s="7"/>
      <c r="AP21" s="7"/>
      <c r="AQ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</row>
    <row r="22" spans="1:66" x14ac:dyDescent="0.3">
      <c r="A22" s="15">
        <v>20</v>
      </c>
      <c r="B22" s="16">
        <v>1</v>
      </c>
      <c r="I22" s="22"/>
      <c r="J22" s="22"/>
      <c r="K22" s="22"/>
      <c r="L22" s="22"/>
      <c r="M22" s="22"/>
      <c r="N22" s="22"/>
      <c r="AH22" s="7">
        <v>2.5806450843811035</v>
      </c>
      <c r="AI22" s="7">
        <v>1</v>
      </c>
      <c r="AJ22" s="7"/>
      <c r="AK22" s="7">
        <v>0.25</v>
      </c>
      <c r="AL22" s="7">
        <v>0</v>
      </c>
      <c r="AM22" s="7"/>
      <c r="AN22" s="7"/>
      <c r="AO22" s="7"/>
      <c r="AP22" s="7"/>
      <c r="AQ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</row>
    <row r="23" spans="1:66" x14ac:dyDescent="0.3">
      <c r="A23" s="15">
        <v>21</v>
      </c>
      <c r="B23" s="16">
        <v>1</v>
      </c>
      <c r="AH23" s="7">
        <v>2.7096773386001587</v>
      </c>
      <c r="AI23" s="7">
        <v>0</v>
      </c>
      <c r="AJ23" s="7"/>
      <c r="AK23" s="7">
        <v>0.25</v>
      </c>
      <c r="AL23" s="7">
        <v>0</v>
      </c>
      <c r="AM23" s="7"/>
      <c r="AN23" s="7"/>
      <c r="AO23" s="7"/>
      <c r="AP23" s="7"/>
      <c r="AQ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</row>
    <row r="24" spans="1:66" x14ac:dyDescent="0.3">
      <c r="A24" s="15">
        <v>22</v>
      </c>
      <c r="B24" s="16">
        <v>0</v>
      </c>
      <c r="AH24" s="7">
        <v>2.8387095928192139</v>
      </c>
      <c r="AI24" s="7">
        <v>0</v>
      </c>
      <c r="AJ24" s="7"/>
      <c r="AK24" s="7">
        <v>0.27500000000000002</v>
      </c>
      <c r="AL24" s="7">
        <v>0</v>
      </c>
      <c r="AM24" s="7"/>
      <c r="AN24" s="7"/>
      <c r="AO24" s="7"/>
      <c r="AP24" s="7"/>
      <c r="AQ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</row>
    <row r="25" spans="1:66" x14ac:dyDescent="0.3">
      <c r="A25" s="15">
        <v>23</v>
      </c>
      <c r="B25" s="16">
        <v>1</v>
      </c>
      <c r="AH25" s="7">
        <v>2.967741847038269</v>
      </c>
      <c r="AI25" s="7">
        <v>0</v>
      </c>
      <c r="AJ25" s="7"/>
      <c r="AK25" s="7">
        <v>0.27500000000000002</v>
      </c>
      <c r="AL25" s="7">
        <v>0</v>
      </c>
      <c r="AM25" s="7"/>
      <c r="AN25" s="7"/>
      <c r="AO25" s="7"/>
      <c r="AP25" s="7"/>
      <c r="AQ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</row>
    <row r="26" spans="1:66" x14ac:dyDescent="0.3">
      <c r="A26" s="15">
        <v>24</v>
      </c>
      <c r="B26" s="16">
        <v>1</v>
      </c>
      <c r="AH26" s="7">
        <v>3.0967741012573242</v>
      </c>
      <c r="AI26" s="7">
        <v>0</v>
      </c>
      <c r="AJ26" s="7"/>
      <c r="AK26" s="7">
        <v>0.3</v>
      </c>
      <c r="AL26" s="7">
        <v>0</v>
      </c>
      <c r="AM26" s="7"/>
      <c r="AN26" s="7"/>
      <c r="AO26" s="7"/>
      <c r="AP26" s="7"/>
      <c r="AQ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</row>
    <row r="27" spans="1:66" x14ac:dyDescent="0.3">
      <c r="A27" s="15">
        <v>25</v>
      </c>
      <c r="B27" s="16">
        <v>1</v>
      </c>
      <c r="AH27" s="7">
        <v>3.2258063554763794</v>
      </c>
      <c r="AI27" s="7">
        <v>0</v>
      </c>
      <c r="AJ27" s="7"/>
      <c r="AK27" s="7">
        <v>0.3</v>
      </c>
      <c r="AL27" s="7">
        <v>0</v>
      </c>
      <c r="AM27" s="7"/>
      <c r="AN27" s="7"/>
      <c r="AO27" s="7"/>
      <c r="AP27" s="7"/>
      <c r="AQ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</row>
    <row r="28" spans="1:66" x14ac:dyDescent="0.3">
      <c r="A28" s="15">
        <v>26</v>
      </c>
      <c r="B28" s="16">
        <v>0</v>
      </c>
      <c r="AH28" s="7">
        <v>3.3548386096954346</v>
      </c>
      <c r="AI28" s="7">
        <v>0</v>
      </c>
      <c r="AJ28" s="7"/>
      <c r="AK28" s="7">
        <v>0.32500000000000001</v>
      </c>
      <c r="AL28" s="7">
        <v>0</v>
      </c>
      <c r="AM28" s="7"/>
      <c r="AN28" s="7"/>
      <c r="AO28" s="7"/>
      <c r="AP28" s="7"/>
      <c r="AQ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</row>
    <row r="29" spans="1:66" x14ac:dyDescent="0.3">
      <c r="A29" s="15">
        <v>27</v>
      </c>
      <c r="B29" s="16">
        <v>1</v>
      </c>
      <c r="AH29" s="7">
        <v>3.4838708639144897</v>
      </c>
      <c r="AI29" s="7">
        <v>0</v>
      </c>
      <c r="AJ29" s="7"/>
      <c r="AK29" s="7">
        <v>0.32500000000000001</v>
      </c>
      <c r="AL29" s="7">
        <v>0</v>
      </c>
      <c r="AM29" s="7"/>
      <c r="AN29" s="7"/>
      <c r="AO29" s="7"/>
      <c r="AP29" s="7"/>
      <c r="AQ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</row>
    <row r="30" spans="1:66" x14ac:dyDescent="0.3">
      <c r="A30" s="15">
        <v>28</v>
      </c>
      <c r="B30" s="16">
        <v>1</v>
      </c>
      <c r="AH30" s="7">
        <v>3.6129031181335449</v>
      </c>
      <c r="AI30" s="7">
        <v>0</v>
      </c>
      <c r="AJ30" s="7"/>
      <c r="AK30" s="7">
        <v>0.35</v>
      </c>
      <c r="AL30" s="7">
        <v>0</v>
      </c>
      <c r="AM30" s="7"/>
      <c r="AN30" s="7"/>
      <c r="AO30" s="7"/>
      <c r="AP30" s="7"/>
      <c r="AQ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</row>
    <row r="31" spans="1:66" x14ac:dyDescent="0.3">
      <c r="A31" s="15">
        <v>29</v>
      </c>
      <c r="B31" s="16">
        <v>0</v>
      </c>
      <c r="AH31" s="7">
        <v>3.7419353723526001</v>
      </c>
      <c r="AI31" s="7">
        <v>0</v>
      </c>
      <c r="AJ31" s="7"/>
      <c r="AK31" s="7">
        <v>0.35</v>
      </c>
      <c r="AL31" s="7">
        <v>0</v>
      </c>
      <c r="AM31" s="7"/>
      <c r="AN31" s="7"/>
      <c r="AO31" s="7"/>
      <c r="AP31" s="7"/>
      <c r="AQ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</row>
    <row r="32" spans="1:66" x14ac:dyDescent="0.3">
      <c r="A32" s="15">
        <v>30</v>
      </c>
      <c r="B32" s="16">
        <v>0</v>
      </c>
      <c r="AH32" s="7">
        <v>3.8709676265716553</v>
      </c>
      <c r="AI32" s="7">
        <v>0</v>
      </c>
      <c r="AJ32" s="7"/>
      <c r="AK32" s="7">
        <v>0.375</v>
      </c>
      <c r="AL32" s="7">
        <v>0</v>
      </c>
      <c r="AM32" s="7"/>
      <c r="AN32" s="7"/>
      <c r="AO32" s="7"/>
      <c r="AP32" s="7"/>
      <c r="AQ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</row>
    <row r="33" spans="1:66" x14ac:dyDescent="0.3">
      <c r="A33" s="15">
        <v>31</v>
      </c>
      <c r="B33" s="16">
        <v>1</v>
      </c>
      <c r="AH33" s="7">
        <v>3.9999998807907104</v>
      </c>
      <c r="AI33" s="7">
        <v>0</v>
      </c>
      <c r="AJ33" s="7"/>
      <c r="AK33" s="7">
        <v>0.375</v>
      </c>
      <c r="AL33" s="7">
        <v>0</v>
      </c>
      <c r="AM33" s="7"/>
      <c r="AN33" s="7"/>
      <c r="AO33" s="7"/>
      <c r="AP33" s="7"/>
      <c r="AQ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</row>
    <row r="34" spans="1:66" x14ac:dyDescent="0.3">
      <c r="A34" s="15">
        <v>32</v>
      </c>
      <c r="B34" s="16">
        <v>1</v>
      </c>
      <c r="AH34" s="7"/>
      <c r="AI34" s="7"/>
      <c r="AJ34" s="7"/>
      <c r="AK34" s="7">
        <v>0.4</v>
      </c>
      <c r="AL34" s="7">
        <v>0</v>
      </c>
      <c r="AM34" s="7"/>
      <c r="AN34" s="7"/>
      <c r="AO34" s="7"/>
      <c r="AP34" s="7"/>
      <c r="AQ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</row>
    <row r="35" spans="1:66" x14ac:dyDescent="0.3">
      <c r="A35" s="15">
        <v>33</v>
      </c>
      <c r="B35" s="16">
        <v>1</v>
      </c>
      <c r="AH35" s="7"/>
      <c r="AI35" s="7"/>
      <c r="AJ35" s="7"/>
      <c r="AK35" s="7">
        <v>0.4</v>
      </c>
      <c r="AL35" s="7">
        <v>0</v>
      </c>
      <c r="AM35" s="7"/>
      <c r="AN35" s="7"/>
      <c r="AO35" s="7"/>
      <c r="AP35" s="7"/>
      <c r="AQ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</row>
    <row r="36" spans="1:66" x14ac:dyDescent="0.3">
      <c r="A36" s="15">
        <v>34</v>
      </c>
      <c r="B36" s="16">
        <v>0</v>
      </c>
      <c r="AH36" s="7"/>
      <c r="AI36" s="7"/>
      <c r="AJ36" s="7"/>
      <c r="AK36" s="7">
        <v>0.42499999999999999</v>
      </c>
      <c r="AL36" s="7">
        <v>0</v>
      </c>
      <c r="AM36" s="7"/>
      <c r="AN36" s="7"/>
      <c r="AO36" s="7"/>
      <c r="AP36" s="7"/>
      <c r="AQ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</row>
    <row r="37" spans="1:66" x14ac:dyDescent="0.3">
      <c r="A37" s="15">
        <v>35</v>
      </c>
      <c r="B37" s="16">
        <v>1</v>
      </c>
      <c r="AH37" s="7"/>
      <c r="AI37" s="7"/>
      <c r="AJ37" s="7"/>
      <c r="AK37" s="7">
        <v>0.42499999999999999</v>
      </c>
      <c r="AL37" s="7">
        <v>0</v>
      </c>
      <c r="AM37" s="7"/>
      <c r="AN37" s="7"/>
      <c r="AO37" s="7"/>
      <c r="AP37" s="7"/>
      <c r="AQ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</row>
    <row r="38" spans="1:66" x14ac:dyDescent="0.3">
      <c r="A38" s="15">
        <v>36</v>
      </c>
      <c r="B38" s="16">
        <v>0</v>
      </c>
      <c r="AH38" s="7"/>
      <c r="AI38" s="7"/>
      <c r="AJ38" s="7"/>
      <c r="AK38" s="7">
        <v>0.45</v>
      </c>
      <c r="AL38" s="7">
        <v>0</v>
      </c>
      <c r="AM38" s="7"/>
      <c r="AN38" s="7"/>
      <c r="AO38" s="7"/>
      <c r="AP38" s="7"/>
      <c r="AQ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</row>
    <row r="39" spans="1:66" x14ac:dyDescent="0.3">
      <c r="A39" s="15">
        <v>37</v>
      </c>
      <c r="B39" s="16">
        <v>1</v>
      </c>
      <c r="AH39" s="7"/>
      <c r="AI39" s="7"/>
      <c r="AJ39" s="7"/>
      <c r="AK39" s="7">
        <v>0.45</v>
      </c>
      <c r="AL39" s="7">
        <v>0</v>
      </c>
      <c r="AM39" s="7"/>
      <c r="AN39" s="7"/>
      <c r="AO39" s="7"/>
      <c r="AP39" s="7"/>
      <c r="AQ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</row>
    <row r="40" spans="1:66" x14ac:dyDescent="0.3">
      <c r="A40" s="15">
        <v>38</v>
      </c>
      <c r="B40" s="16">
        <v>0</v>
      </c>
      <c r="AH40" s="7"/>
      <c r="AI40" s="7"/>
      <c r="AJ40" s="7"/>
      <c r="AK40" s="7">
        <v>0.47499999999999998</v>
      </c>
      <c r="AL40" s="7">
        <v>0</v>
      </c>
      <c r="AM40" s="7"/>
      <c r="AN40" s="7"/>
      <c r="AO40" s="7"/>
      <c r="AP40" s="7"/>
      <c r="AQ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</row>
    <row r="41" spans="1:66" x14ac:dyDescent="0.3">
      <c r="A41" s="15">
        <v>39</v>
      </c>
      <c r="B41" s="16">
        <v>0</v>
      </c>
      <c r="AH41" s="7"/>
      <c r="AI41" s="7"/>
      <c r="AJ41" s="7"/>
      <c r="AK41" s="7">
        <v>0.47499999999999998</v>
      </c>
      <c r="AL41" s="7">
        <v>0</v>
      </c>
      <c r="AM41" s="7"/>
      <c r="AN41" s="7"/>
      <c r="AO41" s="7"/>
      <c r="AP41" s="7"/>
      <c r="AQ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</row>
    <row r="42" spans="1:66" x14ac:dyDescent="0.3">
      <c r="A42" s="15">
        <v>40</v>
      </c>
      <c r="B42" s="16">
        <v>1</v>
      </c>
      <c r="AH42" s="7"/>
      <c r="AI42" s="7"/>
      <c r="AJ42" s="7"/>
      <c r="AK42" s="7">
        <v>0.5</v>
      </c>
      <c r="AL42" s="7">
        <v>0</v>
      </c>
      <c r="AM42" s="7"/>
      <c r="AN42" s="7"/>
      <c r="AO42" s="7"/>
      <c r="AP42" s="7"/>
      <c r="AQ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</row>
    <row r="43" spans="1:66" x14ac:dyDescent="0.3">
      <c r="A43" s="15">
        <v>41</v>
      </c>
      <c r="B43" s="16">
        <v>1</v>
      </c>
      <c r="AH43" s="7"/>
      <c r="AI43" s="7"/>
      <c r="AJ43" s="7"/>
      <c r="AK43" s="7">
        <v>0.5</v>
      </c>
      <c r="AL43" s="7">
        <v>0</v>
      </c>
      <c r="AM43" s="7"/>
      <c r="AN43" s="7"/>
      <c r="AO43" s="7"/>
      <c r="AP43" s="7"/>
      <c r="AQ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</row>
    <row r="44" spans="1:66" x14ac:dyDescent="0.3">
      <c r="A44" s="15">
        <v>42</v>
      </c>
      <c r="B44" s="16">
        <v>1</v>
      </c>
      <c r="AH44" s="7"/>
      <c r="AI44" s="7"/>
      <c r="AJ44" s="7"/>
      <c r="AK44" s="7">
        <v>0.52500000000000002</v>
      </c>
      <c r="AL44" s="7">
        <v>0</v>
      </c>
      <c r="AM44" s="7"/>
      <c r="AN44" s="7"/>
      <c r="AO44" s="7"/>
      <c r="AP44" s="7"/>
      <c r="AQ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</row>
    <row r="45" spans="1:66" x14ac:dyDescent="0.3">
      <c r="A45" s="15">
        <v>43</v>
      </c>
      <c r="B45" s="16">
        <v>1</v>
      </c>
      <c r="AH45" s="7"/>
      <c r="AI45" s="7"/>
      <c r="AJ45" s="7"/>
      <c r="AK45" s="7">
        <v>0.52500000000000002</v>
      </c>
      <c r="AL45" s="7">
        <v>0</v>
      </c>
      <c r="AM45" s="7"/>
      <c r="AN45" s="7"/>
      <c r="AO45" s="7"/>
      <c r="AP45" s="7"/>
      <c r="AQ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</row>
    <row r="46" spans="1:66" x14ac:dyDescent="0.3">
      <c r="A46" s="15">
        <v>44</v>
      </c>
      <c r="B46" s="16">
        <v>1</v>
      </c>
      <c r="AH46" s="7"/>
      <c r="AI46" s="7"/>
      <c r="AJ46" s="7"/>
      <c r="AK46" s="7">
        <v>0.55000000000000004</v>
      </c>
      <c r="AL46" s="7">
        <v>0</v>
      </c>
      <c r="AM46" s="7"/>
      <c r="AN46" s="7"/>
      <c r="AO46" s="7"/>
      <c r="AP46" s="7"/>
      <c r="AQ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</row>
    <row r="47" spans="1:66" x14ac:dyDescent="0.3">
      <c r="A47" s="15">
        <v>45</v>
      </c>
      <c r="B47" s="16">
        <v>1</v>
      </c>
      <c r="AH47" s="7"/>
      <c r="AI47" s="7"/>
      <c r="AJ47" s="7"/>
      <c r="AK47" s="7">
        <v>0.55000000000000004</v>
      </c>
      <c r="AL47" s="7">
        <v>0</v>
      </c>
      <c r="AM47" s="7"/>
      <c r="AN47" s="7"/>
      <c r="AO47" s="7"/>
      <c r="AP47" s="7"/>
      <c r="AQ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</row>
    <row r="48" spans="1:66" x14ac:dyDescent="0.3">
      <c r="A48" s="15">
        <v>46</v>
      </c>
      <c r="B48" s="16">
        <v>0</v>
      </c>
      <c r="AH48" s="7"/>
      <c r="AI48" s="7"/>
      <c r="AJ48" s="7"/>
      <c r="AK48" s="7">
        <v>0.57499999999999996</v>
      </c>
      <c r="AL48" s="7">
        <v>0</v>
      </c>
      <c r="AM48" s="7"/>
      <c r="AN48" s="7"/>
      <c r="AO48" s="7"/>
      <c r="AP48" s="7"/>
      <c r="AQ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</row>
    <row r="49" spans="1:66" x14ac:dyDescent="0.3">
      <c r="A49" s="15">
        <v>47</v>
      </c>
      <c r="B49" s="16">
        <v>0</v>
      </c>
      <c r="AH49" s="7"/>
      <c r="AI49" s="7"/>
      <c r="AJ49" s="7"/>
      <c r="AK49" s="7">
        <v>0.57499999999999996</v>
      </c>
      <c r="AL49" s="7">
        <v>0</v>
      </c>
      <c r="AM49" s="7"/>
      <c r="AN49" s="7"/>
      <c r="AO49" s="7"/>
      <c r="AP49" s="7"/>
      <c r="AQ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</row>
    <row r="50" spans="1:66" x14ac:dyDescent="0.3">
      <c r="A50" s="15">
        <v>48</v>
      </c>
      <c r="B50" s="16">
        <v>0</v>
      </c>
      <c r="AH50" s="7"/>
      <c r="AI50" s="7"/>
      <c r="AJ50" s="7"/>
      <c r="AK50" s="7">
        <v>0.6</v>
      </c>
      <c r="AL50" s="7">
        <v>0</v>
      </c>
      <c r="AM50" s="7"/>
      <c r="AN50" s="7"/>
      <c r="AO50" s="7"/>
      <c r="AP50" s="7"/>
      <c r="AQ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</row>
    <row r="51" spans="1:66" x14ac:dyDescent="0.3">
      <c r="A51" s="15">
        <v>49</v>
      </c>
      <c r="B51" s="16">
        <v>1</v>
      </c>
      <c r="AH51" s="7"/>
      <c r="AI51" s="7"/>
      <c r="AJ51" s="7"/>
      <c r="AK51" s="7">
        <v>0.6</v>
      </c>
      <c r="AL51" s="7">
        <v>0</v>
      </c>
      <c r="AM51" s="7"/>
      <c r="AN51" s="7"/>
      <c r="AO51" s="7"/>
      <c r="AP51" s="7"/>
      <c r="AQ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</row>
    <row r="52" spans="1:66" x14ac:dyDescent="0.3">
      <c r="A52" s="15">
        <v>50</v>
      </c>
      <c r="B52" s="16">
        <v>1</v>
      </c>
      <c r="AH52" s="7"/>
      <c r="AI52" s="7"/>
      <c r="AJ52" s="7"/>
      <c r="AK52" s="7">
        <v>0.625</v>
      </c>
      <c r="AL52" s="7">
        <v>0</v>
      </c>
      <c r="AM52" s="7"/>
      <c r="AN52" s="7"/>
      <c r="AO52" s="7"/>
      <c r="AP52" s="7"/>
      <c r="AQ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</row>
    <row r="53" spans="1:66" x14ac:dyDescent="0.3">
      <c r="A53" s="15">
        <v>51</v>
      </c>
      <c r="B53" s="16">
        <v>1</v>
      </c>
      <c r="AH53" s="7"/>
      <c r="AI53" s="7"/>
      <c r="AJ53" s="7"/>
      <c r="AK53" s="7">
        <v>0.625</v>
      </c>
      <c r="AL53" s="7">
        <v>0</v>
      </c>
      <c r="AM53" s="7"/>
      <c r="AN53" s="7"/>
      <c r="AO53" s="7"/>
      <c r="AP53" s="7"/>
      <c r="AQ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</row>
    <row r="54" spans="1:66" x14ac:dyDescent="0.3">
      <c r="A54" s="15">
        <v>52</v>
      </c>
      <c r="B54" s="16">
        <v>0</v>
      </c>
      <c r="AH54" s="7"/>
      <c r="AI54" s="7"/>
      <c r="AJ54" s="7"/>
      <c r="AK54" s="7">
        <v>0.65</v>
      </c>
      <c r="AL54" s="7">
        <v>0</v>
      </c>
      <c r="AM54" s="7"/>
      <c r="AN54" s="7"/>
      <c r="AO54" s="7"/>
      <c r="AP54" s="7"/>
      <c r="AQ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</row>
    <row r="55" spans="1:66" x14ac:dyDescent="0.3">
      <c r="A55" s="15">
        <v>53</v>
      </c>
      <c r="B55" s="16">
        <v>1</v>
      </c>
      <c r="AH55" s="7"/>
      <c r="AI55" s="7"/>
      <c r="AJ55" s="7"/>
      <c r="AK55" s="7">
        <v>0.65</v>
      </c>
      <c r="AL55" s="7">
        <v>0</v>
      </c>
      <c r="AM55" s="7"/>
      <c r="AN55" s="7"/>
      <c r="AO55" s="7"/>
      <c r="AP55" s="7"/>
      <c r="AQ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</row>
    <row r="56" spans="1:66" x14ac:dyDescent="0.3">
      <c r="A56" s="15">
        <v>54</v>
      </c>
      <c r="B56" s="16">
        <v>1</v>
      </c>
      <c r="AH56" s="7"/>
      <c r="AI56" s="7"/>
      <c r="AJ56" s="7"/>
      <c r="AK56" s="7">
        <v>0.67500000000000004</v>
      </c>
      <c r="AL56" s="7">
        <v>0</v>
      </c>
      <c r="AM56" s="7"/>
      <c r="AN56" s="7"/>
      <c r="AO56" s="7"/>
      <c r="AP56" s="7"/>
      <c r="AQ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</row>
    <row r="57" spans="1:66" x14ac:dyDescent="0.3">
      <c r="A57" s="15">
        <v>55</v>
      </c>
      <c r="B57" s="16">
        <v>1</v>
      </c>
      <c r="AH57" s="7"/>
      <c r="AI57" s="7"/>
      <c r="AJ57" s="7"/>
      <c r="AK57" s="7">
        <v>0.67500000000000004</v>
      </c>
      <c r="AL57" s="7">
        <v>0</v>
      </c>
      <c r="AM57" s="7"/>
      <c r="AN57" s="7"/>
      <c r="AO57" s="7"/>
      <c r="AP57" s="7"/>
      <c r="AQ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</row>
    <row r="58" spans="1:66" x14ac:dyDescent="0.3">
      <c r="A58" s="15">
        <v>56</v>
      </c>
      <c r="B58" s="16">
        <v>1</v>
      </c>
      <c r="AH58" s="7"/>
      <c r="AI58" s="7"/>
      <c r="AJ58" s="7"/>
      <c r="AK58" s="7">
        <v>0.7</v>
      </c>
      <c r="AL58" s="7">
        <v>0</v>
      </c>
      <c r="AM58" s="7"/>
      <c r="AN58" s="7"/>
      <c r="AO58" s="7"/>
      <c r="AP58" s="7"/>
      <c r="AQ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</row>
    <row r="59" spans="1:66" x14ac:dyDescent="0.3">
      <c r="A59" s="15">
        <v>57</v>
      </c>
      <c r="B59" s="16">
        <v>1</v>
      </c>
      <c r="AH59" s="7"/>
      <c r="AI59" s="7"/>
      <c r="AJ59" s="7"/>
      <c r="AK59" s="7">
        <v>0.7</v>
      </c>
      <c r="AL59" s="7">
        <v>0</v>
      </c>
      <c r="AM59" s="7"/>
      <c r="AN59" s="7"/>
      <c r="AO59" s="7"/>
      <c r="AP59" s="7"/>
      <c r="AQ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</row>
    <row r="60" spans="1:66" x14ac:dyDescent="0.3">
      <c r="A60" s="15">
        <v>58</v>
      </c>
      <c r="B60" s="16">
        <v>0</v>
      </c>
      <c r="AH60" s="7"/>
      <c r="AI60" s="7"/>
      <c r="AJ60" s="7"/>
      <c r="AK60" s="7">
        <v>0.72499999999999998</v>
      </c>
      <c r="AL60" s="7">
        <v>0</v>
      </c>
      <c r="AM60" s="7"/>
      <c r="AN60" s="7"/>
      <c r="AO60" s="7"/>
      <c r="AP60" s="7"/>
      <c r="AQ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</row>
    <row r="61" spans="1:66" x14ac:dyDescent="0.3">
      <c r="A61" s="15">
        <v>59</v>
      </c>
      <c r="B61" s="16">
        <v>1</v>
      </c>
      <c r="AH61" s="7"/>
      <c r="AI61" s="7"/>
      <c r="AJ61" s="7"/>
      <c r="AK61" s="7">
        <v>0.72499999999999998</v>
      </c>
      <c r="AL61" s="7">
        <v>0</v>
      </c>
      <c r="AM61" s="7"/>
      <c r="AN61" s="7"/>
      <c r="AO61" s="7"/>
      <c r="AP61" s="7"/>
      <c r="AQ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</row>
    <row r="62" spans="1:66" x14ac:dyDescent="0.3">
      <c r="A62" s="15">
        <v>60</v>
      </c>
      <c r="B62" s="16">
        <v>0</v>
      </c>
      <c r="AH62" s="7"/>
      <c r="AI62" s="7"/>
      <c r="AJ62" s="7"/>
      <c r="AK62" s="7">
        <v>0.75</v>
      </c>
      <c r="AL62" s="7">
        <v>0</v>
      </c>
      <c r="AM62" s="7"/>
      <c r="AN62" s="7"/>
      <c r="AO62" s="7"/>
      <c r="AP62" s="7"/>
      <c r="AQ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</row>
    <row r="63" spans="1:66" x14ac:dyDescent="0.3">
      <c r="A63" s="15">
        <v>61</v>
      </c>
      <c r="B63" s="16">
        <v>1</v>
      </c>
      <c r="AH63" s="7"/>
      <c r="AI63" s="7"/>
      <c r="AJ63" s="7"/>
      <c r="AK63" s="7">
        <v>0.75</v>
      </c>
      <c r="AL63" s="7">
        <v>0</v>
      </c>
      <c r="AM63" s="7"/>
      <c r="AN63" s="7"/>
      <c r="AO63" s="7"/>
      <c r="AP63" s="7"/>
      <c r="AQ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</row>
    <row r="64" spans="1:66" x14ac:dyDescent="0.3">
      <c r="A64" s="15">
        <v>62</v>
      </c>
      <c r="B64" s="16">
        <v>1</v>
      </c>
      <c r="AH64" s="7"/>
      <c r="AI64" s="7"/>
      <c r="AJ64" s="7"/>
      <c r="AK64" s="7">
        <v>0.77500000000000002</v>
      </c>
      <c r="AL64" s="7">
        <v>0</v>
      </c>
      <c r="AM64" s="7"/>
      <c r="AN64" s="7"/>
      <c r="AO64" s="7"/>
      <c r="AP64" s="7"/>
      <c r="AQ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</row>
    <row r="65" spans="1:66" x14ac:dyDescent="0.3">
      <c r="A65" s="15">
        <v>63</v>
      </c>
      <c r="B65" s="16">
        <v>0</v>
      </c>
      <c r="AH65" s="7"/>
      <c r="AI65" s="7"/>
      <c r="AJ65" s="7"/>
      <c r="AK65" s="7">
        <v>0.77500000000000002</v>
      </c>
      <c r="AL65" s="7">
        <v>0</v>
      </c>
      <c r="AM65" s="7"/>
      <c r="AN65" s="7"/>
      <c r="AO65" s="7"/>
      <c r="AP65" s="7"/>
      <c r="AQ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</row>
    <row r="66" spans="1:66" x14ac:dyDescent="0.3">
      <c r="A66" s="15">
        <v>64</v>
      </c>
      <c r="B66" s="16">
        <v>0</v>
      </c>
      <c r="AH66" s="7"/>
      <c r="AI66" s="7"/>
      <c r="AJ66" s="7"/>
      <c r="AK66" s="7">
        <v>0.8</v>
      </c>
      <c r="AL66" s="7">
        <v>0</v>
      </c>
      <c r="AM66" s="7"/>
      <c r="AN66" s="7"/>
      <c r="AO66" s="7"/>
      <c r="AP66" s="7"/>
      <c r="AQ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</row>
    <row r="67" spans="1:66" x14ac:dyDescent="0.3">
      <c r="A67" s="15">
        <v>65</v>
      </c>
      <c r="B67" s="16">
        <v>1</v>
      </c>
      <c r="AH67" s="7"/>
      <c r="AI67" s="7"/>
      <c r="AJ67" s="7"/>
      <c r="AK67" s="7">
        <v>0.8</v>
      </c>
      <c r="AL67" s="7">
        <v>0</v>
      </c>
      <c r="AM67" s="7"/>
      <c r="AN67" s="7"/>
      <c r="AO67" s="7"/>
      <c r="AP67" s="7"/>
      <c r="AQ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</row>
    <row r="68" spans="1:66" x14ac:dyDescent="0.3">
      <c r="A68" s="15">
        <v>66</v>
      </c>
      <c r="B68" s="16">
        <v>0</v>
      </c>
      <c r="AH68" s="7"/>
      <c r="AI68" s="7"/>
      <c r="AJ68" s="7"/>
      <c r="AK68" s="7">
        <v>0.82499999999999996</v>
      </c>
      <c r="AL68" s="7">
        <v>0</v>
      </c>
      <c r="AM68" s="7"/>
      <c r="AN68" s="7"/>
      <c r="AO68" s="7"/>
      <c r="AP68" s="7"/>
      <c r="AQ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</row>
    <row r="69" spans="1:66" x14ac:dyDescent="0.3">
      <c r="A69" s="15">
        <v>67</v>
      </c>
      <c r="B69" s="16">
        <v>1</v>
      </c>
      <c r="AH69" s="7"/>
      <c r="AI69" s="7"/>
      <c r="AJ69" s="7"/>
      <c r="AK69" s="7">
        <v>0.82499999999999996</v>
      </c>
      <c r="AL69" s="7">
        <v>0</v>
      </c>
      <c r="AM69" s="7"/>
      <c r="AN69" s="7"/>
      <c r="AO69" s="7"/>
      <c r="AP69" s="7"/>
      <c r="AQ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</row>
    <row r="70" spans="1:66" x14ac:dyDescent="0.3">
      <c r="A70" s="15">
        <v>68</v>
      </c>
      <c r="B70" s="16">
        <v>1</v>
      </c>
      <c r="AH70" s="7"/>
      <c r="AI70" s="7"/>
      <c r="AJ70" s="7"/>
      <c r="AK70" s="7">
        <v>0.85</v>
      </c>
      <c r="AL70" s="7">
        <v>0</v>
      </c>
      <c r="AM70" s="7"/>
      <c r="AN70" s="7"/>
      <c r="AO70" s="7"/>
      <c r="AP70" s="7"/>
      <c r="AQ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</row>
    <row r="71" spans="1:66" x14ac:dyDescent="0.3">
      <c r="A71" s="15">
        <v>69</v>
      </c>
      <c r="B71" s="16">
        <v>1</v>
      </c>
      <c r="AH71" s="7"/>
      <c r="AI71" s="7"/>
      <c r="AJ71" s="7"/>
      <c r="AK71" s="7">
        <v>0.85</v>
      </c>
      <c r="AL71" s="7">
        <v>0</v>
      </c>
      <c r="AM71" s="7"/>
      <c r="AN71" s="7"/>
      <c r="AO71" s="7"/>
      <c r="AP71" s="7"/>
      <c r="AQ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</row>
    <row r="72" spans="1:66" x14ac:dyDescent="0.3">
      <c r="A72" s="15">
        <v>70</v>
      </c>
      <c r="B72" s="16">
        <v>0</v>
      </c>
      <c r="AH72" s="7"/>
      <c r="AI72" s="7"/>
      <c r="AJ72" s="7"/>
      <c r="AK72" s="7">
        <v>0.875</v>
      </c>
      <c r="AL72" s="7">
        <v>0</v>
      </c>
      <c r="AM72" s="7"/>
      <c r="AN72" s="7"/>
      <c r="AO72" s="7"/>
      <c r="AP72" s="7"/>
      <c r="AQ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</row>
    <row r="73" spans="1:66" x14ac:dyDescent="0.3">
      <c r="A73" s="15">
        <v>71</v>
      </c>
      <c r="B73" s="16">
        <v>1</v>
      </c>
      <c r="AH73" s="7"/>
      <c r="AI73" s="7"/>
      <c r="AJ73" s="7"/>
      <c r="AK73" s="7">
        <v>0.875</v>
      </c>
      <c r="AL73" s="7">
        <v>0</v>
      </c>
      <c r="AM73" s="7"/>
      <c r="AN73" s="7"/>
      <c r="AO73" s="7"/>
      <c r="AP73" s="7"/>
      <c r="AQ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</row>
    <row r="74" spans="1:66" x14ac:dyDescent="0.3">
      <c r="A74" s="15">
        <v>72</v>
      </c>
      <c r="B74" s="16">
        <v>1</v>
      </c>
      <c r="AH74" s="7"/>
      <c r="AI74" s="7"/>
      <c r="AJ74" s="7"/>
      <c r="AK74" s="7">
        <v>0.9</v>
      </c>
      <c r="AL74" s="7">
        <v>0</v>
      </c>
      <c r="AM74" s="7"/>
      <c r="AN74" s="7"/>
      <c r="AO74" s="7"/>
      <c r="AP74" s="7"/>
      <c r="AQ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</row>
    <row r="75" spans="1:66" x14ac:dyDescent="0.3">
      <c r="A75" s="15">
        <v>73</v>
      </c>
      <c r="B75" s="16">
        <v>0</v>
      </c>
      <c r="AH75" s="7"/>
      <c r="AI75" s="7"/>
      <c r="AJ75" s="7"/>
      <c r="AK75" s="7">
        <v>0.9</v>
      </c>
      <c r="AL75" s="7">
        <v>0</v>
      </c>
      <c r="AM75" s="7"/>
      <c r="AN75" s="7"/>
      <c r="AO75" s="7"/>
      <c r="AP75" s="7"/>
      <c r="AQ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 x14ac:dyDescent="0.3">
      <c r="A76" s="15">
        <v>74</v>
      </c>
      <c r="B76" s="16">
        <v>0</v>
      </c>
      <c r="AH76" s="7"/>
      <c r="AI76" s="7"/>
      <c r="AJ76" s="7"/>
      <c r="AK76" s="7">
        <v>0.92500000000000004</v>
      </c>
      <c r="AL76" s="7">
        <v>0</v>
      </c>
      <c r="AM76" s="7"/>
      <c r="AN76" s="7"/>
      <c r="AO76" s="7"/>
      <c r="AP76" s="7"/>
      <c r="AQ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</row>
    <row r="77" spans="1:66" x14ac:dyDescent="0.3">
      <c r="A77" s="15">
        <v>75</v>
      </c>
      <c r="B77" s="16">
        <v>0</v>
      </c>
      <c r="AH77" s="7"/>
      <c r="AI77" s="7"/>
      <c r="AJ77" s="7"/>
      <c r="AK77" s="7">
        <v>0.92500000000000004</v>
      </c>
      <c r="AL77" s="7">
        <v>0</v>
      </c>
      <c r="AM77" s="7"/>
      <c r="AN77" s="7"/>
      <c r="AO77" s="7"/>
      <c r="AP77" s="7"/>
      <c r="AQ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</row>
    <row r="78" spans="1:66" x14ac:dyDescent="0.3">
      <c r="A78" s="15">
        <v>76</v>
      </c>
      <c r="B78" s="16">
        <v>0</v>
      </c>
      <c r="AH78" s="7"/>
      <c r="AI78" s="7"/>
      <c r="AJ78" s="7"/>
      <c r="AK78" s="7">
        <v>0.95</v>
      </c>
      <c r="AL78" s="7">
        <v>0</v>
      </c>
      <c r="AM78" s="7"/>
      <c r="AN78" s="7"/>
      <c r="AO78" s="7"/>
      <c r="AP78" s="7"/>
      <c r="AQ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 x14ac:dyDescent="0.3">
      <c r="A79" s="15">
        <v>77</v>
      </c>
      <c r="B79" s="16">
        <v>1</v>
      </c>
      <c r="AH79" s="7"/>
      <c r="AI79" s="7"/>
      <c r="AJ79" s="7"/>
      <c r="AK79" s="7">
        <v>0.95</v>
      </c>
      <c r="AL79" s="7">
        <v>0</v>
      </c>
      <c r="AM79" s="7"/>
      <c r="AN79" s="7"/>
      <c r="AO79" s="7"/>
      <c r="AP79" s="7"/>
      <c r="AQ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x14ac:dyDescent="0.3">
      <c r="A80" s="15">
        <v>78</v>
      </c>
      <c r="B80" s="16">
        <v>1</v>
      </c>
      <c r="AH80" s="7"/>
      <c r="AI80" s="7"/>
      <c r="AJ80" s="7"/>
      <c r="AK80" s="7">
        <v>0.97499999999999998</v>
      </c>
      <c r="AL80" s="7">
        <v>0</v>
      </c>
      <c r="AM80" s="7"/>
      <c r="AN80" s="7"/>
      <c r="AO80" s="7"/>
      <c r="AP80" s="7"/>
      <c r="AQ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</row>
    <row r="81" spans="1:66" x14ac:dyDescent="0.3">
      <c r="A81" s="15">
        <v>79</v>
      </c>
      <c r="B81" s="16">
        <v>0</v>
      </c>
      <c r="AH81" s="7"/>
      <c r="AI81" s="7"/>
      <c r="AJ81" s="7"/>
      <c r="AK81" s="7">
        <v>0.97499999999999998</v>
      </c>
      <c r="AL81" s="7">
        <v>0</v>
      </c>
      <c r="AM81" s="7"/>
      <c r="AN81" s="7"/>
      <c r="AO81" s="7"/>
      <c r="AP81" s="7"/>
      <c r="AQ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</row>
    <row r="82" spans="1:66" x14ac:dyDescent="0.3">
      <c r="A82" s="15">
        <v>80</v>
      </c>
      <c r="B82" s="16">
        <v>0</v>
      </c>
      <c r="AH82" s="7"/>
      <c r="AI82" s="7"/>
      <c r="AJ82" s="7"/>
      <c r="AK82" s="7">
        <v>1</v>
      </c>
      <c r="AL82" s="7">
        <v>0</v>
      </c>
      <c r="AM82" s="7"/>
      <c r="AN82" s="7"/>
      <c r="AO82" s="7"/>
      <c r="AP82" s="7"/>
      <c r="AQ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</row>
    <row r="83" spans="1:66" x14ac:dyDescent="0.3">
      <c r="A83" s="15">
        <v>81</v>
      </c>
      <c r="B83" s="16">
        <v>1</v>
      </c>
      <c r="AH83" s="7"/>
      <c r="AI83" s="7"/>
      <c r="AJ83" s="7"/>
      <c r="AK83" s="7">
        <v>1</v>
      </c>
      <c r="AL83" s="7">
        <v>6295</v>
      </c>
      <c r="AM83" s="7"/>
      <c r="AN83" s="7"/>
      <c r="AO83" s="7"/>
      <c r="AP83" s="7"/>
      <c r="AQ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</row>
    <row r="84" spans="1:66" x14ac:dyDescent="0.3">
      <c r="A84" s="15">
        <v>82</v>
      </c>
      <c r="B84" s="16">
        <v>0</v>
      </c>
      <c r="AH84" s="7"/>
      <c r="AI84" s="7"/>
      <c r="AJ84" s="7"/>
      <c r="AK84" s="7">
        <v>1.0249999999999999</v>
      </c>
      <c r="AL84" s="7">
        <v>6295</v>
      </c>
      <c r="AM84" s="7"/>
      <c r="AN84" s="7"/>
      <c r="AO84" s="7"/>
      <c r="AP84" s="7"/>
      <c r="AQ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</row>
    <row r="85" spans="1:66" x14ac:dyDescent="0.3">
      <c r="A85" s="15">
        <v>83</v>
      </c>
      <c r="B85" s="16">
        <v>0</v>
      </c>
      <c r="AH85" s="7"/>
      <c r="AI85" s="7"/>
      <c r="AJ85" s="7"/>
      <c r="AK85" s="7">
        <v>1.0249999999999999</v>
      </c>
      <c r="AL85" s="7">
        <v>0</v>
      </c>
      <c r="AM85" s="7"/>
      <c r="AN85" s="7"/>
      <c r="AO85" s="7"/>
      <c r="AP85" s="7"/>
      <c r="AQ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</row>
    <row r="86" spans="1:66" x14ac:dyDescent="0.3">
      <c r="A86" s="15">
        <v>84</v>
      </c>
      <c r="B86" s="16">
        <v>1</v>
      </c>
      <c r="AH86" s="7"/>
      <c r="AI86" s="7"/>
      <c r="AJ86" s="7"/>
      <c r="AK86" s="7"/>
      <c r="AL86" s="7"/>
      <c r="AM86" s="7"/>
      <c r="AN86" s="7"/>
      <c r="AO86" s="7"/>
      <c r="AP86" s="7"/>
      <c r="AQ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</row>
    <row r="87" spans="1:66" x14ac:dyDescent="0.3">
      <c r="A87" s="15">
        <v>85</v>
      </c>
      <c r="B87" s="16">
        <v>1</v>
      </c>
      <c r="AH87" s="7"/>
      <c r="AI87" s="7"/>
      <c r="AJ87" s="7"/>
      <c r="AK87" s="7"/>
      <c r="AL87" s="7"/>
      <c r="AM87" s="7"/>
      <c r="AN87" s="7"/>
      <c r="AO87" s="7"/>
      <c r="AP87" s="7"/>
      <c r="AQ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</row>
    <row r="88" spans="1:66" x14ac:dyDescent="0.3">
      <c r="A88" s="15">
        <v>86</v>
      </c>
      <c r="B88" s="16">
        <v>0</v>
      </c>
      <c r="AH88" s="7"/>
      <c r="AI88" s="7"/>
      <c r="AJ88" s="7"/>
      <c r="AK88" s="7"/>
      <c r="AL88" s="7"/>
      <c r="AM88" s="7"/>
      <c r="AN88" s="7"/>
      <c r="AO88" s="7"/>
      <c r="AP88" s="7"/>
      <c r="AQ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</row>
    <row r="89" spans="1:66" x14ac:dyDescent="0.3">
      <c r="A89" s="15">
        <v>87</v>
      </c>
      <c r="B89" s="16">
        <v>1</v>
      </c>
      <c r="AH89" s="7"/>
      <c r="AI89" s="7"/>
      <c r="AJ89" s="7"/>
      <c r="AK89" s="7"/>
      <c r="AL89" s="7"/>
      <c r="AM89" s="7"/>
      <c r="AN89" s="7"/>
      <c r="AO89" s="7"/>
      <c r="AP89" s="7"/>
      <c r="AQ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</row>
    <row r="90" spans="1:66" x14ac:dyDescent="0.3">
      <c r="A90" s="15">
        <v>88</v>
      </c>
      <c r="B90" s="16">
        <v>0</v>
      </c>
      <c r="AH90" s="7"/>
      <c r="AI90" s="7"/>
      <c r="AJ90" s="7"/>
      <c r="AK90" s="7"/>
      <c r="AL90" s="7"/>
      <c r="AM90" s="7"/>
      <c r="AN90" s="7"/>
      <c r="AO90" s="7"/>
      <c r="AP90" s="7"/>
      <c r="AQ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</row>
    <row r="91" spans="1:66" x14ac:dyDescent="0.3">
      <c r="A91" s="15">
        <v>89</v>
      </c>
      <c r="B91" s="16">
        <v>1</v>
      </c>
      <c r="AH91" s="7"/>
      <c r="AI91" s="7"/>
      <c r="AJ91" s="7"/>
      <c r="AK91" s="7"/>
      <c r="AL91" s="7"/>
      <c r="AM91" s="7"/>
      <c r="AN91" s="7"/>
      <c r="AO91" s="7"/>
      <c r="AP91" s="7"/>
      <c r="AQ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</row>
    <row r="92" spans="1:66" x14ac:dyDescent="0.3">
      <c r="A92" s="15">
        <v>90</v>
      </c>
      <c r="B92" s="16">
        <v>1</v>
      </c>
      <c r="AH92" s="7"/>
      <c r="AI92" s="7"/>
      <c r="AJ92" s="7"/>
      <c r="AK92" s="7"/>
      <c r="AL92" s="7"/>
      <c r="AM92" s="7"/>
      <c r="AN92" s="7"/>
      <c r="AO92" s="7"/>
      <c r="AP92" s="7"/>
      <c r="AQ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</row>
    <row r="93" spans="1:66" x14ac:dyDescent="0.3">
      <c r="A93" s="15">
        <v>91</v>
      </c>
      <c r="B93" s="16">
        <v>1</v>
      </c>
      <c r="AH93" s="7"/>
      <c r="AI93" s="7"/>
      <c r="AJ93" s="7"/>
      <c r="AK93" s="7"/>
      <c r="AL93" s="7"/>
      <c r="AM93" s="7"/>
      <c r="AN93" s="7"/>
      <c r="AO93" s="7"/>
      <c r="AP93" s="7"/>
      <c r="AQ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</row>
    <row r="94" spans="1:66" x14ac:dyDescent="0.3">
      <c r="A94" s="15">
        <v>92</v>
      </c>
      <c r="B94" s="16">
        <v>0</v>
      </c>
      <c r="AH94" s="7"/>
      <c r="AI94" s="7"/>
      <c r="AJ94" s="7"/>
      <c r="AK94" s="7"/>
      <c r="AL94" s="7"/>
      <c r="AM94" s="7"/>
      <c r="AN94" s="7"/>
      <c r="AO94" s="7"/>
      <c r="AP94" s="7"/>
      <c r="AQ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</row>
    <row r="95" spans="1:66" x14ac:dyDescent="0.3">
      <c r="A95" s="15">
        <v>93</v>
      </c>
      <c r="B95" s="16">
        <v>1</v>
      </c>
      <c r="AH95" s="7"/>
      <c r="AI95" s="7"/>
      <c r="AJ95" s="7"/>
      <c r="AK95" s="7"/>
      <c r="AL95" s="7"/>
      <c r="AM95" s="7"/>
      <c r="AN95" s="7"/>
      <c r="AO95" s="7"/>
      <c r="AP95" s="7"/>
      <c r="AQ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</row>
    <row r="96" spans="1:66" x14ac:dyDescent="0.3">
      <c r="A96" s="15">
        <v>94</v>
      </c>
      <c r="B96" s="16">
        <v>0</v>
      </c>
      <c r="AH96" s="7"/>
      <c r="AI96" s="7"/>
      <c r="AJ96" s="7"/>
      <c r="AK96" s="7"/>
      <c r="AL96" s="7"/>
      <c r="AM96" s="7"/>
      <c r="AN96" s="7"/>
      <c r="AO96" s="7"/>
      <c r="AP96" s="7"/>
      <c r="AQ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</row>
    <row r="97" spans="1:66" x14ac:dyDescent="0.3">
      <c r="A97" s="15">
        <v>95</v>
      </c>
      <c r="B97" s="16">
        <v>0</v>
      </c>
      <c r="AH97" s="7"/>
      <c r="AI97" s="7"/>
      <c r="AJ97" s="7"/>
      <c r="AK97" s="7"/>
      <c r="AL97" s="7"/>
      <c r="AM97" s="7"/>
      <c r="AN97" s="7"/>
      <c r="AO97" s="7"/>
      <c r="AP97" s="7"/>
      <c r="AQ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</row>
    <row r="98" spans="1:66" x14ac:dyDescent="0.3">
      <c r="A98" s="15">
        <v>96</v>
      </c>
      <c r="B98" s="16">
        <v>0</v>
      </c>
      <c r="AH98" s="7"/>
      <c r="AI98" s="7"/>
      <c r="AJ98" s="7"/>
      <c r="AK98" s="7"/>
      <c r="AL98" s="7"/>
      <c r="AM98" s="7"/>
      <c r="AN98" s="7"/>
      <c r="AO98" s="7"/>
      <c r="AP98" s="7"/>
      <c r="AQ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</row>
    <row r="99" spans="1:66" x14ac:dyDescent="0.3">
      <c r="A99" s="15">
        <v>97</v>
      </c>
      <c r="B99" s="16">
        <v>0</v>
      </c>
      <c r="AH99" s="7"/>
      <c r="AI99" s="7"/>
      <c r="AJ99" s="7"/>
      <c r="AK99" s="7"/>
      <c r="AL99" s="7"/>
      <c r="AM99" s="7"/>
      <c r="AN99" s="7"/>
      <c r="AO99" s="7"/>
      <c r="AP99" s="7"/>
      <c r="AQ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</row>
    <row r="100" spans="1:66" x14ac:dyDescent="0.3">
      <c r="A100" s="15">
        <v>98</v>
      </c>
      <c r="B100" s="16">
        <v>0</v>
      </c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</row>
    <row r="101" spans="1:66" x14ac:dyDescent="0.3">
      <c r="A101" s="15">
        <v>99</v>
      </c>
      <c r="B101" s="16">
        <v>0</v>
      </c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</row>
    <row r="102" spans="1:66" x14ac:dyDescent="0.3">
      <c r="A102" s="15">
        <v>100</v>
      </c>
      <c r="B102" s="16">
        <v>0</v>
      </c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</row>
    <row r="103" spans="1:66" x14ac:dyDescent="0.3">
      <c r="A103" s="46" t="s">
        <v>33</v>
      </c>
    </row>
  </sheetData>
  <dataConsolidate/>
  <mergeCells count="3">
    <mergeCell ref="F2:G2"/>
    <mergeCell ref="I4:K4"/>
    <mergeCell ref="L4:N4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MCSim8</vt:lpstr>
      <vt:lpstr>Live</vt:lpstr>
      <vt:lpstr>MCSim7</vt:lpstr>
      <vt:lpstr>Dead</vt:lpstr>
      <vt:lpstr>Q1</vt:lpstr>
      <vt:lpstr>Q3</vt:lpstr>
      <vt:lpstr>Q6</vt:lpstr>
      <vt:lpstr>Q8</vt:lpstr>
      <vt:lpstr>Dead!alpha</vt:lpstr>
      <vt:lpstr>alpha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 Barreto</dc:creator>
  <cp:lastModifiedBy>Humberto Barreto</cp:lastModifiedBy>
  <dcterms:created xsi:type="dcterms:W3CDTF">2015-10-27T14:45:11Z</dcterms:created>
  <dcterms:modified xsi:type="dcterms:W3CDTF">2025-04-09T18:42:54Z</dcterms:modified>
</cp:coreProperties>
</file>