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G:\My Drive\DePauwCoursesTeaching\BUS305\OLSTLS\"/>
    </mc:Choice>
  </mc:AlternateContent>
  <xr:revisionPtr revIDLastSave="0" documentId="13_ncr:1_{58B477DA-62D8-44C3-8EC2-6C933B0F17BC}" xr6:coauthVersionLast="47" xr6:coauthVersionMax="47" xr10:uidLastSave="{00000000-0000-0000-0000-000000000000}"/>
  <bookViews>
    <workbookView xWindow="-108" yWindow="-108" windowWidth="23256" windowHeight="12456" xr2:uid="{FE7BC30C-7625-43A9-9D6D-E636704BFE8D}"/>
  </bookViews>
  <sheets>
    <sheet name="Intro" sheetId="45" r:id="rId1"/>
    <sheet name="Geometry" sheetId="46" state="hidden" r:id="rId2"/>
    <sheet name="OLS" sheetId="48" state="hidden" r:id="rId3"/>
    <sheet name="Ortho" sheetId="49" state="hidden" r:id="rId4"/>
    <sheet name="Doc" sheetId="12" state="hidden" r:id="rId5"/>
    <sheet name="SolverOLS" sheetId="3" state="hidden" r:id="rId6"/>
    <sheet name="SolverOrtho" sheetId="4" state="hidden" r:id="rId7"/>
    <sheet name="MCSim6" sheetId="6" state="hidden" r:id="rId8"/>
    <sheet name="CEM" sheetId="5" state="hidden" r:id="rId9"/>
    <sheet name="EIV" sheetId="16" state="hidden" r:id="rId10"/>
    <sheet name="TheEnd" sheetId="53" state="hidden" r:id="rId11"/>
    <sheet name="OneVarMCSim" sheetId="54" state="hidden" r:id="rId12"/>
    <sheet name="TwoVarMCSim" sheetId="55" state="hidden" r:id="rId13"/>
    <sheet name="MCSim7" sheetId="42" state="hidden" r:id="rId14"/>
    <sheet name="MCSim8" sheetId="44" state="hidden" r:id="rId15"/>
  </sheets>
  <functionGroups builtInGroupCount="19"/>
  <externalReferences>
    <externalReference r:id="rId16"/>
  </externalReferences>
  <definedNames>
    <definedName name="beta0" localSheetId="9">EIV!$A$7</definedName>
    <definedName name="beta0">CEM!$A$2</definedName>
    <definedName name="beta1" localSheetId="9">EIV!$A$8</definedName>
    <definedName name="beta1">CEM!$A$3</definedName>
    <definedName name="inherit">[1]Inherit!$F$11</definedName>
    <definedName name="sigma">CEM!$A$4</definedName>
    <definedName name="sigmaX">EIV!$A$10</definedName>
    <definedName name="sigmaY">EIV!$A$9</definedName>
    <definedName name="solver_adj" localSheetId="8" hidden="1">CEM!$D$6</definedName>
    <definedName name="solver_adj" localSheetId="9" hidden="1">EIV!#REF!</definedName>
    <definedName name="solver_adj" localSheetId="2" hidden="1">OLS!$H$1:$H$2</definedName>
    <definedName name="solver_adj" localSheetId="3" hidden="1">Ortho!$N$1:$N$2</definedName>
    <definedName name="solver_adj" localSheetId="5" hidden="1">SolverOLS!$H$1:$H$2</definedName>
    <definedName name="solver_adj" localSheetId="6" hidden="1">SolverOrtho!$N$1:$N$2</definedName>
    <definedName name="solver_cvg" localSheetId="8" hidden="1">0.0001</definedName>
    <definedName name="solver_cvg" localSheetId="9" hidden="1">0.0001</definedName>
    <definedName name="solver_cvg" localSheetId="2" hidden="1">0.0001</definedName>
    <definedName name="solver_cvg" localSheetId="3" hidden="1">0.0001</definedName>
    <definedName name="solver_cvg" localSheetId="5" hidden="1">0.0001</definedName>
    <definedName name="solver_cvg" localSheetId="6" hidden="1">0.0001</definedName>
    <definedName name="solver_drv" localSheetId="8" hidden="1">1</definedName>
    <definedName name="solver_drv" localSheetId="9" hidden="1">1</definedName>
    <definedName name="solver_drv" localSheetId="2" hidden="1">1</definedName>
    <definedName name="solver_drv" localSheetId="3" hidden="1">1</definedName>
    <definedName name="solver_drv" localSheetId="5" hidden="1">1</definedName>
    <definedName name="solver_drv" localSheetId="6" hidden="1">1</definedName>
    <definedName name="solver_eng" localSheetId="8" hidden="1">1</definedName>
    <definedName name="solver_eng" localSheetId="9" hidden="1">1</definedName>
    <definedName name="solver_eng" localSheetId="2" hidden="1">1</definedName>
    <definedName name="solver_eng" localSheetId="3" hidden="1">1</definedName>
    <definedName name="solver_eng" localSheetId="5" hidden="1">1</definedName>
    <definedName name="solver_eng" localSheetId="6" hidden="1">1</definedName>
    <definedName name="solver_est" localSheetId="8" hidden="1">1</definedName>
    <definedName name="solver_est" localSheetId="9" hidden="1">1</definedName>
    <definedName name="solver_est" localSheetId="2" hidden="1">1</definedName>
    <definedName name="solver_est" localSheetId="3" hidden="1">1</definedName>
    <definedName name="solver_est" localSheetId="5" hidden="1">1</definedName>
    <definedName name="solver_est" localSheetId="6" hidden="1">1</definedName>
    <definedName name="solver_itr" localSheetId="8" hidden="1">2147483647</definedName>
    <definedName name="solver_itr" localSheetId="9" hidden="1">2147483647</definedName>
    <definedName name="solver_itr" localSheetId="2" hidden="1">2147483647</definedName>
    <definedName name="solver_itr" localSheetId="3" hidden="1">2147483647</definedName>
    <definedName name="solver_itr" localSheetId="5" hidden="1">2147483647</definedName>
    <definedName name="solver_itr" localSheetId="6" hidden="1">2147483647</definedName>
    <definedName name="solver_mip" localSheetId="8" hidden="1">2147483647</definedName>
    <definedName name="solver_mip" localSheetId="9" hidden="1">2147483647</definedName>
    <definedName name="solver_mip" localSheetId="2" hidden="1">2147483647</definedName>
    <definedName name="solver_mip" localSheetId="3" hidden="1">2147483647</definedName>
    <definedName name="solver_mip" localSheetId="5" hidden="1">2147483647</definedName>
    <definedName name="solver_mip" localSheetId="6" hidden="1">2147483647</definedName>
    <definedName name="solver_mni" localSheetId="8" hidden="1">30</definedName>
    <definedName name="solver_mni" localSheetId="9" hidden="1">30</definedName>
    <definedName name="solver_mni" localSheetId="2" hidden="1">30</definedName>
    <definedName name="solver_mni" localSheetId="3" hidden="1">30</definedName>
    <definedName name="solver_mni" localSheetId="5" hidden="1">30</definedName>
    <definedName name="solver_mni" localSheetId="6" hidden="1">30</definedName>
    <definedName name="solver_mrt" localSheetId="8" hidden="1">0.075</definedName>
    <definedName name="solver_mrt" localSheetId="9" hidden="1">0.075</definedName>
    <definedName name="solver_mrt" localSheetId="2" hidden="1">0.075</definedName>
    <definedName name="solver_mrt" localSheetId="3" hidden="1">0.075</definedName>
    <definedName name="solver_mrt" localSheetId="5" hidden="1">0.075</definedName>
    <definedName name="solver_mrt" localSheetId="6" hidden="1">0.075</definedName>
    <definedName name="solver_msl" localSheetId="8" hidden="1">2</definedName>
    <definedName name="solver_msl" localSheetId="9" hidden="1">2</definedName>
    <definedName name="solver_msl" localSheetId="2" hidden="1">2</definedName>
    <definedName name="solver_msl" localSheetId="3" hidden="1">2</definedName>
    <definedName name="solver_msl" localSheetId="5" hidden="1">2</definedName>
    <definedName name="solver_msl" localSheetId="6" hidden="1">2</definedName>
    <definedName name="solver_neg" localSheetId="8" hidden="1">2</definedName>
    <definedName name="solver_neg" localSheetId="9" hidden="1">1</definedName>
    <definedName name="solver_neg" localSheetId="2" hidden="1">2</definedName>
    <definedName name="solver_neg" localSheetId="3" hidden="1">2</definedName>
    <definedName name="solver_neg" localSheetId="5" hidden="1">1</definedName>
    <definedName name="solver_neg" localSheetId="6" hidden="1">1</definedName>
    <definedName name="solver_nod" localSheetId="8" hidden="1">2147483647</definedName>
    <definedName name="solver_nod" localSheetId="9" hidden="1">2147483647</definedName>
    <definedName name="solver_nod" localSheetId="2" hidden="1">2147483647</definedName>
    <definedName name="solver_nod" localSheetId="3" hidden="1">2147483647</definedName>
    <definedName name="solver_nod" localSheetId="5" hidden="1">2147483647</definedName>
    <definedName name="solver_nod" localSheetId="6" hidden="1">2147483647</definedName>
    <definedName name="solver_num" localSheetId="8" hidden="1">0</definedName>
    <definedName name="solver_num" localSheetId="9" hidden="1">0</definedName>
    <definedName name="solver_num" localSheetId="2" hidden="1">0</definedName>
    <definedName name="solver_num" localSheetId="3" hidden="1">0</definedName>
    <definedName name="solver_num" localSheetId="5" hidden="1">0</definedName>
    <definedName name="solver_num" localSheetId="6" hidden="1">0</definedName>
    <definedName name="solver_nwt" localSheetId="8" hidden="1">1</definedName>
    <definedName name="solver_nwt" localSheetId="9" hidden="1">1</definedName>
    <definedName name="solver_nwt" localSheetId="2" hidden="1">1</definedName>
    <definedName name="solver_nwt" localSheetId="3" hidden="1">1</definedName>
    <definedName name="solver_nwt" localSheetId="5" hidden="1">1</definedName>
    <definedName name="solver_nwt" localSheetId="6" hidden="1">1</definedName>
    <definedName name="solver_opt" localSheetId="8" hidden="1">CEM!$L$16</definedName>
    <definedName name="solver_opt" localSheetId="9" hidden="1">EIV!#REF!</definedName>
    <definedName name="solver_opt" localSheetId="2" hidden="1">OLS!$L$7</definedName>
    <definedName name="solver_opt" localSheetId="3" hidden="1">Ortho!$R$7</definedName>
    <definedName name="solver_opt" localSheetId="5" hidden="1">SolverOLS!$L$7</definedName>
    <definedName name="solver_opt" localSheetId="6" hidden="1">SolverOrtho!$R$7</definedName>
    <definedName name="solver_pre" localSheetId="8" hidden="1">0.000001</definedName>
    <definedName name="solver_pre" localSheetId="9" hidden="1">0.000001</definedName>
    <definedName name="solver_pre" localSheetId="2" hidden="1">0.000001</definedName>
    <definedName name="solver_pre" localSheetId="3" hidden="1">0.000001</definedName>
    <definedName name="solver_pre" localSheetId="5" hidden="1">0.000001</definedName>
    <definedName name="solver_pre" localSheetId="6" hidden="1">0.000001</definedName>
    <definedName name="solver_rbv" localSheetId="8" hidden="1">1</definedName>
    <definedName name="solver_rbv" localSheetId="9" hidden="1">1</definedName>
    <definedName name="solver_rbv" localSheetId="2" hidden="1">1</definedName>
    <definedName name="solver_rbv" localSheetId="3" hidden="1">1</definedName>
    <definedName name="solver_rbv" localSheetId="5" hidden="1">1</definedName>
    <definedName name="solver_rbv" localSheetId="6" hidden="1">1</definedName>
    <definedName name="solver_rlx" localSheetId="8" hidden="1">2</definedName>
    <definedName name="solver_rlx" localSheetId="9" hidden="1">2</definedName>
    <definedName name="solver_rlx" localSheetId="2" hidden="1">2</definedName>
    <definedName name="solver_rlx" localSheetId="3" hidden="1">2</definedName>
    <definedName name="solver_rlx" localSheetId="5" hidden="1">2</definedName>
    <definedName name="solver_rlx" localSheetId="6" hidden="1">2</definedName>
    <definedName name="solver_rsd" localSheetId="8" hidden="1">0</definedName>
    <definedName name="solver_rsd" localSheetId="9" hidden="1">0</definedName>
    <definedName name="solver_rsd" localSheetId="2" hidden="1">0</definedName>
    <definedName name="solver_rsd" localSheetId="3" hidden="1">0</definedName>
    <definedName name="solver_rsd" localSheetId="5" hidden="1">0</definedName>
    <definedName name="solver_rsd" localSheetId="6" hidden="1">0</definedName>
    <definedName name="solver_scl" localSheetId="8" hidden="1">1</definedName>
    <definedName name="solver_scl" localSheetId="9" hidden="1">1</definedName>
    <definedName name="solver_scl" localSheetId="2" hidden="1">1</definedName>
    <definedName name="solver_scl" localSheetId="3" hidden="1">1</definedName>
    <definedName name="solver_scl" localSheetId="5" hidden="1">1</definedName>
    <definedName name="solver_scl" localSheetId="6" hidden="1">1</definedName>
    <definedName name="solver_sho" localSheetId="8" hidden="1">2</definedName>
    <definedName name="solver_sho" localSheetId="9" hidden="1">2</definedName>
    <definedName name="solver_sho" localSheetId="2" hidden="1">2</definedName>
    <definedName name="solver_sho" localSheetId="3" hidden="1">2</definedName>
    <definedName name="solver_sho" localSheetId="5" hidden="1">2</definedName>
    <definedName name="solver_sho" localSheetId="6" hidden="1">2</definedName>
    <definedName name="solver_ssz" localSheetId="8" hidden="1">100</definedName>
    <definedName name="solver_ssz" localSheetId="9" hidden="1">100</definedName>
    <definedName name="solver_ssz" localSheetId="2" hidden="1">100</definedName>
    <definedName name="solver_ssz" localSheetId="3" hidden="1">100</definedName>
    <definedName name="solver_ssz" localSheetId="5" hidden="1">100</definedName>
    <definedName name="solver_ssz" localSheetId="6" hidden="1">100</definedName>
    <definedName name="solver_tim" localSheetId="8" hidden="1">2147483647</definedName>
    <definedName name="solver_tim" localSheetId="9" hidden="1">2147483647</definedName>
    <definedName name="solver_tim" localSheetId="2" hidden="1">2147483647</definedName>
    <definedName name="solver_tim" localSheetId="3" hidden="1">2147483647</definedName>
    <definedName name="solver_tim" localSheetId="5" hidden="1">2147483647</definedName>
    <definedName name="solver_tim" localSheetId="6" hidden="1">2147483647</definedName>
    <definedName name="solver_tol" localSheetId="8" hidden="1">0.01</definedName>
    <definedName name="solver_tol" localSheetId="9" hidden="1">0.01</definedName>
    <definedName name="solver_tol" localSheetId="2" hidden="1">0.01</definedName>
    <definedName name="solver_tol" localSheetId="3" hidden="1">0.01</definedName>
    <definedName name="solver_tol" localSheetId="5" hidden="1">0.01</definedName>
    <definedName name="solver_tol" localSheetId="6" hidden="1">0.01</definedName>
    <definedName name="solver_typ" localSheetId="8" hidden="1">3</definedName>
    <definedName name="solver_typ" localSheetId="9" hidden="1">2</definedName>
    <definedName name="solver_typ" localSheetId="2" hidden="1">2</definedName>
    <definedName name="solver_typ" localSheetId="3" hidden="1">2</definedName>
    <definedName name="solver_typ" localSheetId="5" hidden="1">2</definedName>
    <definedName name="solver_typ" localSheetId="6" hidden="1">2</definedName>
    <definedName name="solver_val" localSheetId="8" hidden="1">0</definedName>
    <definedName name="solver_val" localSheetId="9" hidden="1">0</definedName>
    <definedName name="solver_val" localSheetId="2" hidden="1">0</definedName>
    <definedName name="solver_val" localSheetId="3" hidden="1">0</definedName>
    <definedName name="solver_val" localSheetId="5" hidden="1">0</definedName>
    <definedName name="solver_val" localSheetId="6" hidden="1">0</definedName>
    <definedName name="solver_ver" localSheetId="8" hidden="1">3</definedName>
    <definedName name="solver_ver" localSheetId="9" hidden="1">3</definedName>
    <definedName name="solver_ver" localSheetId="2" hidden="1">3</definedName>
    <definedName name="solver_ver" localSheetId="3" hidden="1">3</definedName>
    <definedName name="solver_ver" localSheetId="5" hidden="1">3</definedName>
    <definedName name="solver_ver" localSheetId="6"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 i="16" l="1"/>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3" i="16"/>
  <c r="D13" i="16"/>
  <c r="D7" i="5"/>
  <c r="D8" i="5"/>
  <c r="D9" i="5"/>
  <c r="D10" i="5"/>
  <c r="D6" i="5"/>
  <c r="I29" i="5" a="1"/>
  <c r="I13" i="16" a="1"/>
  <c r="I29" i="5" l="1"/>
  <c r="I30" i="5"/>
  <c r="I14" i="16"/>
  <c r="I13" i="16"/>
  <c r="D10" i="48"/>
  <c r="D12" i="48"/>
  <c r="D14" i="48"/>
  <c r="P3" i="49"/>
  <c r="Q3" i="49" s="1"/>
  <c r="P4" i="49"/>
  <c r="Q4" i="49" s="1"/>
  <c r="P5" i="49"/>
  <c r="Q5" i="49" s="1"/>
  <c r="R5" i="49" s="1"/>
  <c r="P6" i="49"/>
  <c r="Q6" i="49" s="1"/>
  <c r="P2" i="49"/>
  <c r="Q2" i="49" s="1"/>
  <c r="R2" i="49" s="1"/>
  <c r="D14" i="49"/>
  <c r="C14" i="49"/>
  <c r="D13" i="49"/>
  <c r="C13" i="49"/>
  <c r="D12" i="49"/>
  <c r="C12" i="49"/>
  <c r="D11" i="49"/>
  <c r="C11" i="49"/>
  <c r="D10" i="49"/>
  <c r="C10" i="49"/>
  <c r="J6" i="49"/>
  <c r="K6" i="49" s="1"/>
  <c r="L6" i="49" s="1"/>
  <c r="J5" i="49"/>
  <c r="K5" i="49" s="1"/>
  <c r="L5" i="49" s="1"/>
  <c r="J4" i="49"/>
  <c r="K4" i="49" s="1"/>
  <c r="L4" i="49" s="1"/>
  <c r="J3" i="49"/>
  <c r="K3" i="49" s="1"/>
  <c r="L3" i="49" s="1"/>
  <c r="J2" i="49"/>
  <c r="K2" i="49" s="1"/>
  <c r="L2" i="49" s="1"/>
  <c r="E2" i="49" a="1"/>
  <c r="F3" i="49" s="1"/>
  <c r="D13" i="48"/>
  <c r="C14" i="48"/>
  <c r="C13" i="48"/>
  <c r="C12" i="48"/>
  <c r="C11" i="48"/>
  <c r="C10" i="48"/>
  <c r="J6" i="48"/>
  <c r="J5" i="48"/>
  <c r="J4" i="48"/>
  <c r="J3" i="48"/>
  <c r="J2" i="48"/>
  <c r="T3" i="4"/>
  <c r="U3" i="4" s="1"/>
  <c r="V3" i="4" s="1"/>
  <c r="T4" i="4"/>
  <c r="U4" i="4" s="1"/>
  <c r="V4" i="4" s="1"/>
  <c r="T5" i="4"/>
  <c r="U5" i="4" s="1"/>
  <c r="V5" i="4" s="1"/>
  <c r="T6" i="4"/>
  <c r="U6" i="4" s="1"/>
  <c r="V6" i="4" s="1"/>
  <c r="T2" i="4"/>
  <c r="U2" i="4" s="1"/>
  <c r="V2" i="4" s="1"/>
  <c r="B17" i="49" l="1" a="1"/>
  <c r="B18" i="49" s="1"/>
  <c r="K3" i="48"/>
  <c r="L3" i="48" s="1"/>
  <c r="R3" i="49"/>
  <c r="R4" i="49"/>
  <c r="R6" i="49"/>
  <c r="C18" i="49"/>
  <c r="C17" i="49"/>
  <c r="B17" i="49"/>
  <c r="L7" i="49"/>
  <c r="E2" i="49"/>
  <c r="F2" i="49"/>
  <c r="E3" i="49"/>
  <c r="E4" i="49"/>
  <c r="F4" i="49"/>
  <c r="E5" i="49"/>
  <c r="F5" i="49"/>
  <c r="E6" i="49"/>
  <c r="F6" i="49"/>
  <c r="B17" i="48" a="1"/>
  <c r="B18" i="48" s="1"/>
  <c r="E2" i="48" a="1"/>
  <c r="F5" i="48" s="1"/>
  <c r="K6" i="48"/>
  <c r="L6" i="48" s="1"/>
  <c r="D11" i="48"/>
  <c r="K4" i="48"/>
  <c r="L4" i="48" s="1"/>
  <c r="K5" i="48"/>
  <c r="L5" i="48" s="1"/>
  <c r="K2" i="48"/>
  <c r="L2" i="48" s="1"/>
  <c r="V7" i="4"/>
  <c r="AC15" i="4"/>
  <c r="AC3" i="4"/>
  <c r="AC4" i="4"/>
  <c r="AD4" i="4"/>
  <c r="AC5" i="4"/>
  <c r="AC6" i="4"/>
  <c r="AD2" i="4"/>
  <c r="AC2" i="4"/>
  <c r="B19" i="16"/>
  <c r="B24" i="16" s="1"/>
  <c r="B20" i="16"/>
  <c r="B21" i="16"/>
  <c r="B26" i="16" s="1"/>
  <c r="B22" i="16"/>
  <c r="B18" i="16"/>
  <c r="B23" i="16" s="1"/>
  <c r="C12" i="5"/>
  <c r="I7" i="5" s="1"/>
  <c r="Y11" i="4"/>
  <c r="AA4" i="4"/>
  <c r="AA5" i="4"/>
  <c r="AA6" i="4"/>
  <c r="AA2" i="4"/>
  <c r="Z3" i="4"/>
  <c r="Z4" i="4"/>
  <c r="Z5" i="4"/>
  <c r="Y3" i="4"/>
  <c r="Y6" i="4"/>
  <c r="X8" i="4"/>
  <c r="X7" i="4"/>
  <c r="X3" i="4"/>
  <c r="X4" i="4"/>
  <c r="X5" i="4"/>
  <c r="X6" i="4"/>
  <c r="X2" i="4"/>
  <c r="P3" i="4"/>
  <c r="Q3" i="4" s="1"/>
  <c r="P4" i="4"/>
  <c r="P5" i="4"/>
  <c r="Q5" i="4" s="1"/>
  <c r="R5" i="4" s="1"/>
  <c r="P6" i="4"/>
  <c r="Q6" i="4" s="1"/>
  <c r="R6" i="4" s="1"/>
  <c r="P2" i="4"/>
  <c r="Q2" i="4" s="1"/>
  <c r="C22" i="4"/>
  <c r="B22" i="4"/>
  <c r="C21" i="4"/>
  <c r="B21" i="4"/>
  <c r="A25" i="4" s="1" a="1"/>
  <c r="C20" i="4"/>
  <c r="B20" i="4"/>
  <c r="C19" i="4"/>
  <c r="B19" i="4"/>
  <c r="C18" i="4"/>
  <c r="B18" i="4"/>
  <c r="C15" i="4"/>
  <c r="B15" i="4"/>
  <c r="C14" i="4"/>
  <c r="B14" i="4"/>
  <c r="C13" i="4"/>
  <c r="B13" i="4"/>
  <c r="C12" i="4"/>
  <c r="C11" i="4"/>
  <c r="B11" i="4"/>
  <c r="C8" i="4"/>
  <c r="AD3" i="4" s="1"/>
  <c r="B8" i="4"/>
  <c r="B12" i="4" s="1"/>
  <c r="K6" i="4"/>
  <c r="L6" i="4" s="1"/>
  <c r="J6" i="4"/>
  <c r="J5" i="4"/>
  <c r="K5" i="4" s="1"/>
  <c r="L5" i="4" s="1"/>
  <c r="J4" i="4"/>
  <c r="K4" i="4" s="1"/>
  <c r="L4" i="4" s="1"/>
  <c r="K3" i="4"/>
  <c r="L3" i="4" s="1"/>
  <c r="J3" i="4"/>
  <c r="K2" i="4"/>
  <c r="L2" i="4" s="1"/>
  <c r="L7" i="4" s="1"/>
  <c r="J2" i="4"/>
  <c r="F5" i="4"/>
  <c r="F4" i="4"/>
  <c r="E4" i="4"/>
  <c r="F3" i="4"/>
  <c r="E1" i="4" a="1"/>
  <c r="E5" i="4" s="1"/>
  <c r="C21" i="3"/>
  <c r="C22" i="3"/>
  <c r="B22" i="3"/>
  <c r="B21" i="3"/>
  <c r="B20" i="3"/>
  <c r="B19" i="3"/>
  <c r="B18" i="3"/>
  <c r="B8" i="3"/>
  <c r="B13" i="3" s="1"/>
  <c r="J6" i="3"/>
  <c r="J5" i="3"/>
  <c r="J4" i="3"/>
  <c r="K4" i="3" s="1"/>
  <c r="L4" i="3" s="1"/>
  <c r="J3" i="3"/>
  <c r="J2" i="3"/>
  <c r="C18" i="3"/>
  <c r="B28" i="16" l="1"/>
  <c r="B31" i="16"/>
  <c r="B29" i="16"/>
  <c r="B25" i="16"/>
  <c r="B27" i="16"/>
  <c r="I6" i="5"/>
  <c r="I9" i="5"/>
  <c r="I8" i="5"/>
  <c r="I10" i="5"/>
  <c r="C17" i="48"/>
  <c r="C18" i="48"/>
  <c r="B17" i="48"/>
  <c r="B20" i="49" a="1"/>
  <c r="B21" i="49" s="1"/>
  <c r="E6" i="48"/>
  <c r="E4" i="48"/>
  <c r="AC8" i="4" a="1"/>
  <c r="Y2" i="4"/>
  <c r="AA3" i="4"/>
  <c r="AA7" i="4" s="1"/>
  <c r="AA8" i="4" s="1"/>
  <c r="Z12" i="4" s="1"/>
  <c r="AD6" i="4"/>
  <c r="E1" i="4"/>
  <c r="Y5" i="4"/>
  <c r="AD5" i="4"/>
  <c r="F1" i="4"/>
  <c r="Y4" i="4"/>
  <c r="E10" i="4" a="1"/>
  <c r="E14" i="4" s="1"/>
  <c r="Z2" i="4"/>
  <c r="Z7" i="4" s="1"/>
  <c r="Z8" i="4" s="1"/>
  <c r="Y12" i="4" s="1"/>
  <c r="E2" i="4"/>
  <c r="F2" i="4"/>
  <c r="E3" i="4"/>
  <c r="Z6" i="4"/>
  <c r="R7" i="49"/>
  <c r="C21" i="49"/>
  <c r="C20" i="49"/>
  <c r="B20" i="49"/>
  <c r="F4" i="48"/>
  <c r="E5" i="48"/>
  <c r="E3" i="48"/>
  <c r="F3" i="48"/>
  <c r="F2" i="48"/>
  <c r="E2" i="48"/>
  <c r="F6" i="48"/>
  <c r="L7" i="48"/>
  <c r="B20" i="48" a="1"/>
  <c r="A25" i="3" a="1"/>
  <c r="B25" i="3" s="1"/>
  <c r="B15" i="3"/>
  <c r="B14" i="3"/>
  <c r="F5" i="5" a="1"/>
  <c r="G7" i="5" s="1"/>
  <c r="D12" i="5"/>
  <c r="I11" i="5"/>
  <c r="I12" i="5" s="1"/>
  <c r="J14" i="5" s="1"/>
  <c r="Q4" i="4"/>
  <c r="R4" i="4" s="1"/>
  <c r="R3" i="4"/>
  <c r="R2" i="4"/>
  <c r="B26" i="4"/>
  <c r="A26" i="4"/>
  <c r="A25" i="4"/>
  <c r="B25" i="4"/>
  <c r="E1" i="3" a="1"/>
  <c r="E4" i="3" s="1"/>
  <c r="B26" i="3"/>
  <c r="A25" i="3"/>
  <c r="K3" i="3"/>
  <c r="L3" i="3" s="1"/>
  <c r="B11" i="3"/>
  <c r="C19" i="3"/>
  <c r="K6" i="3"/>
  <c r="L6" i="3" s="1"/>
  <c r="C8" i="3"/>
  <c r="C15" i="3" s="1"/>
  <c r="B12" i="3"/>
  <c r="C20" i="3"/>
  <c r="K5" i="3"/>
  <c r="L5" i="3" s="1"/>
  <c r="K2" i="3"/>
  <c r="L2" i="3" s="1"/>
  <c r="B36" i="16" l="1"/>
  <c r="B32" i="16"/>
  <c r="B30" i="16"/>
  <c r="B34" i="16"/>
  <c r="B33" i="16"/>
  <c r="B24" i="49" a="1"/>
  <c r="E10" i="4"/>
  <c r="E16" i="4" s="1"/>
  <c r="AD9" i="4"/>
  <c r="AD12" i="4" s="1"/>
  <c r="AC9" i="4"/>
  <c r="AC12" i="4" s="1"/>
  <c r="AC8" i="4"/>
  <c r="AC11" i="4" s="1"/>
  <c r="AC14" i="4" s="1"/>
  <c r="AD8" i="4"/>
  <c r="AD11" i="4" s="1"/>
  <c r="E11" i="4"/>
  <c r="E13" i="4"/>
  <c r="F10" i="4"/>
  <c r="F11" i="4"/>
  <c r="F12" i="4"/>
  <c r="F14" i="4"/>
  <c r="E12" i="4"/>
  <c r="Y7" i="4"/>
  <c r="Y8" i="4" s="1"/>
  <c r="Z11" i="4" s="1"/>
  <c r="F13" i="4"/>
  <c r="D25" i="49"/>
  <c r="C25" i="49"/>
  <c r="B25" i="49"/>
  <c r="F24" i="49"/>
  <c r="E24" i="49"/>
  <c r="D24" i="49"/>
  <c r="C24" i="49"/>
  <c r="B24" i="49"/>
  <c r="F25" i="49"/>
  <c r="E25" i="49"/>
  <c r="C21" i="48"/>
  <c r="B21" i="48"/>
  <c r="C20" i="48"/>
  <c r="B20" i="48"/>
  <c r="A26" i="3"/>
  <c r="A28" i="3" s="1" a="1"/>
  <c r="L6" i="5"/>
  <c r="G6" i="5"/>
  <c r="F5" i="5"/>
  <c r="G5" i="5"/>
  <c r="G9" i="5"/>
  <c r="F9" i="5"/>
  <c r="G8" i="5"/>
  <c r="F8" i="5"/>
  <c r="F7" i="5"/>
  <c r="F6" i="5"/>
  <c r="J8" i="5"/>
  <c r="K6" i="5"/>
  <c r="L8" i="5"/>
  <c r="L10" i="5"/>
  <c r="K8" i="5"/>
  <c r="J10" i="5"/>
  <c r="K7" i="5"/>
  <c r="K9" i="5"/>
  <c r="J6" i="5"/>
  <c r="J7" i="5"/>
  <c r="K10" i="5"/>
  <c r="L7" i="5"/>
  <c r="L9" i="5"/>
  <c r="J9" i="5"/>
  <c r="R7" i="4"/>
  <c r="A28" i="4" a="1"/>
  <c r="F2" i="3"/>
  <c r="F4" i="3"/>
  <c r="E3" i="3"/>
  <c r="E1" i="3"/>
  <c r="F5" i="3"/>
  <c r="E2" i="3"/>
  <c r="E5" i="3"/>
  <c r="F3" i="3"/>
  <c r="C11" i="3"/>
  <c r="F1" i="3"/>
  <c r="L7" i="3"/>
  <c r="C14" i="3"/>
  <c r="C13" i="3"/>
  <c r="C12" i="3"/>
  <c r="X14" i="4" a="1"/>
  <c r="B41" i="16" l="1"/>
  <c r="B39" i="16"/>
  <c r="B35" i="16"/>
  <c r="B37" i="16"/>
  <c r="B38" i="16"/>
  <c r="B24" i="48" a="1"/>
  <c r="B24" i="48" s="1"/>
  <c r="X14" i="4"/>
  <c r="X16" i="4" s="1"/>
  <c r="E29" i="4"/>
  <c r="F28" i="4"/>
  <c r="F29" i="4"/>
  <c r="G29" i="4" s="1"/>
  <c r="E28" i="4"/>
  <c r="B27" i="49" a="1"/>
  <c r="L11" i="5"/>
  <c r="L12" i="5" s="1"/>
  <c r="K15" i="5" s="1"/>
  <c r="J11" i="5"/>
  <c r="J12" i="5" s="1"/>
  <c r="K14" i="5" s="1"/>
  <c r="K11" i="5"/>
  <c r="K12" i="5" s="1"/>
  <c r="J15" i="5" s="1"/>
  <c r="B29" i="4"/>
  <c r="A29" i="4"/>
  <c r="B28" i="4"/>
  <c r="A28" i="4"/>
  <c r="E10" i="3" a="1"/>
  <c r="E10" i="3" s="1"/>
  <c r="E16" i="3" s="1"/>
  <c r="B29" i="3"/>
  <c r="A29" i="3"/>
  <c r="B28" i="3"/>
  <c r="A28" i="3"/>
  <c r="A32" i="3" s="1" a="1"/>
  <c r="I18" i="5" a="1"/>
  <c r="I18" i="5" l="1"/>
  <c r="J18" i="5"/>
  <c r="B42" i="16"/>
  <c r="B40" i="16"/>
  <c r="B44" i="16"/>
  <c r="B46" i="16"/>
  <c r="B43" i="16"/>
  <c r="E25" i="48"/>
  <c r="E24" i="48"/>
  <c r="F24" i="48"/>
  <c r="D25" i="48"/>
  <c r="B25" i="48"/>
  <c r="C25" i="48"/>
  <c r="F25" i="48"/>
  <c r="C24" i="48"/>
  <c r="D24" i="48"/>
  <c r="B27" i="48" a="1"/>
  <c r="B28" i="48" s="1"/>
  <c r="Q14" i="4"/>
  <c r="Q15" i="4" s="1"/>
  <c r="X18" i="4"/>
  <c r="B28" i="49"/>
  <c r="B27" i="49"/>
  <c r="A32" i="4" a="1"/>
  <c r="F13" i="3"/>
  <c r="E13" i="3"/>
  <c r="F14" i="3"/>
  <c r="F10" i="3"/>
  <c r="F11" i="3"/>
  <c r="F12" i="3"/>
  <c r="E12" i="3"/>
  <c r="E14" i="3"/>
  <c r="E11" i="3"/>
  <c r="A32" i="3"/>
  <c r="E32" i="3"/>
  <c r="B32" i="3"/>
  <c r="A33" i="3"/>
  <c r="E33" i="3"/>
  <c r="D32" i="3"/>
  <c r="D33" i="3"/>
  <c r="C33" i="3"/>
  <c r="B33" i="3"/>
  <c r="C32" i="3"/>
  <c r="B45" i="16" l="1"/>
  <c r="B47" i="16"/>
  <c r="B48" i="16"/>
  <c r="B51" i="16"/>
  <c r="B49" i="16"/>
  <c r="I21" i="5"/>
  <c r="I22" i="5" s="1"/>
  <c r="K22" i="5" s="1"/>
  <c r="B27" i="48"/>
  <c r="A32" i="4"/>
  <c r="E33" i="4"/>
  <c r="D33" i="4"/>
  <c r="C33" i="4"/>
  <c r="B33" i="4"/>
  <c r="E32" i="4"/>
  <c r="D32" i="4"/>
  <c r="C32" i="4"/>
  <c r="B32" i="4"/>
  <c r="A33" i="4"/>
  <c r="A35" i="3" a="1"/>
  <c r="B56" i="16" l="1"/>
  <c r="B53" i="16"/>
  <c r="B52" i="16"/>
  <c r="B50" i="16"/>
  <c r="B54" i="16"/>
  <c r="K24" i="5"/>
  <c r="K23" i="5"/>
  <c r="K26" i="5"/>
  <c r="K25" i="5"/>
  <c r="A35" i="4" a="1"/>
  <c r="A36" i="3"/>
  <c r="A35" i="3"/>
  <c r="B57" i="16" l="1"/>
  <c r="B55" i="16"/>
  <c r="B59" i="16"/>
  <c r="B58" i="16"/>
  <c r="B61" i="16"/>
  <c r="A36" i="4"/>
  <c r="A35" i="4"/>
  <c r="B63" i="16" l="1"/>
  <c r="B64" i="16"/>
  <c r="B60" i="16"/>
  <c r="B62" i="16"/>
  <c r="B66" i="16"/>
  <c r="B67" i="16" l="1"/>
  <c r="B65" i="16"/>
  <c r="B69" i="16"/>
  <c r="B68" i="16"/>
  <c r="B71" i="16"/>
  <c r="B73" i="16" l="1"/>
  <c r="B74" i="16"/>
  <c r="B70" i="16"/>
  <c r="B72" i="16"/>
  <c r="B76" i="16"/>
  <c r="B77" i="16" l="1"/>
  <c r="B75" i="16"/>
  <c r="B79" i="16"/>
  <c r="B78" i="16"/>
  <c r="B81" i="16"/>
  <c r="B83" i="16" l="1"/>
  <c r="B84" i="16"/>
  <c r="B82" i="16"/>
  <c r="B80" i="16"/>
  <c r="B86" i="16"/>
  <c r="B87" i="16" l="1"/>
  <c r="B85" i="16"/>
  <c r="B89" i="16"/>
  <c r="B88" i="16"/>
  <c r="B91" i="16"/>
  <c r="B96" i="16" l="1"/>
  <c r="B93" i="16"/>
  <c r="B90" i="16"/>
  <c r="B94" i="16"/>
  <c r="B92" i="16"/>
  <c r="B99" i="16" l="1"/>
  <c r="B95" i="16"/>
  <c r="B97" i="16"/>
  <c r="B98" i="16"/>
  <c r="B101" i="16"/>
  <c r="B103" i="16" l="1"/>
  <c r="B102" i="16"/>
  <c r="B100" i="16"/>
  <c r="B104" i="16"/>
  <c r="B106" i="16"/>
  <c r="B105" i="16" l="1"/>
  <c r="B107" i="16"/>
  <c r="B111" i="16"/>
  <c r="B109" i="16"/>
  <c r="B108" i="16"/>
  <c r="B112" i="16" l="1"/>
  <c r="B110" i="16"/>
  <c r="F13" i="16" l="1" a="1"/>
  <c r="K13" i="16" l="1"/>
  <c r="L13" i="16" s="1"/>
  <c r="K14" i="16"/>
  <c r="L14" i="16" s="1"/>
  <c r="K28" i="16"/>
  <c r="L28" i="16" s="1"/>
  <c r="K42" i="16"/>
  <c r="L42" i="16" s="1"/>
  <c r="K56" i="16"/>
  <c r="L56" i="16" s="1"/>
  <c r="K70" i="16"/>
  <c r="L70" i="16" s="1"/>
  <c r="K84" i="16"/>
  <c r="L84" i="16" s="1"/>
  <c r="K98" i="16"/>
  <c r="L98" i="16" s="1"/>
  <c r="K112" i="16"/>
  <c r="L112" i="16" s="1"/>
  <c r="K30" i="16"/>
  <c r="L30" i="16" s="1"/>
  <c r="K44" i="16"/>
  <c r="L44" i="16" s="1"/>
  <c r="K58" i="16"/>
  <c r="L58" i="16" s="1"/>
  <c r="K86" i="16"/>
  <c r="L86" i="16" s="1"/>
  <c r="K100" i="16"/>
  <c r="L100" i="16" s="1"/>
  <c r="K17" i="16"/>
  <c r="L17" i="16" s="1"/>
  <c r="K59" i="16"/>
  <c r="L59" i="16" s="1"/>
  <c r="K87" i="16"/>
  <c r="L87" i="16" s="1"/>
  <c r="K32" i="16"/>
  <c r="L32" i="16" s="1"/>
  <c r="K60" i="16"/>
  <c r="L60" i="16" s="1"/>
  <c r="K88" i="16"/>
  <c r="L88" i="16" s="1"/>
  <c r="K33" i="16"/>
  <c r="L33" i="16" s="1"/>
  <c r="K47" i="16"/>
  <c r="L47" i="16" s="1"/>
  <c r="K75" i="16"/>
  <c r="L75" i="16" s="1"/>
  <c r="K103" i="16"/>
  <c r="L103" i="16" s="1"/>
  <c r="K20" i="16"/>
  <c r="L20" i="16" s="1"/>
  <c r="K48" i="16"/>
  <c r="L48" i="16" s="1"/>
  <c r="K76" i="16"/>
  <c r="L76" i="16" s="1"/>
  <c r="K104" i="16"/>
  <c r="L104" i="16" s="1"/>
  <c r="K21" i="16"/>
  <c r="L21" i="16" s="1"/>
  <c r="K49" i="16"/>
  <c r="L49" i="16" s="1"/>
  <c r="K77" i="16"/>
  <c r="L77" i="16" s="1"/>
  <c r="K105" i="16"/>
  <c r="L105" i="16" s="1"/>
  <c r="K22" i="16"/>
  <c r="L22" i="16" s="1"/>
  <c r="K36" i="16"/>
  <c r="L36" i="16" s="1"/>
  <c r="K50" i="16"/>
  <c r="L50" i="16" s="1"/>
  <c r="K64" i="16"/>
  <c r="L64" i="16" s="1"/>
  <c r="K78" i="16"/>
  <c r="L78" i="16" s="1"/>
  <c r="K92" i="16"/>
  <c r="L92" i="16" s="1"/>
  <c r="K106" i="16"/>
  <c r="L106" i="16" s="1"/>
  <c r="K23" i="16"/>
  <c r="L23" i="16" s="1"/>
  <c r="K37" i="16"/>
  <c r="L37" i="16" s="1"/>
  <c r="K51" i="16"/>
  <c r="L51" i="16" s="1"/>
  <c r="K65" i="16"/>
  <c r="L65" i="16" s="1"/>
  <c r="K79" i="16"/>
  <c r="L79" i="16" s="1"/>
  <c r="K93" i="16"/>
  <c r="L93" i="16" s="1"/>
  <c r="K107" i="16"/>
  <c r="L107" i="16" s="1"/>
  <c r="K24" i="16"/>
  <c r="L24" i="16" s="1"/>
  <c r="K38" i="16"/>
  <c r="L38" i="16" s="1"/>
  <c r="K52" i="16"/>
  <c r="L52" i="16" s="1"/>
  <c r="K66" i="16"/>
  <c r="L66" i="16" s="1"/>
  <c r="K80" i="16"/>
  <c r="L80" i="16" s="1"/>
  <c r="K94" i="16"/>
  <c r="L94" i="16" s="1"/>
  <c r="K108" i="16"/>
  <c r="L108" i="16" s="1"/>
  <c r="K25" i="16"/>
  <c r="L25" i="16" s="1"/>
  <c r="K39" i="16"/>
  <c r="L39" i="16" s="1"/>
  <c r="K53" i="16"/>
  <c r="L53" i="16" s="1"/>
  <c r="K67" i="16"/>
  <c r="L67" i="16" s="1"/>
  <c r="K81" i="16"/>
  <c r="L81" i="16" s="1"/>
  <c r="K95" i="16"/>
  <c r="L95" i="16" s="1"/>
  <c r="K109" i="16"/>
  <c r="L109" i="16" s="1"/>
  <c r="K26" i="16"/>
  <c r="L26" i="16" s="1"/>
  <c r="K40" i="16"/>
  <c r="L40" i="16" s="1"/>
  <c r="K54" i="16"/>
  <c r="L54" i="16" s="1"/>
  <c r="K68" i="16"/>
  <c r="L68" i="16" s="1"/>
  <c r="K82" i="16"/>
  <c r="L82" i="16" s="1"/>
  <c r="K96" i="16"/>
  <c r="L96" i="16" s="1"/>
  <c r="K110" i="16"/>
  <c r="L110" i="16" s="1"/>
  <c r="K27" i="16"/>
  <c r="L27" i="16" s="1"/>
  <c r="K41" i="16"/>
  <c r="L41" i="16" s="1"/>
  <c r="K55" i="16"/>
  <c r="L55" i="16" s="1"/>
  <c r="K69" i="16"/>
  <c r="L69" i="16" s="1"/>
  <c r="K83" i="16"/>
  <c r="L83" i="16" s="1"/>
  <c r="K97" i="16"/>
  <c r="L97" i="16" s="1"/>
  <c r="K111" i="16"/>
  <c r="L111" i="16" s="1"/>
  <c r="K15" i="16"/>
  <c r="L15" i="16" s="1"/>
  <c r="K29" i="16"/>
  <c r="L29" i="16" s="1"/>
  <c r="K43" i="16"/>
  <c r="L43" i="16" s="1"/>
  <c r="K57" i="16"/>
  <c r="L57" i="16" s="1"/>
  <c r="K71" i="16"/>
  <c r="L71" i="16" s="1"/>
  <c r="K85" i="16"/>
  <c r="L85" i="16" s="1"/>
  <c r="K99" i="16"/>
  <c r="L99" i="16" s="1"/>
  <c r="K16" i="16"/>
  <c r="L16" i="16" s="1"/>
  <c r="K72" i="16"/>
  <c r="L72" i="16" s="1"/>
  <c r="K31" i="16"/>
  <c r="L31" i="16" s="1"/>
  <c r="K45" i="16"/>
  <c r="L45" i="16" s="1"/>
  <c r="K73" i="16"/>
  <c r="L73" i="16" s="1"/>
  <c r="K101" i="16"/>
  <c r="L101" i="16" s="1"/>
  <c r="K18" i="16"/>
  <c r="L18" i="16" s="1"/>
  <c r="K46" i="16"/>
  <c r="L46" i="16" s="1"/>
  <c r="K74" i="16"/>
  <c r="L74" i="16" s="1"/>
  <c r="K102" i="16"/>
  <c r="L102" i="16" s="1"/>
  <c r="K19" i="16"/>
  <c r="L19" i="16" s="1"/>
  <c r="K61" i="16"/>
  <c r="L61" i="16" s="1"/>
  <c r="K89" i="16"/>
  <c r="L89" i="16" s="1"/>
  <c r="K34" i="16"/>
  <c r="L34" i="16" s="1"/>
  <c r="K62" i="16"/>
  <c r="L62" i="16" s="1"/>
  <c r="K90" i="16"/>
  <c r="L90" i="16" s="1"/>
  <c r="K35" i="16"/>
  <c r="L35" i="16" s="1"/>
  <c r="K63" i="16"/>
  <c r="L63" i="16" s="1"/>
  <c r="K91" i="16"/>
  <c r="L91" i="16" s="1"/>
  <c r="F16" i="16"/>
  <c r="G16" i="16"/>
  <c r="F17" i="16"/>
  <c r="G15" i="16"/>
  <c r="F14" i="16"/>
  <c r="G13" i="16"/>
  <c r="F13" i="16"/>
  <c r="G17" i="16"/>
  <c r="F15" i="16"/>
  <c r="G14" i="16"/>
  <c r="M21" i="16" l="1"/>
  <c r="M56" i="16"/>
  <c r="M42" i="16"/>
  <c r="M45" i="16"/>
  <c r="M84" i="16"/>
  <c r="M62" i="16"/>
  <c r="M46" i="16"/>
  <c r="M102" i="16"/>
  <c r="M54" i="16"/>
  <c r="M76" i="16"/>
  <c r="M67" i="16"/>
  <c r="M105" i="16"/>
  <c r="M19" i="16"/>
  <c r="M43" i="16"/>
  <c r="M112" i="16"/>
  <c r="M69" i="16"/>
  <c r="M15" i="16"/>
  <c r="M104" i="16"/>
  <c r="M40" i="16"/>
  <c r="M13" i="16"/>
  <c r="M39" i="16"/>
  <c r="M93" i="16"/>
  <c r="M30" i="16"/>
  <c r="M47" i="16"/>
  <c r="M92" i="16"/>
  <c r="M29" i="16"/>
  <c r="M63" i="16"/>
  <c r="M33" i="16"/>
  <c r="M106" i="16"/>
  <c r="M78" i="16"/>
  <c r="M87" i="16"/>
  <c r="M59" i="16"/>
  <c r="M111" i="16"/>
  <c r="M77" i="16"/>
  <c r="M100" i="16"/>
  <c r="M32" i="16"/>
  <c r="M90" i="16"/>
  <c r="M73" i="16"/>
  <c r="M34" i="16"/>
  <c r="M96" i="16"/>
  <c r="M60" i="16"/>
  <c r="M103" i="16"/>
  <c r="M61" i="16"/>
  <c r="M16" i="16"/>
  <c r="M58" i="16"/>
  <c r="M88" i="16"/>
  <c r="M36" i="16"/>
  <c r="M22" i="16"/>
  <c r="M86" i="16"/>
  <c r="M52" i="16"/>
  <c r="M51" i="16"/>
  <c r="M49" i="16"/>
  <c r="M81" i="16"/>
  <c r="M18" i="16"/>
  <c r="M101" i="16"/>
  <c r="M108" i="16"/>
  <c r="M99" i="16"/>
  <c r="M28" i="16"/>
  <c r="M26" i="16"/>
  <c r="M107" i="16"/>
  <c r="M24" i="16"/>
  <c r="M85" i="16"/>
  <c r="M35" i="16"/>
  <c r="M27" i="16"/>
  <c r="M68" i="16"/>
  <c r="M66" i="16"/>
  <c r="M53" i="16"/>
  <c r="M55" i="16"/>
  <c r="M38" i="16"/>
  <c r="M37" i="16"/>
  <c r="M41" i="16"/>
  <c r="M17" i="16"/>
  <c r="M94" i="16"/>
  <c r="M95" i="16"/>
  <c r="M91" i="16"/>
  <c r="M89" i="16"/>
  <c r="M110" i="16"/>
  <c r="M109" i="16"/>
  <c r="M98" i="16"/>
  <c r="M23" i="16"/>
  <c r="M44" i="16"/>
  <c r="M64" i="16"/>
  <c r="M80" i="16"/>
  <c r="M82" i="16"/>
  <c r="M74" i="16"/>
  <c r="M65" i="16"/>
  <c r="M31" i="16"/>
  <c r="M79" i="16"/>
  <c r="M14" i="16"/>
  <c r="M25" i="16"/>
  <c r="M48" i="16"/>
  <c r="M75" i="16"/>
  <c r="M70" i="16"/>
  <c r="M50" i="16"/>
  <c r="M57" i="16"/>
  <c r="M71" i="16"/>
  <c r="M83" i="16"/>
  <c r="M72" i="16"/>
  <c r="M97" i="16"/>
  <c r="M20" i="16"/>
  <c r="N13" i="1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<sst xmlns="http://schemas.openxmlformats.org/spreadsheetml/2006/main" count="386" uniqueCount="215">
  <si>
    <t>x</t>
  </si>
  <si>
    <t>y</t>
  </si>
  <si>
    <t>centered (subtract means)</t>
  </si>
  <si>
    <t>X</t>
  </si>
  <si>
    <t>Y</t>
  </si>
  <si>
    <t>int</t>
  </si>
  <si>
    <t>(X'X)</t>
  </si>
  <si>
    <r>
      <t>(X'X)</t>
    </r>
    <r>
      <rPr>
        <vertAlign val="superscript"/>
        <sz val="11"/>
        <color theme="1"/>
        <rFont val="Calibri"/>
        <family val="2"/>
        <scheme val="minor"/>
      </rPr>
      <t>-1</t>
    </r>
  </si>
  <si>
    <r>
      <t>(X'X)</t>
    </r>
    <r>
      <rPr>
        <vertAlign val="superscript"/>
        <sz val="11"/>
        <color theme="1"/>
        <rFont val="Calibri"/>
        <family val="2"/>
        <scheme val="minor"/>
      </rPr>
      <t>-1</t>
    </r>
    <r>
      <rPr>
        <sz val="11"/>
        <color theme="1"/>
        <rFont val="Calibri"/>
        <family val="2"/>
        <scheme val="minor"/>
      </rPr>
      <t>X'</t>
    </r>
  </si>
  <si>
    <r>
      <t>(X'X)</t>
    </r>
    <r>
      <rPr>
        <vertAlign val="superscript"/>
        <sz val="11"/>
        <color theme="1"/>
        <rFont val="Calibri"/>
        <family val="2"/>
        <scheme val="minor"/>
      </rPr>
      <t>-1</t>
    </r>
    <r>
      <rPr>
        <sz val="11"/>
        <color theme="1"/>
        <rFont val="Calibri"/>
        <family val="2"/>
        <scheme val="minor"/>
      </rPr>
      <t>X'y</t>
    </r>
  </si>
  <si>
    <t>check</t>
  </si>
  <si>
    <t>to recover the intercept: avg y - b1*avg x</t>
  </si>
  <si>
    <t>eigenvector</t>
  </si>
  <si>
    <t>=10*X+RAND*20</t>
  </si>
  <si>
    <t>OLS b0</t>
  </si>
  <si>
    <t>OLS b1</t>
  </si>
  <si>
    <t>OLS res</t>
  </si>
  <si>
    <t>OLS res^2</t>
  </si>
  <si>
    <t>OLS Pred</t>
  </si>
  <si>
    <t>Ortho b0</t>
  </si>
  <si>
    <t>Ortho Pred</t>
  </si>
  <si>
    <t>Ortho res</t>
  </si>
  <si>
    <t>Ortho res^2</t>
  </si>
  <si>
    <t>Ortho b1</t>
  </si>
  <si>
    <r>
      <t>s^2(X'X)</t>
    </r>
    <r>
      <rPr>
        <vertAlign val="superscript"/>
        <sz val="11"/>
        <color theme="1"/>
        <rFont val="Calibri"/>
        <family val="2"/>
        <scheme val="minor"/>
      </rPr>
      <t>-1</t>
    </r>
  </si>
  <si>
    <t>averages</t>
  </si>
  <si>
    <t>xx</t>
  </si>
  <si>
    <t>xy</t>
  </si>
  <si>
    <t>yx</t>
  </si>
  <si>
    <t>yy</t>
  </si>
  <si>
    <t>var-covar of coefficients</t>
  </si>
  <si>
    <t>CHECK!</t>
  </si>
  <si>
    <t>Orthob0</t>
  </si>
  <si>
    <t>Pred Ortho</t>
  </si>
  <si>
    <t>sigma</t>
  </si>
  <si>
    <t>Results of Monte Carlo Simulation</t>
  </si>
  <si>
    <t>Sample Number</t>
  </si>
  <si>
    <t>Simulation Stats</t>
  </si>
  <si>
    <t>repetitions</t>
  </si>
  <si>
    <t>secs</t>
  </si>
  <si>
    <t>Notes</t>
  </si>
  <si>
    <t>Average</t>
  </si>
  <si>
    <t>SD</t>
  </si>
  <si>
    <t>Max</t>
  </si>
  <si>
    <t>Min</t>
  </si>
  <si>
    <t>Only the first 100 repetitions are displayed on this worksheet.</t>
  </si>
  <si>
    <t>LiveOLSOrtho!$E$1</t>
  </si>
  <si>
    <t>LiveOLSOrtho!$H$16</t>
  </si>
  <si>
    <t>Var-cov matrix of X and Y</t>
  </si>
  <si>
    <t>eigenvector gives Ortho OLS b1</t>
  </si>
  <si>
    <t>Ideas</t>
  </si>
  <si>
    <t>Start with SolverOLS</t>
  </si>
  <si>
    <t>Shows how to compute OLS fitted line with Solver, LINEST, matrix</t>
  </si>
  <si>
    <t>SolverOrtho shows Solver for orthogonal reg</t>
  </si>
  <si>
    <t>Key is that fitted has a perpendicular line that is -1/b1</t>
  </si>
  <si>
    <t>You compute that distance as hypotenuse of a right triangle</t>
  </si>
  <si>
    <t>This makes Ortho residual = (yi - y-hat)/(sqrt(1+b1^2))</t>
  </si>
  <si>
    <t>Ortho residual = (actual - pred)/sqrt(1+b1^2)</t>
  </si>
  <si>
    <t>It can be found by the eigenvector of the X-Y var-covar matrix</t>
  </si>
  <si>
    <t>Produced by ChatGPT</t>
  </si>
  <si>
    <t>Puzzling sim results: Ortho OLS biased with fixed Xs? Does even worse with random Xs?</t>
  </si>
  <si>
    <t>Ordered a book to get some help on this.</t>
  </si>
  <si>
    <t>residual</t>
  </si>
  <si>
    <t>res^2</t>
  </si>
  <si>
    <t>$F$1</t>
  </si>
  <si>
    <t>sigmaX</t>
  </si>
  <si>
    <t>sigmaY</t>
  </si>
  <si>
    <t>OLS wins, Ortho  biased</t>
  </si>
  <si>
    <t>ChatGPT a big help, book is OK</t>
  </si>
  <si>
    <t>Key is the DGP, for ortho, y is generated by true X, not observed X</t>
  </si>
  <si>
    <t>THIS HAPPENED BECAUSE DGP WAS WRONG, I HAD Y DEPENDING ON OBS X, NOT TRUE X</t>
  </si>
  <si>
    <t>True X</t>
  </si>
  <si>
    <t>Obs X</t>
  </si>
  <si>
    <t>LiveOLSOrthoEIV!$F$2</t>
  </si>
  <si>
    <t>with EIV, OLS b1 and est SE BOTH biased</t>
  </si>
  <si>
    <t>LiveOLSOrthoEIV!$O$16</t>
  </si>
  <si>
    <t>With EIV, Ortho unbiased</t>
  </si>
  <si>
    <t>Results show clearly that OLS b1 and est SE are biased and that Ortho is unbiased</t>
  </si>
  <si>
    <t>Could extend to multivar case but not needed if just a demo of OLS v Ortho</t>
  </si>
  <si>
    <t>LiveOLSOrtho is fixed Xs and LiveOLSOrtho (2) is random Xs (Name Changed to LiveOLSOrthoEIV)</t>
  </si>
  <si>
    <r>
      <rPr>
        <i/>
        <sz val="11"/>
        <color theme="1"/>
        <rFont val="Calibri"/>
        <family val="2"/>
        <scheme val="minor"/>
      </rPr>
      <t>The total least squares problem : computational aspects and analysis</t>
    </r>
    <r>
      <rPr>
        <sz val="11"/>
        <color theme="1"/>
        <rFont val="Calibri"/>
        <family val="2"/>
        <scheme val="minor"/>
      </rPr>
      <t xml:space="preserve"> by Sabine van Huffel; J Vandewalle</t>
    </r>
  </si>
  <si>
    <t>Should be possible to make a function out of this (SEE BELOW)</t>
  </si>
  <si>
    <t>LiveOLSOrtho shows OLS better when no error in fixed Xs (classical model)</t>
  </si>
  <si>
    <t>LiveOrthoOLSEIV has measurement error in X (errors in variables) so observed X is random</t>
  </si>
  <si>
    <t>The function orthoreg(known Y, known X) produces intercept and slope for orthogonal bivariate regression</t>
  </si>
  <si>
    <t>x-avgx</t>
  </si>
  <si>
    <t>y-avgy</t>
  </si>
  <si>
    <t>Z'Z</t>
  </si>
  <si>
    <t>1/4Z'Z</t>
  </si>
  <si>
    <t>sqrt vax(x)</t>
  </si>
  <si>
    <t>sample SD Excel formula</t>
  </si>
  <si>
    <t>by orthoreg function!</t>
  </si>
  <si>
    <t>different numerical example (look at the axes)</t>
  </si>
  <si>
    <t>perpendicular</t>
  </si>
  <si>
    <t>perpendicular/vertical</t>
  </si>
  <si>
    <t>damn, so the chart with x axis 1,2,3,4 is</t>
  </si>
  <si>
    <t>supper misleading.</t>
  </si>
  <si>
    <t>The ortho residual REALLY is tiny b/c</t>
  </si>
  <si>
    <t xml:space="preserve">fitted line is so steep. </t>
  </si>
  <si>
    <t>You can draw a perpendicular to the line</t>
  </si>
  <si>
    <t>that is almost horizontal.</t>
  </si>
  <si>
    <t>by</t>
  </si>
  <si>
    <t>Humberto Barreto</t>
  </si>
  <si>
    <t>hbarreto@depauw,edu</t>
  </si>
  <si>
    <r>
      <t xml:space="preserve">This Excel workbook is completely self-contained and all you have to do is read (scrolling down as needed), follow instructions (especially obey the </t>
    </r>
    <r>
      <rPr>
        <b/>
        <sz val="11"/>
        <color rgb="FFFF0000"/>
        <rFont val="Calibri"/>
        <family val="2"/>
        <scheme val="minor"/>
      </rPr>
      <t>CLICK</t>
    </r>
    <r>
      <rPr>
        <sz val="11"/>
        <rFont val="Calibri"/>
        <family val="2"/>
        <scheme val="minor"/>
      </rPr>
      <t xml:space="preserve"> commands), and pay close attention.</t>
    </r>
  </si>
  <si>
    <t>Software Requirements:</t>
  </si>
  <si>
    <r>
      <t xml:space="preserve">You need </t>
    </r>
    <r>
      <rPr>
        <b/>
        <sz val="11"/>
        <color rgb="FFC00000"/>
        <rFont val="Calibri"/>
        <family val="2"/>
        <scheme val="minor"/>
      </rPr>
      <t>Microsoft EXCEL, WINDOWS DESKTOP</t>
    </r>
    <r>
      <rPr>
        <sz val="11"/>
        <rFont val="Calibri"/>
        <family val="2"/>
        <scheme val="minor"/>
      </rPr>
      <t xml:space="preserve"> version 2007 or greater to get full functionality from this file.</t>
    </r>
  </si>
  <si>
    <t xml:space="preserve">The file can be opened with Mac Excel, but it uses Visual Basic code that may not be fully supported on a Mac. </t>
  </si>
  <si>
    <r>
      <t xml:space="preserve">This file </t>
    </r>
    <r>
      <rPr>
        <u/>
        <sz val="11"/>
        <rFont val="Calibri"/>
        <family val="2"/>
        <scheme val="minor"/>
      </rPr>
      <t>will NOT work with a browser-version of Excel</t>
    </r>
    <r>
      <rPr>
        <sz val="11"/>
        <rFont val="Calibri"/>
        <family val="2"/>
        <scheme val="minor"/>
      </rPr>
      <t xml:space="preserve"> because it contains macros. </t>
    </r>
    <r>
      <rPr>
        <u/>
        <sz val="11"/>
        <rFont val="Calibri"/>
        <family val="2"/>
        <scheme val="minor"/>
      </rPr>
      <t>You must open it with a DESKTOP-version of Excel.</t>
    </r>
  </si>
  <si>
    <r>
      <t xml:space="preserve">You must be sure to </t>
    </r>
    <r>
      <rPr>
        <b/>
        <i/>
        <sz val="11"/>
        <color rgb="FFC00000"/>
        <rFont val="Calibri"/>
        <family val="2"/>
        <scheme val="minor"/>
      </rPr>
      <t>Enable Content</t>
    </r>
    <r>
      <rPr>
        <sz val="11"/>
        <rFont val="Calibri"/>
        <family val="2"/>
        <scheme val="minor"/>
      </rPr>
      <t xml:space="preserve"> or the buttons and code in this macro-enabled workbook will not work.</t>
    </r>
  </si>
  <si>
    <r>
      <t xml:space="preserve">Let's see if you are ready to go -- </t>
    </r>
    <r>
      <rPr>
        <b/>
        <sz val="11"/>
        <color rgb="FFFF0000"/>
        <rFont val="Calibri"/>
        <family val="2"/>
        <scheme val="minor"/>
      </rPr>
      <t>CLICK the button below</t>
    </r>
    <r>
      <rPr>
        <sz val="11"/>
        <rFont val="Calibri"/>
        <family val="2"/>
        <scheme val="minor"/>
      </rPr>
      <t>.</t>
    </r>
  </si>
  <si>
    <r>
      <t xml:space="preserve">If the button above does not display a message on your screen when you click it, please close the workbook and open it again, making sure that you </t>
    </r>
    <r>
      <rPr>
        <b/>
        <i/>
        <sz val="11"/>
        <color rgb="FFC00000"/>
        <rFont val="Calibri"/>
        <family val="2"/>
        <scheme val="minor"/>
      </rPr>
      <t>Enable Content</t>
    </r>
    <r>
      <rPr>
        <sz val="11"/>
        <color theme="1"/>
        <rFont val="Calibri"/>
        <family val="2"/>
        <scheme val="minor"/>
      </rPr>
      <t>.</t>
    </r>
  </si>
  <si>
    <t>Search "enable macros" in Excel's Help for more information on how to do this.</t>
  </si>
  <si>
    <t>You can also click the link below for help from the internet:</t>
  </si>
  <si>
    <t>www.google.com/search?q=excel+enable+macros</t>
  </si>
  <si>
    <t>You will reveal new sheets in the workbook as you proceed through the material. Your job is to read carefully and pay attention to the charts and think about what you are doing.</t>
  </si>
  <si>
    <r>
      <t xml:space="preserve">Keep an eye out for </t>
    </r>
    <r>
      <rPr>
        <b/>
        <sz val="11"/>
        <color rgb="FFFF0000"/>
        <rFont val="Calibri"/>
        <family val="2"/>
        <scheme val="minor"/>
      </rPr>
      <t>bold, red text</t>
    </r>
    <r>
      <rPr>
        <sz val="11"/>
        <color theme="1"/>
        <rFont val="Calibri"/>
        <family val="2"/>
        <scheme val="minor"/>
      </rPr>
      <t xml:space="preserve"> -- it always means you are supposed to do something!</t>
    </r>
  </si>
  <si>
    <t>Also, answer the questions as best you can -- they are not meant to test you, but to keep you focused and engaged. The answer is usually pretty easy or revealed right after the question.</t>
  </si>
  <si>
    <t>One-shot Introduction to Orthogonal Regression</t>
  </si>
  <si>
    <t>Orthogonal regression is related to ordinary least squares (OLS) regression in that both minimize the sum of squared residuals (SSR).</t>
  </si>
  <si>
    <t>It is most commonly known as total least squares (TLS) (there are other names), but orthogonal regression clearly tells you what is going on.</t>
  </si>
  <si>
    <r>
      <t xml:space="preserve">From Greek, </t>
    </r>
    <r>
      <rPr>
        <i/>
        <sz val="11"/>
        <rFont val="Calibri"/>
        <family val="2"/>
        <scheme val="minor"/>
      </rPr>
      <t>ortho</t>
    </r>
    <r>
      <rPr>
        <sz val="11"/>
        <rFont val="Calibri"/>
        <family val="2"/>
        <scheme val="minor"/>
      </rPr>
      <t xml:space="preserve"> means </t>
    </r>
    <r>
      <rPr>
        <i/>
        <sz val="11"/>
        <rFont val="Calibri"/>
        <family val="2"/>
        <scheme val="minor"/>
      </rPr>
      <t>right</t>
    </r>
    <r>
      <rPr>
        <sz val="11"/>
        <rFont val="Calibri"/>
        <family val="2"/>
        <scheme val="minor"/>
      </rPr>
      <t xml:space="preserve"> (like orthodox) and </t>
    </r>
    <r>
      <rPr>
        <i/>
        <sz val="11"/>
        <rFont val="Calibri"/>
        <family val="2"/>
        <scheme val="minor"/>
      </rPr>
      <t>gonal</t>
    </r>
    <r>
      <rPr>
        <sz val="11"/>
        <rFont val="Calibri"/>
        <family val="2"/>
        <scheme val="minor"/>
      </rPr>
      <t xml:space="preserve"> means </t>
    </r>
    <r>
      <rPr>
        <i/>
        <sz val="11"/>
        <rFont val="Calibri"/>
        <family val="2"/>
        <scheme val="minor"/>
      </rPr>
      <t>angle</t>
    </r>
    <r>
      <rPr>
        <sz val="11"/>
        <rFont val="Calibri"/>
        <family val="2"/>
        <scheme val="minor"/>
      </rPr>
      <t xml:space="preserve"> (like diagonal) and that is exactly what orthogonal regression does.</t>
    </r>
  </si>
  <si>
    <r>
      <rPr>
        <b/>
        <sz val="11"/>
        <color rgb="FFFF0000"/>
        <rFont val="Calibri"/>
        <family val="2"/>
        <scheme val="minor"/>
      </rPr>
      <t xml:space="preserve">CLICK on the button below to proceed to the </t>
    </r>
    <r>
      <rPr>
        <b/>
        <i/>
        <sz val="11"/>
        <color rgb="FFFF0000"/>
        <rFont val="Calibri"/>
        <family val="2"/>
        <scheme val="minor"/>
      </rPr>
      <t>Geometry</t>
    </r>
    <r>
      <rPr>
        <b/>
        <sz val="11"/>
        <color rgb="FFFF0000"/>
        <rFont val="Calibri"/>
        <family val="2"/>
        <scheme val="minor"/>
      </rPr>
      <t xml:space="preserve"> sheet</t>
    </r>
    <r>
      <rPr>
        <sz val="11"/>
        <color theme="1"/>
        <rFont val="Calibri"/>
        <family val="2"/>
        <scheme val="minor"/>
      </rPr>
      <t xml:space="preserve"> when you are ready.</t>
    </r>
  </si>
  <si>
    <t>Student Background:</t>
  </si>
  <si>
    <t>Remember that the OLS fitted line is found by minimizing the SSR, but there are many other ways (recipes) to fit lines to data.</t>
  </si>
  <si>
    <t>If the statements above mean nothing to you, this workbook is not appropriate for your knowledge level.</t>
  </si>
  <si>
    <r>
      <t>This material is accessible to you only if you know what regression analysis is and can interpret coefficients and regression statistics (such as SE, RMSE, and R</t>
    </r>
    <r>
      <rPr>
        <vertAlign val="superscript"/>
        <sz val="11"/>
        <color theme="1"/>
        <rFont val="Calibri"/>
        <family val="2"/>
        <scheme val="minor"/>
      </rPr>
      <t>2</t>
    </r>
    <r>
      <rPr>
        <sz val="11"/>
        <color theme="1"/>
        <rFont val="Calibri"/>
        <family val="2"/>
        <scheme val="minor"/>
      </rPr>
      <t>).</t>
    </r>
  </si>
  <si>
    <t xml:space="preserve">The Gauss-Markov Theorem says that OLS is BLUE if certain conditions apply, such as a DGP with fixed Xs and independently, identically distributed errors (iid). </t>
  </si>
  <si>
    <t>As they say, a picture is worth a thousand words.</t>
  </si>
  <si>
    <t>Include an intercept term for matrix algebra computations:</t>
  </si>
  <si>
    <t>agrees with LINEST</t>
  </si>
  <si>
    <t>This sheet offers FOUR ways to run an OLS regression:</t>
  </si>
  <si>
    <t>1) LINEST -- OLS b1 in cell E2</t>
  </si>
  <si>
    <t>2) Matrix algebra -- OLS b1 in cell A28</t>
  </si>
  <si>
    <t>3) Solver -- OLS b1 in cell H2</t>
  </si>
  <si>
    <t>The orange fitted line in the chart is now minimizing SSR</t>
  </si>
  <si>
    <t>Right-click a blue dot in the chart and ADD a Trendline, report the equation</t>
  </si>
  <si>
    <t>Orthogonal regression is an alternative to OLS and this workbook will explain how it fits a line and explore how it performs under varying data generating processes (DGP).</t>
  </si>
  <si>
    <t>4) Trendline</t>
  </si>
  <si>
    <t>To fit the Orthogonal regression line, we need to modify the residual</t>
  </si>
  <si>
    <t>OLS: Orange</t>
  </si>
  <si>
    <t>So, the residual of the third point is a little over 2 units of Y (5 - a little less than 3).</t>
  </si>
  <si>
    <t>Orthogonal regression: Green</t>
  </si>
  <si>
    <r>
      <t xml:space="preserve">Residuals measured as </t>
    </r>
    <r>
      <rPr>
        <b/>
        <sz val="11"/>
        <color theme="1"/>
        <rFont val="Calibri"/>
        <family val="2"/>
        <scheme val="minor"/>
      </rPr>
      <t>VERTICAL</t>
    </r>
    <r>
      <rPr>
        <sz val="11"/>
        <color theme="1"/>
        <rFont val="Calibri"/>
        <family val="2"/>
        <scheme val="minor"/>
      </rPr>
      <t xml:space="preserve"> distances.</t>
    </r>
  </si>
  <si>
    <r>
      <t xml:space="preserve">Residuals measured as </t>
    </r>
    <r>
      <rPr>
        <b/>
        <sz val="11"/>
        <color theme="1"/>
        <rFont val="Calibri"/>
        <family val="2"/>
        <scheme val="minor"/>
      </rPr>
      <t>PERPENDICULAR</t>
    </r>
    <r>
      <rPr>
        <sz val="11"/>
        <color theme="1"/>
        <rFont val="Calibri"/>
        <family val="2"/>
        <scheme val="minor"/>
      </rPr>
      <t xml:space="preserve"> distances.</t>
    </r>
  </si>
  <si>
    <r>
      <t xml:space="preserve">The residual is the </t>
    </r>
    <r>
      <rPr>
        <b/>
        <sz val="11"/>
        <color theme="1"/>
        <rFont val="Calibri"/>
        <family val="2"/>
        <scheme val="minor"/>
      </rPr>
      <t>CLOSEST</t>
    </r>
    <r>
      <rPr>
        <sz val="11"/>
        <color theme="1"/>
        <rFont val="Calibri"/>
        <family val="2"/>
        <scheme val="minor"/>
      </rPr>
      <t xml:space="preserve"> distance to the fitted line</t>
    </r>
  </si>
  <si>
    <r>
      <t xml:space="preserve">That green line is at a </t>
    </r>
    <r>
      <rPr>
        <b/>
        <sz val="11"/>
        <color theme="1"/>
        <rFont val="Calibri"/>
        <family val="2"/>
        <scheme val="minor"/>
      </rPr>
      <t>RIGHT ANGLE</t>
    </r>
    <r>
      <rPr>
        <sz val="11"/>
        <color theme="1"/>
        <rFont val="Calibri"/>
        <family val="2"/>
        <scheme val="minor"/>
      </rPr>
      <t xml:space="preserve"> (90 degrees) from the blue point to the fitted line.</t>
    </r>
  </si>
  <si>
    <t>OLS</t>
  </si>
  <si>
    <t>Q1: Is the Trendline you added the same as the orange line? What does that mean?</t>
  </si>
  <si>
    <t>Run Solver (in the Data tab) to see how Solver's optimization algorithm can be used to minmize SSR</t>
  </si>
  <si>
    <t>The OLS residual is simply actual - predicted.</t>
  </si>
  <si>
    <t>Click on cell K2 to see its formula (K3:K7 are the same)</t>
  </si>
  <si>
    <t>Click on cell Q2 to see how the residual is being divided by an adjustment term (Q3:Q7 are the same)</t>
  </si>
  <si>
    <t>It's complicated, but the intuition is that we need to use the Pythagorean Theorem, hence the SQRT function</t>
  </si>
  <si>
    <t>We don't really care right now about the mechanics of actually computing the orthogonal fitted line.</t>
  </si>
  <si>
    <t>Software will do that for us. We do want to understand that it is a different recipe than OLS.</t>
  </si>
  <si>
    <t>Run Solver to fit the green orthogonal fitted line.</t>
  </si>
  <si>
    <t>Q2: Are OLS and orthogonal regression different? Why?</t>
  </si>
  <si>
    <t>beta0</t>
  </si>
  <si>
    <t>beta1</t>
  </si>
  <si>
    <t>We can't use Solver for a sim because we need instant update of the new solution for new Ys.</t>
  </si>
  <si>
    <t>Try it! Press F9 and watch it bounce!</t>
  </si>
  <si>
    <t>Variance-covariance matrix:</t>
  </si>
  <si>
    <t>Orthogonal regression fitted line</t>
  </si>
  <si>
    <t>The estimated beta1 via orthogonal regression is in the green shaded cell.</t>
  </si>
  <si>
    <t>Before we sim, think a bit -- what is the true value of beta1? Why can't we directly observe it?</t>
  </si>
  <si>
    <t>We will stay in the simple case of sigmaX = sigmaY</t>
  </si>
  <si>
    <t>SSR</t>
  </si>
  <si>
    <t>ortho b0</t>
  </si>
  <si>
    <t>ortho b1</t>
  </si>
  <si>
    <t>OLS SSR</t>
  </si>
  <si>
    <t>Ortho reg</t>
  </si>
  <si>
    <t>The DGP should really be called Errors in X Variables, but since Y already has error, it is obviously a situation where we are adding error to X.</t>
  </si>
  <si>
    <t>Using orthoreg UDF</t>
  </si>
  <si>
    <t>Y based on True X, but we see Obs X</t>
  </si>
  <si>
    <t>sigmaX=sigmaY is known as total least squares (TLS)</t>
  </si>
  <si>
    <r>
      <t xml:space="preserve">Classical Econometric Model DGP: Y = </t>
    </r>
    <r>
      <rPr>
        <sz val="11"/>
        <color rgb="FFFF0000"/>
        <rFont val="Symbol"/>
        <family val="1"/>
        <charset val="2"/>
      </rPr>
      <t>b</t>
    </r>
    <r>
      <rPr>
        <vertAlign val="subscript"/>
        <sz val="11"/>
        <color rgb="FFFF0000"/>
        <rFont val="Calibri"/>
        <family val="2"/>
        <scheme val="minor"/>
      </rPr>
      <t>0</t>
    </r>
    <r>
      <rPr>
        <sz val="11"/>
        <color rgb="FFFF0000"/>
        <rFont val="Calibri"/>
        <family val="2"/>
        <scheme val="minor"/>
      </rPr>
      <t xml:space="preserve"> + </t>
    </r>
    <r>
      <rPr>
        <sz val="11"/>
        <color rgb="FFFF0000"/>
        <rFont val="Symbol"/>
        <family val="1"/>
        <charset val="2"/>
      </rPr>
      <t>b</t>
    </r>
    <r>
      <rPr>
        <vertAlign val="subscript"/>
        <sz val="11"/>
        <color rgb="FFFF0000"/>
        <rFont val="Calibri"/>
        <family val="2"/>
        <scheme val="minor"/>
      </rPr>
      <t>1</t>
    </r>
    <r>
      <rPr>
        <sz val="11"/>
        <color rgb="FFFF0000"/>
        <rFont val="Calibri"/>
        <family val="2"/>
        <scheme val="minor"/>
      </rPr>
      <t xml:space="preserve">X + </t>
    </r>
    <r>
      <rPr>
        <sz val="11"/>
        <color rgb="FFFF0000"/>
        <rFont val="Symbol"/>
        <family val="1"/>
        <charset val="2"/>
      </rPr>
      <t>e</t>
    </r>
    <r>
      <rPr>
        <sz val="11"/>
        <color rgb="FFFF0000"/>
        <rFont val="Calibri"/>
        <family val="2"/>
        <scheme val="minor"/>
      </rPr>
      <t>~N(0,sigma), fixed Xs</t>
    </r>
  </si>
  <si>
    <r>
      <t xml:space="preserve">Errors in Variables (EIV) DGP: Y = </t>
    </r>
    <r>
      <rPr>
        <sz val="11"/>
        <color rgb="FFFF0000"/>
        <rFont val="Symbol"/>
        <family val="1"/>
        <charset val="2"/>
      </rPr>
      <t>b</t>
    </r>
    <r>
      <rPr>
        <vertAlign val="subscript"/>
        <sz val="11"/>
        <color rgb="FFFF0000"/>
        <rFont val="Calibri"/>
        <family val="2"/>
        <scheme val="minor"/>
      </rPr>
      <t>0</t>
    </r>
    <r>
      <rPr>
        <sz val="11"/>
        <color rgb="FFFF0000"/>
        <rFont val="Calibri"/>
        <family val="2"/>
        <scheme val="minor"/>
      </rPr>
      <t xml:space="preserve"> + </t>
    </r>
    <r>
      <rPr>
        <sz val="11"/>
        <color rgb="FFFF0000"/>
        <rFont val="Symbol"/>
        <family val="1"/>
        <charset val="2"/>
      </rPr>
      <t>b</t>
    </r>
    <r>
      <rPr>
        <vertAlign val="subscript"/>
        <sz val="11"/>
        <color rgb="FFFF0000"/>
        <rFont val="Calibri"/>
        <family val="2"/>
        <scheme val="minor"/>
      </rPr>
      <t>1</t>
    </r>
    <r>
      <rPr>
        <sz val="11"/>
        <color rgb="FFFF0000"/>
        <rFont val="Calibri"/>
        <family val="2"/>
        <scheme val="minor"/>
      </rPr>
      <t xml:space="preserve">True X + </t>
    </r>
    <r>
      <rPr>
        <sz val="11"/>
        <color rgb="FFFF0000"/>
        <rFont val="Symbol"/>
        <family val="1"/>
        <charset val="2"/>
      </rPr>
      <t>e</t>
    </r>
    <r>
      <rPr>
        <sz val="11"/>
        <color rgb="FFFF0000"/>
        <rFont val="Calibri"/>
        <family val="2"/>
        <scheme val="minor"/>
      </rPr>
      <t>~N(0,sigmaY)</t>
    </r>
  </si>
  <si>
    <r>
      <t xml:space="preserve">Obs X = True X + </t>
    </r>
    <r>
      <rPr>
        <sz val="11"/>
        <color rgb="FFFF0000"/>
        <rFont val="Symbol"/>
        <family val="1"/>
        <charset val="2"/>
      </rPr>
      <t>n</t>
    </r>
    <r>
      <rPr>
        <sz val="11"/>
        <color rgb="FFFF0000"/>
        <rFont val="Calibri"/>
        <family val="2"/>
        <scheme val="minor"/>
      </rPr>
      <t>~N(0,sigmaX)</t>
    </r>
  </si>
  <si>
    <r>
      <rPr>
        <sz val="8"/>
        <color theme="1"/>
        <rFont val="Symbol"/>
        <family val="1"/>
        <charset val="2"/>
      </rPr>
      <t>(n</t>
    </r>
    <r>
      <rPr>
        <sz val="8"/>
        <color theme="1"/>
        <rFont val="Calibri"/>
        <family val="2"/>
        <scheme val="minor"/>
      </rPr>
      <t xml:space="preserve"> is Greek letter nu)</t>
    </r>
  </si>
  <si>
    <r>
      <t xml:space="preserve">If different, then </t>
    </r>
    <r>
      <rPr>
        <i/>
        <sz val="11"/>
        <rFont val="Calibri"/>
        <family val="2"/>
        <scheme val="minor"/>
      </rPr>
      <t>Deming regression</t>
    </r>
    <r>
      <rPr>
        <sz val="11"/>
        <rFont val="Calibri"/>
        <family val="2"/>
        <scheme val="minor"/>
      </rPr>
      <t>, residuals adjusted with lambda=</t>
    </r>
    <r>
      <rPr>
        <sz val="11"/>
        <rFont val="Symbol"/>
        <family val="1"/>
        <charset val="2"/>
      </rPr>
      <t>s</t>
    </r>
    <r>
      <rPr>
        <vertAlign val="superscript"/>
        <sz val="11"/>
        <rFont val="Calibri"/>
        <family val="2"/>
        <scheme val="minor"/>
      </rPr>
      <t>2</t>
    </r>
    <r>
      <rPr>
        <vertAlign val="subscript"/>
        <sz val="11"/>
        <rFont val="Symbol"/>
        <family val="1"/>
        <charset val="2"/>
      </rPr>
      <t xml:space="preserve">e </t>
    </r>
    <r>
      <rPr>
        <sz val="11"/>
        <rFont val="Calibri"/>
        <family val="2"/>
        <scheme val="minor"/>
      </rPr>
      <t>/</t>
    </r>
    <r>
      <rPr>
        <sz val="11"/>
        <rFont val="Symbol"/>
        <family val="1"/>
        <charset val="2"/>
      </rPr>
      <t>s</t>
    </r>
    <r>
      <rPr>
        <vertAlign val="superscript"/>
        <sz val="11"/>
        <rFont val="Symbol"/>
        <family val="1"/>
        <charset val="2"/>
      </rPr>
      <t>2</t>
    </r>
    <r>
      <rPr>
        <vertAlign val="subscript"/>
        <sz val="11"/>
        <rFont val="Symbol"/>
        <family val="1"/>
        <charset val="2"/>
      </rPr>
      <t>n</t>
    </r>
  </si>
  <si>
    <t>CEM has points that move vertically, up and down</t>
  </si>
  <si>
    <t>EIV has points that move vertically and horizontally, up and down and right and left</t>
  </si>
  <si>
    <t>Data below are 20 sets of X=1 to 5</t>
  </si>
  <si>
    <t>Press F9 a few times and watch the chart. There is up and down movement (Y), but also side-to-side movement (X).</t>
  </si>
  <si>
    <t>Q4: If EIV is the DGP, would you use OLS or Orthogonal regression? Why?</t>
  </si>
  <si>
    <t>Q3: Race OLS against ortho. What do you find?</t>
  </si>
  <si>
    <t>Conclusion</t>
  </si>
  <si>
    <t>Does OLS get worse as sigma increases?</t>
  </si>
  <si>
    <t>What if you had a mix of Xs, some with and anothers without errors?</t>
  </si>
  <si>
    <t>What is the Ortho Estimated SE of b1?</t>
  </si>
  <si>
    <t>Errors in X variables, called just errors in variables, means you have a different DGP for which OLS is no longer BLUE -- in fact, it isn't even U!</t>
  </si>
  <si>
    <t>Orthogonal regression is a different recipe than OLS -- the residual is measured as a perpendicular distance to the fitted line.</t>
  </si>
  <si>
    <t>What are things have you learned? What other questions do you have? Let's BRAINSTORM! Jot down ideas below.</t>
  </si>
  <si>
    <t>Here's the orthoreg UDF, it outputs the coefficients in usual b0, b1 order:</t>
  </si>
  <si>
    <t>This workbook has a way to get the orthogonal regression coefficients without Solver.</t>
  </si>
  <si>
    <t>The computation is quite advanced.</t>
  </si>
  <si>
    <t>Below is a brief explanation of how the ortho coefficients are computed</t>
  </si>
  <si>
    <t>and the orthoreg(known Ys, known Xs) user-defined array function is in cells I29:I30.</t>
  </si>
  <si>
    <r>
      <t xml:space="preserve">We use the variance-covariance matrix and then something called an </t>
    </r>
    <r>
      <rPr>
        <i/>
        <sz val="11"/>
        <color theme="1"/>
        <rFont val="Calibri"/>
        <family val="2"/>
        <scheme val="minor"/>
      </rPr>
      <t>eigenvector</t>
    </r>
    <r>
      <rPr>
        <sz val="11"/>
        <color theme="1"/>
        <rFont val="Calibri"/>
        <family val="2"/>
        <scheme val="minor"/>
      </rPr>
      <t xml:space="preserve"> to compute the coefficients.</t>
    </r>
  </si>
  <si>
    <t>Now that you know what we are looking for, we can sim!</t>
  </si>
  <si>
    <t>This situation, where both X and Y are measured with error is common in regressions that involve classification and computer vision.</t>
  </si>
  <si>
    <t>The side-to-side movement seems bigger than up and down because of the X axis scale, but they have the same sigma</t>
  </si>
  <si>
    <t>Orthogonal regression is unbiased for an EIV DGP, but is it BLUE? That's too hard to answer here.</t>
  </si>
  <si>
    <t>(Scroll down to see some of mine.)</t>
  </si>
  <si>
    <r>
      <t xml:space="preserve">(Click the </t>
    </r>
    <r>
      <rPr>
        <b/>
        <i/>
        <sz val="11"/>
        <color theme="1"/>
        <rFont val="Calibri"/>
        <family val="2"/>
        <scheme val="minor"/>
      </rPr>
      <t>Help</t>
    </r>
    <r>
      <rPr>
        <sz val="11"/>
        <color theme="1"/>
        <rFont val="Calibri"/>
        <family val="2"/>
        <scheme val="minor"/>
      </rPr>
      <t xml:space="preserve"> button if you don't know what to sim.)</t>
    </r>
  </si>
  <si>
    <t>seconds</t>
  </si>
  <si>
    <t>Summary Statistics</t>
  </si>
  <si>
    <t>Var1</t>
  </si>
  <si>
    <t>Var2</t>
  </si>
  <si>
    <r>
      <t xml:space="preserve">You also need Excel's Solver. </t>
    </r>
    <r>
      <rPr>
        <b/>
        <sz val="11"/>
        <color rgb="FFFF0000"/>
        <rFont val="Calibri"/>
        <family val="2"/>
        <scheme val="minor"/>
      </rPr>
      <t xml:space="preserve">Click the </t>
    </r>
    <r>
      <rPr>
        <b/>
        <i/>
        <sz val="11"/>
        <color rgb="FFFF0000"/>
        <rFont val="Calibri"/>
        <family val="2"/>
        <scheme val="minor"/>
      </rPr>
      <t>Data</t>
    </r>
    <r>
      <rPr>
        <b/>
        <sz val="11"/>
        <color rgb="FFFF0000"/>
        <rFont val="Calibri"/>
        <family val="2"/>
        <scheme val="minor"/>
      </rPr>
      <t xml:space="preserve"> tab in the menu and make sure it is in the top-right corner.</t>
    </r>
  </si>
  <si>
    <r>
      <t xml:space="preserve">If Solver is not installed, </t>
    </r>
    <r>
      <rPr>
        <b/>
        <sz val="11"/>
        <rFont val="Calibri"/>
        <family val="2"/>
        <scheme val="minor"/>
      </rPr>
      <t xml:space="preserve">press alt (release), then t (release), then I to bring up the Add-ins Manager and check Solver and click OK. </t>
    </r>
  </si>
  <si>
    <r>
      <t xml:space="preserve">Once you get the </t>
    </r>
    <r>
      <rPr>
        <i/>
        <sz val="11"/>
        <color theme="1"/>
        <rFont val="Calibri"/>
        <family val="2"/>
        <scheme val="minor"/>
      </rPr>
      <t>Click to Test</t>
    </r>
    <r>
      <rPr>
        <sz val="11"/>
        <color theme="1"/>
        <rFont val="Calibri"/>
        <family val="2"/>
        <scheme val="minor"/>
      </rPr>
      <t xml:space="preserve"> button (above) to work and you have Solver installed, you are ready to begin.</t>
    </r>
  </si>
  <si>
    <t>Evaluate the performance of OLS with a sim (track cells F13 and F14).</t>
  </si>
  <si>
    <t>Race OLS against Ortho with a sim (track cells F13 and I14).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</si>
</sst>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45">
    <font>
      <sz val="11"/>
      <color theme="1"/>
      <name val="Calibri"/>
      <family val="2"/>
      <scheme val="minor"/>
    </font>
    <font>
      <sz val="11"/>
      <color rgb="FFFF0000"/>
      <name val="Calibri"/>
      <family val="2"/>
      <scheme val="minor"/>
    </font>
    <font>
      <vertAlign val="superscript"/>
      <sz val="11"/>
      <color theme="1"/>
      <name val="Calibri"/>
      <family val="2"/>
      <scheme val="minor"/>
    </font>
    <font>
      <sz val="12"/>
      <name val="Times New Roman"/>
      <family val="1"/>
    </font>
    <font>
      <sz val="24"/>
      <name val="Times New Roman"/>
      <family val="1"/>
    </font>
    <font>
      <sz val="12"/>
      <color indexed="14"/>
      <name val="Times New Roman"/>
      <family val="1"/>
    </font>
    <font>
      <sz val="12"/>
      <color indexed="12"/>
      <name val="Times New Roman"/>
      <family val="1"/>
    </font>
    <font>
      <sz val="10"/>
      <name val="Arial"/>
      <family val="2"/>
    </font>
    <font>
      <sz val="12"/>
      <name val="Times New Roman"/>
      <family val="1"/>
    </font>
    <font>
      <b/>
      <sz val="14"/>
      <name val="Times New Roman"/>
      <family val="1"/>
    </font>
    <font>
      <b/>
      <sz val="12"/>
      <color indexed="14"/>
      <name val="Times New Roman"/>
      <family val="1"/>
    </font>
    <font>
      <b/>
      <sz val="12"/>
      <color indexed="12"/>
      <name val="Times New Roman"/>
      <family val="1"/>
    </font>
    <font>
      <b/>
      <sz val="12"/>
      <color indexed="10"/>
      <name val="Times New Roman"/>
      <family val="1"/>
    </font>
    <font>
      <b/>
      <sz val="12"/>
      <name val="Times New Roman"/>
      <family val="1"/>
    </font>
    <font>
      <sz val="12"/>
      <color indexed="9"/>
      <name val="Times New Roman"/>
      <family val="1"/>
    </font>
    <font>
      <sz val="12"/>
      <color indexed="10"/>
      <name val="Times New Roman"/>
      <family val="1"/>
    </font>
    <font>
      <sz val="12"/>
      <name val="Times New Roman"/>
      <family val="1"/>
    </font>
    <font>
      <i/>
      <sz val="11"/>
      <color theme="1"/>
      <name val="Calibri"/>
      <family val="2"/>
      <scheme val="minor"/>
    </font>
    <font>
      <sz val="11"/>
      <color rgb="FF000000"/>
      <name val="Calibri"/>
      <family val="2"/>
    </font>
    <font>
      <u/>
      <sz val="11"/>
      <color theme="10"/>
      <name val="Calibri"/>
      <family val="2"/>
      <scheme val="minor"/>
    </font>
    <font>
      <sz val="11"/>
      <name val="Calibri"/>
      <family val="2"/>
      <scheme val="minor"/>
    </font>
    <font>
      <b/>
      <i/>
      <sz val="11"/>
      <color theme="1"/>
      <name val="Calibri"/>
      <family val="2"/>
      <scheme val="minor"/>
    </font>
    <font>
      <u/>
      <sz val="11"/>
      <color indexed="12"/>
      <name val="Calibri"/>
      <family val="2"/>
      <scheme val="minor"/>
    </font>
    <font>
      <b/>
      <sz val="11"/>
      <color rgb="FFFF0000"/>
      <name val="Calibri"/>
      <family val="2"/>
      <scheme val="minor"/>
    </font>
    <font>
      <u/>
      <sz val="9"/>
      <color indexed="12"/>
      <name val="Geneva"/>
      <family val="2"/>
    </font>
    <font>
      <b/>
      <sz val="11"/>
      <color rgb="FFC00000"/>
      <name val="Calibri"/>
      <family val="2"/>
      <scheme val="minor"/>
    </font>
    <font>
      <u/>
      <sz val="11"/>
      <name val="Calibri"/>
      <family val="2"/>
      <scheme val="minor"/>
    </font>
    <font>
      <b/>
      <i/>
      <sz val="11"/>
      <color rgb="FFC00000"/>
      <name val="Calibri"/>
      <family val="2"/>
      <scheme val="minor"/>
    </font>
    <font>
      <b/>
      <i/>
      <sz val="11"/>
      <color rgb="FFFF0000"/>
      <name val="Calibri"/>
      <family val="2"/>
      <scheme val="minor"/>
    </font>
    <font>
      <i/>
      <sz val="11"/>
      <name val="Calibri"/>
      <family val="2"/>
      <scheme val="minor"/>
    </font>
    <font>
      <sz val="11"/>
      <color rgb="FFFF0000"/>
      <name val="Calibri"/>
      <family val="1"/>
      <charset val="2"/>
      <scheme val="minor"/>
    </font>
    <font>
      <sz val="11"/>
      <color rgb="FFFF0000"/>
      <name val="Symbol"/>
      <family val="1"/>
      <charset val="2"/>
    </font>
    <font>
      <vertAlign val="subscript"/>
      <sz val="11"/>
      <color rgb="FFFF0000"/>
      <name val="Calibri"/>
      <family val="2"/>
      <scheme val="minor"/>
    </font>
    <font>
      <b/>
      <sz val="11"/>
      <color theme="1"/>
      <name val="Calibri"/>
      <family val="2"/>
      <scheme val="minor"/>
    </font>
    <font>
      <b/>
      <sz val="11"/>
      <color rgb="FFFFC000"/>
      <name val="Calibri"/>
      <family val="2"/>
      <scheme val="minor"/>
    </font>
    <font>
      <b/>
      <sz val="11"/>
      <color rgb="FF00B050"/>
      <name val="Calibri"/>
      <family val="2"/>
      <scheme val="minor"/>
    </font>
    <font>
      <b/>
      <sz val="11"/>
      <name val="Calibri"/>
      <family val="2"/>
      <scheme val="minor"/>
    </font>
    <font>
      <sz val="11"/>
      <name val="Symbol"/>
      <family val="1"/>
      <charset val="2"/>
    </font>
    <font>
      <vertAlign val="superscript"/>
      <sz val="11"/>
      <name val="Calibri"/>
      <family val="2"/>
      <scheme val="minor"/>
    </font>
    <font>
      <vertAlign val="subscript"/>
      <sz val="11"/>
      <name val="Symbol"/>
      <family val="1"/>
      <charset val="2"/>
    </font>
    <font>
      <vertAlign val="superscript"/>
      <sz val="11"/>
      <name val="Symbol"/>
      <family val="1"/>
      <charset val="2"/>
    </font>
    <font>
      <sz val="8"/>
      <color theme="1"/>
      <name val="Calibri"/>
      <family val="1"/>
      <charset val="2"/>
      <scheme val="minor"/>
    </font>
    <font>
      <sz val="8"/>
      <color theme="1"/>
      <name val="Symbol"/>
      <family val="1"/>
      <charset val="2"/>
    </font>
    <font>
      <sz val="8"/>
      <color theme="1"/>
      <name val="Calibri"/>
      <family val="2"/>
      <scheme val="minor"/>
    </font>
    <font>
      <b/>
      <sz val="12"/>
      <color indexed="56"/>
      <name val="Times New Roman"/>
      <family val="1"/>
    </font>
  </fonts>
  <fills count="4">
    <fill>
      <patternFill patternType="none"/>
    </fill>
    <fill>
      <patternFill patternType="gray125"/>
    </fill>
    <fill>
      <patternFill patternType="solid">
        <fgColor rgb="FF92D050"/>
        <bgColor indexed="64"/>
      </patternFill>
    </fill>
    <fill>
      <patternFill patternType="solid">
        <fgColor rgb="FFFFC000"/>
        <bgColor indexed="64"/>
      </patternFill>
    </fill>
  </fills>
  <borders count="23">
    <border>
      <left/>
      <right/>
      <top/>
      <bottom/>
      <diagonal/>
    </border>
    <border>
      <left/>
      <right/>
      <top/>
      <bottom style="medium">
        <color indexed="64"/>
      </bottom>
      <diagonal/>
    </border>
    <border>
      <left/>
      <right/>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s>
  <cellStyleXfs count="9">
    <xf numFmtId="0" fontId="0" fillId="0" borderId="0"/>
    <xf numFmtId="0" fontId="3" fillId="0" borderId="0"/>
    <xf numFmtId="9" fontId="3" fillId="0" borderId="0" applyFont="0" applyFill="0" applyBorder="0" applyAlignment="0" applyProtection="0"/>
    <xf numFmtId="0" fontId="7" fillId="0" borderId="0"/>
    <xf numFmtId="0" fontId="8" fillId="0" borderId="0"/>
    <xf numFmtId="0" fontId="3" fillId="0" borderId="0"/>
    <xf numFmtId="0" fontId="16" fillId="0" borderId="0"/>
    <xf numFmtId="0" fontId="19" fillId="0" borderId="0" applyNumberFormat="0" applyFill="0" applyBorder="0" applyAlignment="0" applyProtection="0"/>
    <xf numFmtId="0" fontId="24" fillId="0" borderId="0" applyNumberFormat="0" applyFill="0" applyBorder="0" applyAlignment="0" applyProtection="0">
      <alignment vertical="top"/>
      <protection locked="0"/>
    </xf>
  </cellStyleXfs>
  <cellXfs count="96">
    <xf numFmtId="0" fontId="0" fillId="0" borderId="0" xfId="0"/>
    <xf numFmtId="0" fontId="0" fillId="0" borderId="0" xfId="0" quotePrefix="1"/>
    <xf numFmtId="0" fontId="0" fillId="0" borderId="0" xfId="0" applyFill="1" applyBorder="1"/>
    <xf numFmtId="0" fontId="0" fillId="0" borderId="2" xfId="0" applyBorder="1"/>
    <xf numFmtId="0" fontId="0" fillId="0" borderId="0" xfId="0" applyAlignment="1">
      <alignment horizontal="right"/>
    </xf>
    <xf numFmtId="0" fontId="4" fillId="0" borderId="0" xfId="1" applyFont="1" applyAlignment="1">
      <alignment horizontal="left"/>
    </xf>
    <xf numFmtId="0" fontId="5" fillId="0" borderId="0" xfId="2" applyNumberFormat="1" applyFont="1" applyAlignment="1">
      <alignment horizontal="center"/>
    </xf>
    <xf numFmtId="0" fontId="6" fillId="0" borderId="0" xfId="1" applyFont="1"/>
    <xf numFmtId="0" fontId="7" fillId="0" borderId="0" xfId="3"/>
    <xf numFmtId="0" fontId="3" fillId="0" borderId="0" xfId="1"/>
    <xf numFmtId="1" fontId="3" fillId="0" borderId="0" xfId="1" applyNumberFormat="1"/>
    <xf numFmtId="0" fontId="8" fillId="0" borderId="0" xfId="4"/>
    <xf numFmtId="0" fontId="3" fillId="0" borderId="1" xfId="1" applyBorder="1" applyAlignment="1">
      <alignment horizontal="center" wrapText="1"/>
    </xf>
    <xf numFmtId="9" fontId="5" fillId="0" borderId="1" xfId="2" applyFont="1" applyBorder="1" applyAlignment="1">
      <alignment horizontal="center" wrapText="1"/>
    </xf>
    <xf numFmtId="9" fontId="6" fillId="0" borderId="1" xfId="2" applyFont="1" applyBorder="1" applyAlignment="1">
      <alignment horizontal="center" wrapText="1"/>
    </xf>
    <xf numFmtId="0" fontId="3" fillId="0" borderId="0" xfId="1" applyAlignment="1">
      <alignment wrapText="1"/>
    </xf>
    <xf numFmtId="0" fontId="7" fillId="0" borderId="0" xfId="3" applyAlignment="1">
      <alignment wrapText="1"/>
    </xf>
    <xf numFmtId="0" fontId="3" fillId="0" borderId="0" xfId="1" applyAlignment="1">
      <alignment horizontal="center"/>
    </xf>
    <xf numFmtId="164" fontId="5" fillId="0" borderId="0" xfId="2" applyNumberFormat="1" applyFont="1" applyAlignment="1">
      <alignment horizontal="center"/>
    </xf>
    <xf numFmtId="164" fontId="6" fillId="0" borderId="0" xfId="1" applyNumberFormat="1" applyFont="1"/>
    <xf numFmtId="1" fontId="3" fillId="0" borderId="5" xfId="1" applyNumberFormat="1" applyBorder="1"/>
    <xf numFmtId="0" fontId="3" fillId="0" borderId="6" xfId="1" applyBorder="1"/>
    <xf numFmtId="1" fontId="3" fillId="0" borderId="7" xfId="1" applyNumberFormat="1" applyBorder="1"/>
    <xf numFmtId="0" fontId="3" fillId="0" borderId="8" xfId="1" applyBorder="1"/>
    <xf numFmtId="0" fontId="13" fillId="0" borderId="0" xfId="1" applyFont="1" applyAlignment="1">
      <alignment horizontal="center"/>
    </xf>
    <xf numFmtId="0" fontId="5" fillId="0" borderId="5" xfId="1" applyFont="1" applyBorder="1"/>
    <xf numFmtId="164" fontId="5" fillId="0" borderId="6" xfId="2" applyNumberFormat="1" applyFont="1" applyBorder="1"/>
    <xf numFmtId="0" fontId="6" fillId="0" borderId="5" xfId="1" applyFont="1" applyBorder="1"/>
    <xf numFmtId="164" fontId="6" fillId="0" borderId="6" xfId="2" applyNumberFormat="1" applyFont="1" applyBorder="1"/>
    <xf numFmtId="0" fontId="12" fillId="0" borderId="13" xfId="1" applyFont="1" applyBorder="1"/>
    <xf numFmtId="0" fontId="12" fillId="0" borderId="10" xfId="1" applyFont="1" applyBorder="1"/>
    <xf numFmtId="165" fontId="5" fillId="0" borderId="6" xfId="2" applyNumberFormat="1" applyFont="1" applyBorder="1"/>
    <xf numFmtId="165" fontId="6" fillId="0" borderId="6" xfId="2" applyNumberFormat="1" applyFont="1" applyBorder="1"/>
    <xf numFmtId="0" fontId="12" fillId="0" borderId="0" xfId="1" applyFont="1"/>
    <xf numFmtId="0" fontId="12" fillId="0" borderId="14" xfId="1" applyFont="1" applyBorder="1"/>
    <xf numFmtId="1" fontId="3" fillId="0" borderId="0" xfId="2" applyNumberFormat="1"/>
    <xf numFmtId="0" fontId="3" fillId="0" borderId="14" xfId="1" applyBorder="1"/>
    <xf numFmtId="0" fontId="5" fillId="0" borderId="7" xfId="1" applyFont="1" applyBorder="1"/>
    <xf numFmtId="164" fontId="5" fillId="0" borderId="8" xfId="2" applyNumberFormat="1" applyFont="1" applyBorder="1"/>
    <xf numFmtId="0" fontId="6" fillId="0" borderId="7" xfId="1" applyFont="1" applyBorder="1"/>
    <xf numFmtId="164" fontId="6" fillId="0" borderId="8" xfId="2" applyNumberFormat="1" applyFont="1" applyBorder="1"/>
    <xf numFmtId="0" fontId="3" fillId="0" borderId="1" xfId="1" applyBorder="1"/>
    <xf numFmtId="0" fontId="3" fillId="0" borderId="15" xfId="1" applyBorder="1"/>
    <xf numFmtId="0" fontId="13" fillId="0" borderId="0" xfId="1" applyFont="1"/>
    <xf numFmtId="1" fontId="14" fillId="0" borderId="0" xfId="1" applyNumberFormat="1" applyFont="1"/>
    <xf numFmtId="0" fontId="15" fillId="0" borderId="0" xfId="1" applyFont="1" applyAlignment="1">
      <alignment horizontal="left"/>
    </xf>
    <xf numFmtId="0" fontId="1" fillId="0" borderId="0" xfId="0" applyFont="1"/>
    <xf numFmtId="0" fontId="3" fillId="0" borderId="0" xfId="5"/>
    <xf numFmtId="15" fontId="0" fillId="0" borderId="0" xfId="0" applyNumberFormat="1"/>
    <xf numFmtId="16" fontId="0" fillId="0" borderId="0" xfId="0" applyNumberFormat="1"/>
    <xf numFmtId="0" fontId="20" fillId="0" borderId="0" xfId="0" applyFont="1"/>
    <xf numFmtId="0" fontId="21" fillId="0" borderId="0" xfId="0" applyFont="1" applyAlignment="1">
      <alignment horizontal="center"/>
    </xf>
    <xf numFmtId="0" fontId="20" fillId="0" borderId="0" xfId="0" applyFont="1" applyAlignment="1">
      <alignment horizontal="center"/>
    </xf>
    <xf numFmtId="0" fontId="22" fillId="0" borderId="0" xfId="7" applyFont="1" applyAlignment="1" applyProtection="1"/>
    <xf numFmtId="0" fontId="22" fillId="0" borderId="0" xfId="7" applyFont="1" applyAlignment="1" applyProtection="1">
      <alignment horizontal="center"/>
    </xf>
    <xf numFmtId="0" fontId="20" fillId="0" borderId="0" xfId="0" quotePrefix="1" applyFont="1" applyAlignment="1">
      <alignment horizontal="center"/>
    </xf>
    <xf numFmtId="0" fontId="22" fillId="0" borderId="0" xfId="8" applyFont="1" applyAlignment="1" applyProtection="1"/>
    <xf numFmtId="0" fontId="19" fillId="0" borderId="0" xfId="7"/>
    <xf numFmtId="0" fontId="30" fillId="0" borderId="0" xfId="0" applyFont="1"/>
    <xf numFmtId="0" fontId="23" fillId="0" borderId="0" xfId="0" applyFont="1"/>
    <xf numFmtId="0" fontId="34" fillId="0" borderId="0" xfId="0" applyFont="1"/>
    <xf numFmtId="0" fontId="35" fillId="0" borderId="0" xfId="0" applyFont="1"/>
    <xf numFmtId="0" fontId="23" fillId="0" borderId="0" xfId="0" quotePrefix="1" applyFont="1"/>
    <xf numFmtId="0" fontId="0" fillId="2" borderId="0" xfId="0" applyFill="1"/>
    <xf numFmtId="0" fontId="0" fillId="3" borderId="0" xfId="0" applyFill="1"/>
    <xf numFmtId="0" fontId="36" fillId="0" borderId="0" xfId="0" applyFont="1"/>
    <xf numFmtId="0" fontId="41" fillId="0" borderId="0" xfId="0" applyFont="1"/>
    <xf numFmtId="0" fontId="9" fillId="0" borderId="3" xfId="1" applyFont="1" applyBorder="1" applyAlignment="1">
      <alignment horizontal="center" wrapText="1"/>
    </xf>
    <xf numFmtId="0" fontId="9" fillId="0" borderId="4" xfId="1" applyFont="1" applyBorder="1" applyAlignment="1">
      <alignment horizontal="center" wrapText="1"/>
    </xf>
    <xf numFmtId="0" fontId="10" fillId="0" borderId="9" xfId="1" applyFont="1" applyBorder="1" applyAlignment="1">
      <alignment horizontal="center"/>
    </xf>
    <xf numFmtId="0" fontId="10" fillId="0" borderId="10" xfId="1" applyFont="1" applyBorder="1" applyAlignment="1">
      <alignment horizontal="center"/>
    </xf>
    <xf numFmtId="0" fontId="11" fillId="0" borderId="9" xfId="1" applyFont="1" applyBorder="1" applyAlignment="1">
      <alignment horizontal="center"/>
    </xf>
    <xf numFmtId="0" fontId="11" fillId="0" borderId="10" xfId="1" applyFont="1" applyBorder="1" applyAlignment="1">
      <alignment horizontal="center"/>
    </xf>
    <xf numFmtId="0" fontId="12" fillId="0" borderId="11" xfId="1" applyFont="1" applyBorder="1" applyAlignment="1">
      <alignment horizontal="center"/>
    </xf>
    <xf numFmtId="0" fontId="12" fillId="0" borderId="12" xfId="1" applyFont="1" applyBorder="1" applyAlignment="1">
      <alignment horizontal="center"/>
    </xf>
    <xf numFmtId="0" fontId="3" fillId="0" borderId="0" xfId="2" applyNumberFormat="1" applyAlignment="1">
      <alignment horizontal="center"/>
    </xf>
    <xf numFmtId="9" fontId="3" fillId="0" borderId="1" xfId="2" applyFont="1" applyBorder="1" applyAlignment="1">
      <alignment horizontal="center" wrapText="1"/>
    </xf>
    <xf numFmtId="0" fontId="3" fillId="0" borderId="4" xfId="5" applyBorder="1" applyAlignment="1">
      <alignment horizontal="center" wrapText="1"/>
    </xf>
    <xf numFmtId="164" fontId="3" fillId="0" borderId="0" xfId="2" applyNumberFormat="1" applyAlignment="1">
      <alignment horizontal="center"/>
    </xf>
    <xf numFmtId="0" fontId="44" fillId="0" borderId="16" xfId="1" applyFont="1" applyBorder="1" applyAlignment="1">
      <alignment horizontal="center"/>
    </xf>
    <xf numFmtId="0" fontId="44" fillId="0" borderId="11" xfId="1" applyFont="1" applyBorder="1" applyAlignment="1">
      <alignment horizontal="center"/>
    </xf>
    <xf numFmtId="0" fontId="44" fillId="0" borderId="12" xfId="1" applyFont="1" applyBorder="1" applyAlignment="1">
      <alignment horizontal="center"/>
    </xf>
    <xf numFmtId="0" fontId="3" fillId="0" borderId="17" xfId="1" applyBorder="1"/>
    <xf numFmtId="164" fontId="3" fillId="0" borderId="18" xfId="2" applyNumberFormat="1" applyBorder="1"/>
    <xf numFmtId="0" fontId="12" fillId="0" borderId="9" xfId="1" applyFont="1" applyBorder="1"/>
    <xf numFmtId="0" fontId="3" fillId="0" borderId="10" xfId="1" applyBorder="1"/>
    <xf numFmtId="0" fontId="3" fillId="0" borderId="5" xfId="1" applyBorder="1"/>
    <xf numFmtId="165" fontId="3" fillId="0" borderId="19" xfId="2" applyNumberFormat="1" applyFont="1" applyBorder="1"/>
    <xf numFmtId="0" fontId="3" fillId="0" borderId="20" xfId="3" applyFont="1" applyBorder="1"/>
    <xf numFmtId="0" fontId="3" fillId="0" borderId="0" xfId="3" applyFont="1"/>
    <xf numFmtId="1" fontId="3" fillId="0" borderId="0" xfId="2" applyNumberFormat="1" applyFont="1"/>
    <xf numFmtId="164" fontId="3" fillId="0" borderId="19" xfId="2" applyNumberFormat="1" applyBorder="1"/>
    <xf numFmtId="0" fontId="3" fillId="0" borderId="20" xfId="1" applyBorder="1"/>
    <xf numFmtId="0" fontId="3" fillId="0" borderId="7" xfId="1" applyBorder="1"/>
    <xf numFmtId="164" fontId="3" fillId="0" borderId="21" xfId="2" applyNumberFormat="1" applyBorder="1"/>
    <xf numFmtId="0" fontId="3" fillId="0" borderId="22" xfId="1" applyBorder="1"/>
  </cellXfs>
  <cellStyles count="9">
    <cellStyle name="Hyperlink" xfId="7" builtinId="8"/>
    <cellStyle name="Hyperlink 2" xfId="8" xr:uid="{D714A33F-E914-42B7-9903-BBAE4514F48C}"/>
    <cellStyle name="Normal" xfId="0" builtinId="0"/>
    <cellStyle name="Normal 2" xfId="4" xr:uid="{67B43B47-369D-499F-81F4-6B2104576F21}"/>
    <cellStyle name="Normal 3" xfId="5" xr:uid="{C059CF81-E03A-4D9E-9A56-3A5A397D3F12}"/>
    <cellStyle name="Normal 4" xfId="6" xr:uid="{6A5EB374-01F5-4DFB-9064-88BD478C5A21}"/>
    <cellStyle name="Normal_AutoCorr" xfId="3" xr:uid="{A4C5642C-CFD3-4730-88A3-279C0FBDCC81}"/>
    <cellStyle name="Normal_MonteCarlo" xfId="1" xr:uid="{D773BD6E-A673-47B7-A4F5-DA28495B6D91}"/>
    <cellStyle name="Percent 2" xfId="2" xr:uid="{C958A1E7-861D-4EDB-A79A-A9C4FD7F90E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spPr>
            <a:ln w="28575" cap="rnd">
              <a:solidFill>
                <a:srgbClr val="FFC000"/>
              </a:solidFill>
              <a:round/>
            </a:ln>
            <a:effectLst/>
          </c:spPr>
          <c:marker>
            <c:symbol val="none"/>
          </c:marker>
          <c:xVal>
            <c:numRef>
              <c:f>OLS!$B$2:$B$6</c:f>
              <c:numCache>
                <c:formatCode>General</c:formatCode>
                <c:ptCount val="5"/>
                <c:pt idx="0">
                  <c:v>1</c:v>
                </c:pt>
                <c:pt idx="1">
                  <c:v>2</c:v>
                </c:pt>
                <c:pt idx="2">
                  <c:v>3</c:v>
                </c:pt>
                <c:pt idx="3">
                  <c:v>4</c:v>
                </c:pt>
                <c:pt idx="4">
                  <c:v>5</c:v>
                </c:pt>
              </c:numCache>
            </c:numRef>
          </c:xVal>
          <c:yVal>
            <c:numRef>
              <c:f>OLS!$J$2:$J$6</c:f>
              <c:numCache>
                <c:formatCode>General</c:formatCode>
                <c:ptCount val="5"/>
                <c:pt idx="0">
                  <c:v>0.5</c:v>
                </c:pt>
                <c:pt idx="1">
                  <c:v>1</c:v>
                </c:pt>
                <c:pt idx="2">
                  <c:v>1.5</c:v>
                </c:pt>
                <c:pt idx="3">
                  <c:v>2</c:v>
                </c:pt>
                <c:pt idx="4">
                  <c:v>2.5</c:v>
                </c:pt>
              </c:numCache>
            </c:numRef>
          </c:yVal>
          <c:smooth val="0"/>
          <c:extLst>
            <c:ext xmlns:c16="http://schemas.microsoft.com/office/drawing/2014/chart" uri="{C3380CC4-5D6E-409C-BE32-E72D297353CC}">
              <c16:uniqueId val="{00000003-93C3-4C7B-9DD1-499BA08BF4BA}"/>
            </c:ext>
          </c:extLst>
        </c:ser>
        <c:ser>
          <c:idx val="0"/>
          <c:order val="1"/>
          <c:spPr>
            <a:ln w="19050" cap="rnd">
              <a:noFill/>
              <a:round/>
            </a:ln>
            <a:effectLst/>
          </c:spPr>
          <c:marker>
            <c:symbol val="circle"/>
            <c:size val="5"/>
            <c:spPr>
              <a:solidFill>
                <a:schemeClr val="accent1"/>
              </a:solidFill>
              <a:ln w="9525">
                <a:solidFill>
                  <a:schemeClr val="accent1"/>
                </a:solidFill>
              </a:ln>
              <a:effectLst/>
            </c:spPr>
          </c:marker>
          <c:xVal>
            <c:numRef>
              <c:f>OLS!$B$2:$B$6</c:f>
              <c:numCache>
                <c:formatCode>General</c:formatCode>
                <c:ptCount val="5"/>
                <c:pt idx="0">
                  <c:v>1</c:v>
                </c:pt>
                <c:pt idx="1">
                  <c:v>2</c:v>
                </c:pt>
                <c:pt idx="2">
                  <c:v>3</c:v>
                </c:pt>
                <c:pt idx="3">
                  <c:v>4</c:v>
                </c:pt>
                <c:pt idx="4">
                  <c:v>5</c:v>
                </c:pt>
              </c:numCache>
            </c:numRef>
          </c:xVal>
          <c:yVal>
            <c:numRef>
              <c:f>OLS!$C$2:$C$6</c:f>
              <c:numCache>
                <c:formatCode>General</c:formatCode>
                <c:ptCount val="5"/>
                <c:pt idx="0">
                  <c:v>2</c:v>
                </c:pt>
                <c:pt idx="1">
                  <c:v>2.1</c:v>
                </c:pt>
                <c:pt idx="2">
                  <c:v>5</c:v>
                </c:pt>
                <c:pt idx="3">
                  <c:v>2.1</c:v>
                </c:pt>
                <c:pt idx="4">
                  <c:v>3</c:v>
                </c:pt>
              </c:numCache>
            </c:numRef>
          </c:yVal>
          <c:smooth val="0"/>
          <c:extLst>
            <c:ext xmlns:c16="http://schemas.microsoft.com/office/drawing/2014/chart" uri="{C3380CC4-5D6E-409C-BE32-E72D297353CC}">
              <c16:uniqueId val="{00000001-93C3-4C7B-9DD1-499BA08BF4BA}"/>
            </c:ext>
          </c:extLst>
        </c:ser>
        <c:dLbls>
          <c:showLegendKey val="0"/>
          <c:showVal val="0"/>
          <c:showCatName val="0"/>
          <c:showSerName val="0"/>
          <c:showPercent val="0"/>
          <c:showBubbleSize val="0"/>
        </c:dLbls>
        <c:axId val="1153452816"/>
        <c:axId val="1153454480"/>
      </c:scatterChart>
      <c:valAx>
        <c:axId val="115345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4480"/>
        <c:crosses val="autoZero"/>
        <c:crossBetween val="midCat"/>
      </c:valAx>
      <c:valAx>
        <c:axId val="11534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2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2"/>
          <c:order val="0"/>
          <c:spPr>
            <a:ln w="28575" cap="rnd">
              <a:solidFill>
                <a:srgbClr val="00B050"/>
              </a:solidFill>
              <a:round/>
            </a:ln>
            <a:effectLst/>
          </c:spPr>
          <c:marker>
            <c:symbol val="none"/>
          </c:marker>
          <c:xVal>
            <c:numRef>
              <c:f>Ortho!$B$2:$B$6</c:f>
              <c:numCache>
                <c:formatCode>General</c:formatCode>
                <c:ptCount val="5"/>
                <c:pt idx="0">
                  <c:v>1</c:v>
                </c:pt>
                <c:pt idx="1">
                  <c:v>2</c:v>
                </c:pt>
                <c:pt idx="2">
                  <c:v>3</c:v>
                </c:pt>
                <c:pt idx="3">
                  <c:v>4</c:v>
                </c:pt>
                <c:pt idx="4">
                  <c:v>5</c:v>
                </c:pt>
              </c:numCache>
            </c:numRef>
          </c:xVal>
          <c:yVal>
            <c:numRef>
              <c:f>Ortho!$P$2:$P$6</c:f>
              <c:numCache>
                <c:formatCode>General</c:formatCode>
                <c:ptCount val="5"/>
                <c:pt idx="0">
                  <c:v>1</c:v>
                </c:pt>
                <c:pt idx="1">
                  <c:v>1.5</c:v>
                </c:pt>
                <c:pt idx="2">
                  <c:v>2</c:v>
                </c:pt>
                <c:pt idx="3">
                  <c:v>2.5</c:v>
                </c:pt>
                <c:pt idx="4">
                  <c:v>3</c:v>
                </c:pt>
              </c:numCache>
            </c:numRef>
          </c:yVal>
          <c:smooth val="0"/>
          <c:extLst>
            <c:ext xmlns:c16="http://schemas.microsoft.com/office/drawing/2014/chart" uri="{C3380CC4-5D6E-409C-BE32-E72D297353CC}">
              <c16:uniqueId val="{00000003-6BCB-4903-8F8B-CA947829D8D2}"/>
            </c:ext>
          </c:extLst>
        </c:ser>
        <c:ser>
          <c:idx val="1"/>
          <c:order val="1"/>
          <c:spPr>
            <a:ln w="28575" cap="rnd">
              <a:solidFill>
                <a:srgbClr val="FFC000"/>
              </a:solidFill>
              <a:round/>
            </a:ln>
            <a:effectLst/>
          </c:spPr>
          <c:marker>
            <c:symbol val="none"/>
          </c:marker>
          <c:xVal>
            <c:numRef>
              <c:f>Ortho!$B$2:$B$6</c:f>
              <c:numCache>
                <c:formatCode>General</c:formatCode>
                <c:ptCount val="5"/>
                <c:pt idx="0">
                  <c:v>1</c:v>
                </c:pt>
                <c:pt idx="1">
                  <c:v>2</c:v>
                </c:pt>
                <c:pt idx="2">
                  <c:v>3</c:v>
                </c:pt>
                <c:pt idx="3">
                  <c:v>4</c:v>
                </c:pt>
                <c:pt idx="4">
                  <c:v>5</c:v>
                </c:pt>
              </c:numCache>
            </c:numRef>
          </c:xVal>
          <c:yVal>
            <c:numRef>
              <c:f>Ortho!$J$2:$J$6</c:f>
              <c:numCache>
                <c:formatCode>General</c:formatCode>
                <c:ptCount val="5"/>
                <c:pt idx="0">
                  <c:v>2.4399943925265188</c:v>
                </c:pt>
                <c:pt idx="1">
                  <c:v>2.6399964354352989</c:v>
                </c:pt>
                <c:pt idx="2">
                  <c:v>2.839998478344079</c:v>
                </c:pt>
                <c:pt idx="3">
                  <c:v>3.0400005212528591</c:v>
                </c:pt>
                <c:pt idx="4">
                  <c:v>3.2400025641616392</c:v>
                </c:pt>
              </c:numCache>
            </c:numRef>
          </c:yVal>
          <c:smooth val="0"/>
          <c:extLst>
            <c:ext xmlns:c16="http://schemas.microsoft.com/office/drawing/2014/chart" uri="{C3380CC4-5D6E-409C-BE32-E72D297353CC}">
              <c16:uniqueId val="{00000000-6BCB-4903-8F8B-CA947829D8D2}"/>
            </c:ext>
          </c:extLst>
        </c:ser>
        <c:ser>
          <c:idx val="0"/>
          <c:order val="2"/>
          <c:spPr>
            <a:ln w="19050" cap="rnd">
              <a:noFill/>
              <a:round/>
            </a:ln>
            <a:effectLst/>
          </c:spPr>
          <c:marker>
            <c:symbol val="circle"/>
            <c:size val="5"/>
            <c:spPr>
              <a:solidFill>
                <a:schemeClr val="accent1"/>
              </a:solidFill>
              <a:ln w="9525">
                <a:solidFill>
                  <a:schemeClr val="accent1"/>
                </a:solidFill>
              </a:ln>
              <a:effectLst/>
            </c:spPr>
          </c:marker>
          <c:xVal>
            <c:numRef>
              <c:f>Ortho!$B$2:$B$6</c:f>
              <c:numCache>
                <c:formatCode>General</c:formatCode>
                <c:ptCount val="5"/>
                <c:pt idx="0">
                  <c:v>1</c:v>
                </c:pt>
                <c:pt idx="1">
                  <c:v>2</c:v>
                </c:pt>
                <c:pt idx="2">
                  <c:v>3</c:v>
                </c:pt>
                <c:pt idx="3">
                  <c:v>4</c:v>
                </c:pt>
                <c:pt idx="4">
                  <c:v>5</c:v>
                </c:pt>
              </c:numCache>
            </c:numRef>
          </c:xVal>
          <c:yVal>
            <c:numRef>
              <c:f>Ortho!$C$2:$C$6</c:f>
              <c:numCache>
                <c:formatCode>General</c:formatCode>
                <c:ptCount val="5"/>
                <c:pt idx="0">
                  <c:v>2</c:v>
                </c:pt>
                <c:pt idx="1">
                  <c:v>2.1</c:v>
                </c:pt>
                <c:pt idx="2">
                  <c:v>5</c:v>
                </c:pt>
                <c:pt idx="3">
                  <c:v>2.1</c:v>
                </c:pt>
                <c:pt idx="4">
                  <c:v>3</c:v>
                </c:pt>
              </c:numCache>
            </c:numRef>
          </c:yVal>
          <c:smooth val="0"/>
          <c:extLst>
            <c:ext xmlns:c16="http://schemas.microsoft.com/office/drawing/2014/chart" uri="{C3380CC4-5D6E-409C-BE32-E72D297353CC}">
              <c16:uniqueId val="{00000001-6BCB-4903-8F8B-CA947829D8D2}"/>
            </c:ext>
          </c:extLst>
        </c:ser>
        <c:dLbls>
          <c:showLegendKey val="0"/>
          <c:showVal val="0"/>
          <c:showCatName val="0"/>
          <c:showSerName val="0"/>
          <c:showPercent val="0"/>
          <c:showBubbleSize val="0"/>
        </c:dLbls>
        <c:axId val="1153452816"/>
        <c:axId val="1153454480"/>
      </c:scatterChart>
      <c:valAx>
        <c:axId val="115345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4480"/>
        <c:crosses val="autoZero"/>
        <c:crossBetween val="midCat"/>
      </c:valAx>
      <c:valAx>
        <c:axId val="11534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2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SolverOLS!$B$2:$B$6</c:f>
              <c:numCache>
                <c:formatCode>General</c:formatCode>
                <c:ptCount val="5"/>
                <c:pt idx="0">
                  <c:v>1</c:v>
                </c:pt>
                <c:pt idx="1">
                  <c:v>2</c:v>
                </c:pt>
                <c:pt idx="2">
                  <c:v>3</c:v>
                </c:pt>
                <c:pt idx="3">
                  <c:v>4</c:v>
                </c:pt>
                <c:pt idx="4">
                  <c:v>5</c:v>
                </c:pt>
              </c:numCache>
            </c:numRef>
          </c:xVal>
          <c:yVal>
            <c:numRef>
              <c:f>SolverOLS!$C$2:$C$6</c:f>
              <c:numCache>
                <c:formatCode>General</c:formatCode>
                <c:ptCount val="5"/>
                <c:pt idx="0">
                  <c:v>29.256106234167866</c:v>
                </c:pt>
                <c:pt idx="1">
                  <c:v>32.478159422990274</c:v>
                </c:pt>
                <c:pt idx="2">
                  <c:v>59.116984945150399</c:v>
                </c:pt>
                <c:pt idx="3">
                  <c:v>49.446265017065684</c:v>
                </c:pt>
                <c:pt idx="4">
                  <c:v>67.619886229532341</c:v>
                </c:pt>
              </c:numCache>
            </c:numRef>
          </c:yVal>
          <c:smooth val="0"/>
          <c:extLst>
            <c:ext xmlns:c16="http://schemas.microsoft.com/office/drawing/2014/chart" uri="{C3380CC4-5D6E-409C-BE32-E72D297353CC}">
              <c16:uniqueId val="{00000001-F936-4428-9ACC-B442957DA42D}"/>
            </c:ext>
          </c:extLst>
        </c:ser>
        <c:dLbls>
          <c:showLegendKey val="0"/>
          <c:showVal val="0"/>
          <c:showCatName val="0"/>
          <c:showSerName val="0"/>
          <c:showPercent val="0"/>
          <c:showBubbleSize val="0"/>
        </c:dLbls>
        <c:axId val="1153452816"/>
        <c:axId val="1153454480"/>
      </c:scatterChart>
      <c:valAx>
        <c:axId val="115345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4480"/>
        <c:crosses val="autoZero"/>
        <c:crossBetween val="midCat"/>
      </c:valAx>
      <c:valAx>
        <c:axId val="11534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2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spPr>
            <a:ln w="19050" cap="rnd">
              <a:solidFill>
                <a:schemeClr val="accent2"/>
              </a:solidFill>
              <a:round/>
            </a:ln>
            <a:effectLst/>
          </c:spPr>
          <c:marker>
            <c:symbol val="none"/>
          </c:marker>
          <c:xVal>
            <c:numRef>
              <c:f>SolverOrtho!$B$2:$B$6</c:f>
              <c:numCache>
                <c:formatCode>General</c:formatCode>
                <c:ptCount val="5"/>
                <c:pt idx="0">
                  <c:v>1</c:v>
                </c:pt>
                <c:pt idx="1">
                  <c:v>2</c:v>
                </c:pt>
                <c:pt idx="2">
                  <c:v>3</c:v>
                </c:pt>
                <c:pt idx="3">
                  <c:v>4</c:v>
                </c:pt>
                <c:pt idx="4">
                  <c:v>5</c:v>
                </c:pt>
              </c:numCache>
            </c:numRef>
          </c:xVal>
          <c:yVal>
            <c:numRef>
              <c:f>SolverOrtho!$P$2:$P$6</c:f>
              <c:numCache>
                <c:formatCode>General</c:formatCode>
                <c:ptCount val="5"/>
                <c:pt idx="0">
                  <c:v>2.6711190391222828</c:v>
                </c:pt>
                <c:pt idx="1">
                  <c:v>3.5972525189977018</c:v>
                </c:pt>
                <c:pt idx="2">
                  <c:v>4.5233859988731213</c:v>
                </c:pt>
                <c:pt idx="3">
                  <c:v>5.4495194787485408</c:v>
                </c:pt>
                <c:pt idx="4">
                  <c:v>6.3756529586239594</c:v>
                </c:pt>
              </c:numCache>
            </c:numRef>
          </c:yVal>
          <c:smooth val="0"/>
          <c:extLst>
            <c:ext xmlns:c16="http://schemas.microsoft.com/office/drawing/2014/chart" uri="{C3380CC4-5D6E-409C-BE32-E72D297353CC}">
              <c16:uniqueId val="{00000003-330C-4075-9588-7F13EA3D809A}"/>
            </c:ext>
          </c:extLst>
        </c:ser>
        <c:ser>
          <c:idx val="0"/>
          <c:order val="1"/>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SolverOrtho!$B$2:$B$6</c:f>
              <c:numCache>
                <c:formatCode>General</c:formatCode>
                <c:ptCount val="5"/>
                <c:pt idx="0">
                  <c:v>1</c:v>
                </c:pt>
                <c:pt idx="1">
                  <c:v>2</c:v>
                </c:pt>
                <c:pt idx="2">
                  <c:v>3</c:v>
                </c:pt>
                <c:pt idx="3">
                  <c:v>4</c:v>
                </c:pt>
                <c:pt idx="4">
                  <c:v>5</c:v>
                </c:pt>
              </c:numCache>
            </c:numRef>
          </c:xVal>
          <c:yVal>
            <c:numRef>
              <c:f>SolverOrtho!$C$2:$C$6</c:f>
              <c:numCache>
                <c:formatCode>General</c:formatCode>
                <c:ptCount val="5"/>
                <c:pt idx="0">
                  <c:v>3.8003255384492616</c:v>
                </c:pt>
                <c:pt idx="1">
                  <c:v>2.2811293826353611</c:v>
                </c:pt>
                <c:pt idx="2">
                  <c:v>6.1648248697214969</c:v>
                </c:pt>
                <c:pt idx="3">
                  <c:v>5.1525218608636898</c:v>
                </c:pt>
                <c:pt idx="4">
                  <c:v>5.2181011904867631</c:v>
                </c:pt>
              </c:numCache>
            </c:numRef>
          </c:yVal>
          <c:smooth val="0"/>
          <c:extLst>
            <c:ext xmlns:c16="http://schemas.microsoft.com/office/drawing/2014/chart" uri="{C3380CC4-5D6E-409C-BE32-E72D297353CC}">
              <c16:uniqueId val="{00000001-330C-4075-9588-7F13EA3D809A}"/>
            </c:ext>
          </c:extLst>
        </c:ser>
        <c:dLbls>
          <c:showLegendKey val="0"/>
          <c:showVal val="0"/>
          <c:showCatName val="0"/>
          <c:showSerName val="0"/>
          <c:showPercent val="0"/>
          <c:showBubbleSize val="0"/>
        </c:dLbls>
        <c:axId val="1153452816"/>
        <c:axId val="1153454480"/>
      </c:scatterChart>
      <c:valAx>
        <c:axId val="115345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4480"/>
        <c:crosses val="autoZero"/>
        <c:crossBetween val="midCat"/>
      </c:valAx>
      <c:valAx>
        <c:axId val="11534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2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spPr>
            <a:ln w="19050" cap="rnd">
              <a:solidFill>
                <a:schemeClr val="accent2"/>
              </a:solidFill>
              <a:round/>
            </a:ln>
            <a:effectLst/>
          </c:spPr>
          <c:marker>
            <c:symbol val="none"/>
          </c:marker>
          <c:xVal>
            <c:numRef>
              <c:f>SolverOrtho!$B$2:$B$6</c:f>
              <c:numCache>
                <c:formatCode>General</c:formatCode>
                <c:ptCount val="5"/>
                <c:pt idx="0">
                  <c:v>1</c:v>
                </c:pt>
                <c:pt idx="1">
                  <c:v>2</c:v>
                </c:pt>
                <c:pt idx="2">
                  <c:v>3</c:v>
                </c:pt>
                <c:pt idx="3">
                  <c:v>4</c:v>
                </c:pt>
                <c:pt idx="4">
                  <c:v>5</c:v>
                </c:pt>
              </c:numCache>
            </c:numRef>
          </c:xVal>
          <c:yVal>
            <c:numRef>
              <c:f>SolverOrtho!$P$2:$P$6</c:f>
              <c:numCache>
                <c:formatCode>General</c:formatCode>
                <c:ptCount val="5"/>
                <c:pt idx="0">
                  <c:v>2.6711190391222828</c:v>
                </c:pt>
                <c:pt idx="1">
                  <c:v>3.5972525189977018</c:v>
                </c:pt>
                <c:pt idx="2">
                  <c:v>4.5233859988731213</c:v>
                </c:pt>
                <c:pt idx="3">
                  <c:v>5.4495194787485408</c:v>
                </c:pt>
                <c:pt idx="4">
                  <c:v>6.3756529586239594</c:v>
                </c:pt>
              </c:numCache>
            </c:numRef>
          </c:yVal>
          <c:smooth val="0"/>
          <c:extLst>
            <c:ext xmlns:c16="http://schemas.microsoft.com/office/drawing/2014/chart" uri="{C3380CC4-5D6E-409C-BE32-E72D297353CC}">
              <c16:uniqueId val="{00000000-293B-4AFD-83DC-38A5F7EE2CCE}"/>
            </c:ext>
          </c:extLst>
        </c:ser>
        <c:ser>
          <c:idx val="0"/>
          <c:order val="1"/>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SolverOrtho!$B$2:$B$6</c:f>
              <c:numCache>
                <c:formatCode>General</c:formatCode>
                <c:ptCount val="5"/>
                <c:pt idx="0">
                  <c:v>1</c:v>
                </c:pt>
                <c:pt idx="1">
                  <c:v>2</c:v>
                </c:pt>
                <c:pt idx="2">
                  <c:v>3</c:v>
                </c:pt>
                <c:pt idx="3">
                  <c:v>4</c:v>
                </c:pt>
                <c:pt idx="4">
                  <c:v>5</c:v>
                </c:pt>
              </c:numCache>
            </c:numRef>
          </c:xVal>
          <c:yVal>
            <c:numRef>
              <c:f>SolverOrtho!$C$2:$C$6</c:f>
              <c:numCache>
                <c:formatCode>General</c:formatCode>
                <c:ptCount val="5"/>
                <c:pt idx="0">
                  <c:v>3.8003255384492616</c:v>
                </c:pt>
                <c:pt idx="1">
                  <c:v>2.2811293826353611</c:v>
                </c:pt>
                <c:pt idx="2">
                  <c:v>6.1648248697214969</c:v>
                </c:pt>
                <c:pt idx="3">
                  <c:v>5.1525218608636898</c:v>
                </c:pt>
                <c:pt idx="4">
                  <c:v>5.2181011904867631</c:v>
                </c:pt>
              </c:numCache>
            </c:numRef>
          </c:yVal>
          <c:smooth val="0"/>
          <c:extLst>
            <c:ext xmlns:c16="http://schemas.microsoft.com/office/drawing/2014/chart" uri="{C3380CC4-5D6E-409C-BE32-E72D297353CC}">
              <c16:uniqueId val="{00000002-293B-4AFD-83DC-38A5F7EE2CCE}"/>
            </c:ext>
          </c:extLst>
        </c:ser>
        <c:dLbls>
          <c:showLegendKey val="0"/>
          <c:showVal val="0"/>
          <c:showCatName val="0"/>
          <c:showSerName val="0"/>
          <c:showPercent val="0"/>
          <c:showBubbleSize val="0"/>
        </c:dLbls>
        <c:axId val="1153452816"/>
        <c:axId val="1153454480"/>
      </c:scatterChart>
      <c:valAx>
        <c:axId val="1153452816"/>
        <c:scaling>
          <c:orientation val="minMax"/>
          <c:max val="8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4480"/>
        <c:crosses val="autoZero"/>
        <c:crossBetween val="midCat"/>
        <c:majorUnit val="10"/>
      </c:valAx>
      <c:valAx>
        <c:axId val="115345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452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 of LiveOLSOrtho!$E$1 And LiveOLSOrtho!$H$16</a:t>
            </a:r>
          </a:p>
        </c:rich>
      </c:tx>
      <c:overlay val="0"/>
    </c:title>
    <c:autoTitleDeleted val="0"/>
    <c:plotArea>
      <c:layout/>
      <c:scatterChart>
        <c:scatterStyle val="lineMarker"/>
        <c:varyColors val="0"/>
        <c:ser>
          <c:idx val="0"/>
          <c:order val="0"/>
          <c:tx>
            <c:strRef>
              <c:f>MCSim6!$AL$1</c:f>
              <c:strCache>
                <c:ptCount val="1"/>
                <c:pt idx="0">
                  <c:v>LiveOLSOrtho!$E$1</c:v>
                </c:pt>
              </c:strCache>
            </c:strRef>
          </c:tx>
          <c:spPr>
            <a:ln w="12700">
              <a:solidFill>
                <a:srgbClr val="FF00FF"/>
              </a:solidFill>
              <a:prstDash val="solid"/>
            </a:ln>
          </c:spPr>
          <c:marker>
            <c:symbol val="none"/>
          </c:marker>
          <c:xVal>
            <c:numRef>
              <c:f>MCSim6!$AK$2:$AK$79</c:f>
              <c:numCache>
                <c:formatCode>General</c:formatCode>
                <c:ptCount val="78"/>
                <c:pt idx="0">
                  <c:v>-3500</c:v>
                </c:pt>
                <c:pt idx="1">
                  <c:v>-3500</c:v>
                </c:pt>
                <c:pt idx="2">
                  <c:v>-3400</c:v>
                </c:pt>
                <c:pt idx="3">
                  <c:v>-3400</c:v>
                </c:pt>
                <c:pt idx="4">
                  <c:v>-3300</c:v>
                </c:pt>
                <c:pt idx="5">
                  <c:v>-3300</c:v>
                </c:pt>
                <c:pt idx="6">
                  <c:v>-3200</c:v>
                </c:pt>
                <c:pt idx="7">
                  <c:v>-3200</c:v>
                </c:pt>
                <c:pt idx="8">
                  <c:v>-3100</c:v>
                </c:pt>
                <c:pt idx="9">
                  <c:v>-3100</c:v>
                </c:pt>
                <c:pt idx="10">
                  <c:v>-3000</c:v>
                </c:pt>
                <c:pt idx="11">
                  <c:v>-3000</c:v>
                </c:pt>
                <c:pt idx="12">
                  <c:v>-2900</c:v>
                </c:pt>
                <c:pt idx="13">
                  <c:v>-2900</c:v>
                </c:pt>
                <c:pt idx="14">
                  <c:v>-2800</c:v>
                </c:pt>
                <c:pt idx="15">
                  <c:v>-2800</c:v>
                </c:pt>
                <c:pt idx="16">
                  <c:v>-2700</c:v>
                </c:pt>
                <c:pt idx="17">
                  <c:v>-2700</c:v>
                </c:pt>
                <c:pt idx="18">
                  <c:v>-2600</c:v>
                </c:pt>
                <c:pt idx="19">
                  <c:v>-2600</c:v>
                </c:pt>
                <c:pt idx="20">
                  <c:v>-2500</c:v>
                </c:pt>
                <c:pt idx="21">
                  <c:v>-2500</c:v>
                </c:pt>
                <c:pt idx="22">
                  <c:v>-2400</c:v>
                </c:pt>
                <c:pt idx="23">
                  <c:v>-2400</c:v>
                </c:pt>
                <c:pt idx="24">
                  <c:v>-2300</c:v>
                </c:pt>
                <c:pt idx="25">
                  <c:v>-2300</c:v>
                </c:pt>
                <c:pt idx="26">
                  <c:v>-2200</c:v>
                </c:pt>
                <c:pt idx="27">
                  <c:v>-2200</c:v>
                </c:pt>
                <c:pt idx="28">
                  <c:v>-2100</c:v>
                </c:pt>
                <c:pt idx="29">
                  <c:v>-2100</c:v>
                </c:pt>
                <c:pt idx="30">
                  <c:v>-2000</c:v>
                </c:pt>
                <c:pt idx="31">
                  <c:v>-2000</c:v>
                </c:pt>
                <c:pt idx="32">
                  <c:v>-1900</c:v>
                </c:pt>
                <c:pt idx="33">
                  <c:v>-1900</c:v>
                </c:pt>
                <c:pt idx="34">
                  <c:v>-1800</c:v>
                </c:pt>
                <c:pt idx="35">
                  <c:v>-1800</c:v>
                </c:pt>
                <c:pt idx="36">
                  <c:v>-1700</c:v>
                </c:pt>
                <c:pt idx="37">
                  <c:v>-1700</c:v>
                </c:pt>
                <c:pt idx="38">
                  <c:v>-1600</c:v>
                </c:pt>
                <c:pt idx="39">
                  <c:v>-1600</c:v>
                </c:pt>
                <c:pt idx="40">
                  <c:v>-1500</c:v>
                </c:pt>
                <c:pt idx="41">
                  <c:v>-1500</c:v>
                </c:pt>
                <c:pt idx="42">
                  <c:v>-1400</c:v>
                </c:pt>
                <c:pt idx="43">
                  <c:v>-1400</c:v>
                </c:pt>
                <c:pt idx="44">
                  <c:v>-1300</c:v>
                </c:pt>
                <c:pt idx="45">
                  <c:v>-1300</c:v>
                </c:pt>
                <c:pt idx="46">
                  <c:v>-1200</c:v>
                </c:pt>
                <c:pt idx="47">
                  <c:v>-1200</c:v>
                </c:pt>
                <c:pt idx="48">
                  <c:v>-1100</c:v>
                </c:pt>
                <c:pt idx="49">
                  <c:v>-1100</c:v>
                </c:pt>
                <c:pt idx="50">
                  <c:v>-1000</c:v>
                </c:pt>
                <c:pt idx="51">
                  <c:v>-1000</c:v>
                </c:pt>
                <c:pt idx="52">
                  <c:v>-900</c:v>
                </c:pt>
                <c:pt idx="53">
                  <c:v>-900</c:v>
                </c:pt>
                <c:pt idx="54">
                  <c:v>-800</c:v>
                </c:pt>
                <c:pt idx="55">
                  <c:v>-800</c:v>
                </c:pt>
                <c:pt idx="56">
                  <c:v>-700</c:v>
                </c:pt>
                <c:pt idx="57">
                  <c:v>-700</c:v>
                </c:pt>
                <c:pt idx="58">
                  <c:v>-600</c:v>
                </c:pt>
                <c:pt idx="59">
                  <c:v>-600</c:v>
                </c:pt>
                <c:pt idx="60">
                  <c:v>-500</c:v>
                </c:pt>
                <c:pt idx="61">
                  <c:v>-500</c:v>
                </c:pt>
                <c:pt idx="62">
                  <c:v>-400</c:v>
                </c:pt>
                <c:pt idx="63">
                  <c:v>-400</c:v>
                </c:pt>
                <c:pt idx="64">
                  <c:v>-300</c:v>
                </c:pt>
                <c:pt idx="65">
                  <c:v>-300</c:v>
                </c:pt>
                <c:pt idx="66">
                  <c:v>-200</c:v>
                </c:pt>
                <c:pt idx="67">
                  <c:v>-200</c:v>
                </c:pt>
                <c:pt idx="68">
                  <c:v>-100</c:v>
                </c:pt>
                <c:pt idx="69">
                  <c:v>-100</c:v>
                </c:pt>
                <c:pt idx="70">
                  <c:v>0</c:v>
                </c:pt>
                <c:pt idx="71">
                  <c:v>0</c:v>
                </c:pt>
                <c:pt idx="72">
                  <c:v>100</c:v>
                </c:pt>
                <c:pt idx="73">
                  <c:v>100</c:v>
                </c:pt>
                <c:pt idx="74">
                  <c:v>200</c:v>
                </c:pt>
                <c:pt idx="75">
                  <c:v>200</c:v>
                </c:pt>
                <c:pt idx="76">
                  <c:v>300</c:v>
                </c:pt>
                <c:pt idx="77">
                  <c:v>300</c:v>
                </c:pt>
              </c:numCache>
            </c:numRef>
          </c:xVal>
          <c:yVal>
            <c:numRef>
              <c:f>MCSim6!$AL$2:$AL$79</c:f>
              <c:numCache>
                <c:formatCode>General</c:formatCode>
                <c:ptCount val="7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22</c:v>
                </c:pt>
                <c:pt idx="70">
                  <c:v>22</c:v>
                </c:pt>
                <c:pt idx="71">
                  <c:v>978</c:v>
                </c:pt>
                <c:pt idx="72">
                  <c:v>978</c:v>
                </c:pt>
                <c:pt idx="73">
                  <c:v>0</c:v>
                </c:pt>
              </c:numCache>
            </c:numRef>
          </c:yVal>
          <c:smooth val="0"/>
          <c:extLst>
            <c:ext xmlns:c16="http://schemas.microsoft.com/office/drawing/2014/chart" uri="{C3380CC4-5D6E-409C-BE32-E72D297353CC}">
              <c16:uniqueId val="{00000000-DD83-40B6-A4BF-45B072B292AA}"/>
            </c:ext>
          </c:extLst>
        </c:ser>
        <c:ser>
          <c:idx val="1"/>
          <c:order val="1"/>
          <c:tx>
            <c:strRef>
              <c:f>MCSim6!$AM$1</c:f>
              <c:strCache>
                <c:ptCount val="1"/>
                <c:pt idx="0">
                  <c:v>LiveOLSOrtho!$H$16</c:v>
                </c:pt>
              </c:strCache>
            </c:strRef>
          </c:tx>
          <c:spPr>
            <a:ln w="12700">
              <a:solidFill>
                <a:srgbClr val="0000FF"/>
              </a:solidFill>
              <a:prstDash val="solid"/>
            </a:ln>
          </c:spPr>
          <c:marker>
            <c:symbol val="none"/>
          </c:marker>
          <c:xVal>
            <c:numRef>
              <c:f>MCSim6!$AK$2:$AK$79</c:f>
              <c:numCache>
                <c:formatCode>General</c:formatCode>
                <c:ptCount val="78"/>
                <c:pt idx="0">
                  <c:v>-3500</c:v>
                </c:pt>
                <c:pt idx="1">
                  <c:v>-3500</c:v>
                </c:pt>
                <c:pt idx="2">
                  <c:v>-3400</c:v>
                </c:pt>
                <c:pt idx="3">
                  <c:v>-3400</c:v>
                </c:pt>
                <c:pt idx="4">
                  <c:v>-3300</c:v>
                </c:pt>
                <c:pt idx="5">
                  <c:v>-3300</c:v>
                </c:pt>
                <c:pt idx="6">
                  <c:v>-3200</c:v>
                </c:pt>
                <c:pt idx="7">
                  <c:v>-3200</c:v>
                </c:pt>
                <c:pt idx="8">
                  <c:v>-3100</c:v>
                </c:pt>
                <c:pt idx="9">
                  <c:v>-3100</c:v>
                </c:pt>
                <c:pt idx="10">
                  <c:v>-3000</c:v>
                </c:pt>
                <c:pt idx="11">
                  <c:v>-3000</c:v>
                </c:pt>
                <c:pt idx="12">
                  <c:v>-2900</c:v>
                </c:pt>
                <c:pt idx="13">
                  <c:v>-2900</c:v>
                </c:pt>
                <c:pt idx="14">
                  <c:v>-2800</c:v>
                </c:pt>
                <c:pt idx="15">
                  <c:v>-2800</c:v>
                </c:pt>
                <c:pt idx="16">
                  <c:v>-2700</c:v>
                </c:pt>
                <c:pt idx="17">
                  <c:v>-2700</c:v>
                </c:pt>
                <c:pt idx="18">
                  <c:v>-2600</c:v>
                </c:pt>
                <c:pt idx="19">
                  <c:v>-2600</c:v>
                </c:pt>
                <c:pt idx="20">
                  <c:v>-2500</c:v>
                </c:pt>
                <c:pt idx="21">
                  <c:v>-2500</c:v>
                </c:pt>
                <c:pt idx="22">
                  <c:v>-2400</c:v>
                </c:pt>
                <c:pt idx="23">
                  <c:v>-2400</c:v>
                </c:pt>
                <c:pt idx="24">
                  <c:v>-2300</c:v>
                </c:pt>
                <c:pt idx="25">
                  <c:v>-2300</c:v>
                </c:pt>
                <c:pt idx="26">
                  <c:v>-2200</c:v>
                </c:pt>
                <c:pt idx="27">
                  <c:v>-2200</c:v>
                </c:pt>
                <c:pt idx="28">
                  <c:v>-2100</c:v>
                </c:pt>
                <c:pt idx="29">
                  <c:v>-2100</c:v>
                </c:pt>
                <c:pt idx="30">
                  <c:v>-2000</c:v>
                </c:pt>
                <c:pt idx="31">
                  <c:v>-2000</c:v>
                </c:pt>
                <c:pt idx="32">
                  <c:v>-1900</c:v>
                </c:pt>
                <c:pt idx="33">
                  <c:v>-1900</c:v>
                </c:pt>
                <c:pt idx="34">
                  <c:v>-1800</c:v>
                </c:pt>
                <c:pt idx="35">
                  <c:v>-1800</c:v>
                </c:pt>
                <c:pt idx="36">
                  <c:v>-1700</c:v>
                </c:pt>
                <c:pt idx="37">
                  <c:v>-1700</c:v>
                </c:pt>
                <c:pt idx="38">
                  <c:v>-1600</c:v>
                </c:pt>
                <c:pt idx="39">
                  <c:v>-1600</c:v>
                </c:pt>
                <c:pt idx="40">
                  <c:v>-1500</c:v>
                </c:pt>
                <c:pt idx="41">
                  <c:v>-1500</c:v>
                </c:pt>
                <c:pt idx="42">
                  <c:v>-1400</c:v>
                </c:pt>
                <c:pt idx="43">
                  <c:v>-1400</c:v>
                </c:pt>
                <c:pt idx="44">
                  <c:v>-1300</c:v>
                </c:pt>
                <c:pt idx="45">
                  <c:v>-1300</c:v>
                </c:pt>
                <c:pt idx="46">
                  <c:v>-1200</c:v>
                </c:pt>
                <c:pt idx="47">
                  <c:v>-1200</c:v>
                </c:pt>
                <c:pt idx="48">
                  <c:v>-1100</c:v>
                </c:pt>
                <c:pt idx="49">
                  <c:v>-1100</c:v>
                </c:pt>
                <c:pt idx="50">
                  <c:v>-1000</c:v>
                </c:pt>
                <c:pt idx="51">
                  <c:v>-1000</c:v>
                </c:pt>
                <c:pt idx="52">
                  <c:v>-900</c:v>
                </c:pt>
                <c:pt idx="53">
                  <c:v>-900</c:v>
                </c:pt>
                <c:pt idx="54">
                  <c:v>-800</c:v>
                </c:pt>
                <c:pt idx="55">
                  <c:v>-800</c:v>
                </c:pt>
                <c:pt idx="56">
                  <c:v>-700</c:v>
                </c:pt>
                <c:pt idx="57">
                  <c:v>-700</c:v>
                </c:pt>
                <c:pt idx="58">
                  <c:v>-600</c:v>
                </c:pt>
                <c:pt idx="59">
                  <c:v>-600</c:v>
                </c:pt>
                <c:pt idx="60">
                  <c:v>-500</c:v>
                </c:pt>
                <c:pt idx="61">
                  <c:v>-500</c:v>
                </c:pt>
                <c:pt idx="62">
                  <c:v>-400</c:v>
                </c:pt>
                <c:pt idx="63">
                  <c:v>-400</c:v>
                </c:pt>
                <c:pt idx="64">
                  <c:v>-300</c:v>
                </c:pt>
                <c:pt idx="65">
                  <c:v>-300</c:v>
                </c:pt>
                <c:pt idx="66">
                  <c:v>-200</c:v>
                </c:pt>
                <c:pt idx="67">
                  <c:v>-200</c:v>
                </c:pt>
                <c:pt idx="68">
                  <c:v>-100</c:v>
                </c:pt>
                <c:pt idx="69">
                  <c:v>-100</c:v>
                </c:pt>
                <c:pt idx="70">
                  <c:v>0</c:v>
                </c:pt>
                <c:pt idx="71">
                  <c:v>0</c:v>
                </c:pt>
                <c:pt idx="72">
                  <c:v>100</c:v>
                </c:pt>
                <c:pt idx="73">
                  <c:v>100</c:v>
                </c:pt>
                <c:pt idx="74">
                  <c:v>200</c:v>
                </c:pt>
                <c:pt idx="75">
                  <c:v>200</c:v>
                </c:pt>
                <c:pt idx="76">
                  <c:v>300</c:v>
                </c:pt>
                <c:pt idx="77">
                  <c:v>300</c:v>
                </c:pt>
              </c:numCache>
            </c:numRef>
          </c:xVal>
          <c:yVal>
            <c:numRef>
              <c:f>MCSim6!$AM$2:$AM$79</c:f>
              <c:numCache>
                <c:formatCode>General</c:formatCode>
                <c:ptCount val="78"/>
                <c:pt idx="0">
                  <c:v>0</c:v>
                </c:pt>
                <c:pt idx="1">
                  <c:v>1</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1</c:v>
                </c:pt>
                <c:pt idx="65">
                  <c:v>1</c:v>
                </c:pt>
                <c:pt idx="66">
                  <c:v>1</c:v>
                </c:pt>
                <c:pt idx="67">
                  <c:v>3</c:v>
                </c:pt>
                <c:pt idx="68">
                  <c:v>3</c:v>
                </c:pt>
                <c:pt idx="69">
                  <c:v>16</c:v>
                </c:pt>
                <c:pt idx="70">
                  <c:v>16</c:v>
                </c:pt>
                <c:pt idx="71">
                  <c:v>971</c:v>
                </c:pt>
                <c:pt idx="72">
                  <c:v>971</c:v>
                </c:pt>
                <c:pt idx="73">
                  <c:v>5</c:v>
                </c:pt>
                <c:pt idx="74">
                  <c:v>5</c:v>
                </c:pt>
                <c:pt idx="75">
                  <c:v>2</c:v>
                </c:pt>
                <c:pt idx="76">
                  <c:v>2</c:v>
                </c:pt>
                <c:pt idx="77">
                  <c:v>0</c:v>
                </c:pt>
              </c:numCache>
            </c:numRef>
          </c:yVal>
          <c:smooth val="0"/>
          <c:extLst>
            <c:ext xmlns:c16="http://schemas.microsoft.com/office/drawing/2014/chart" uri="{C3380CC4-5D6E-409C-BE32-E72D297353CC}">
              <c16:uniqueId val="{00000001-DD83-40B6-A4BF-45B072B292AA}"/>
            </c:ext>
          </c:extLst>
        </c:ser>
        <c:dLbls>
          <c:showLegendKey val="0"/>
          <c:showVal val="0"/>
          <c:showCatName val="0"/>
          <c:showSerName val="0"/>
          <c:showPercent val="0"/>
          <c:showBubbleSize val="0"/>
        </c:dLbls>
        <c:axId val="1397801248"/>
        <c:axId val="1397803744"/>
      </c:scatterChart>
      <c:valAx>
        <c:axId val="1397801248"/>
        <c:scaling>
          <c:orientation val="minMax"/>
          <c:max val="300"/>
          <c:min val="-3500"/>
        </c:scaling>
        <c:delete val="0"/>
        <c:axPos val="b"/>
        <c:numFmt formatCode="General" sourceLinked="1"/>
        <c:majorTickMark val="out"/>
        <c:minorTickMark val="none"/>
        <c:tickLblPos val="nextTo"/>
        <c:crossAx val="1397803744"/>
        <c:crosses val="autoZero"/>
        <c:crossBetween val="midCat"/>
      </c:valAx>
      <c:valAx>
        <c:axId val="1397803744"/>
        <c:scaling>
          <c:orientation val="minMax"/>
        </c:scaling>
        <c:delete val="0"/>
        <c:axPos val="l"/>
        <c:numFmt formatCode="General" sourceLinked="1"/>
        <c:majorTickMark val="none"/>
        <c:minorTickMark val="none"/>
        <c:tickLblPos val="none"/>
        <c:spPr>
          <a:ln w="25400">
            <a:noFill/>
          </a:ln>
        </c:spPr>
        <c:crossAx val="139780124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CEM!$D$5</c:f>
              <c:strCache>
                <c:ptCount val="1"/>
                <c:pt idx="0">
                  <c:v>Y</c:v>
                </c:pt>
              </c:strCache>
            </c:strRef>
          </c:tx>
          <c:spPr>
            <a:ln w="28575" cap="rnd">
              <a:solidFill>
                <a:srgbClr val="00B050"/>
              </a:solidFill>
              <a:round/>
            </a:ln>
            <a:effectLst/>
          </c:spPr>
          <c:marker>
            <c:symbol val="none"/>
          </c:marker>
          <c:xVal>
            <c:numRef>
              <c:f>CEM!$C$6:$C$10</c:f>
              <c:numCache>
                <c:formatCode>General</c:formatCode>
                <c:ptCount val="5"/>
                <c:pt idx="0">
                  <c:v>1</c:v>
                </c:pt>
                <c:pt idx="1">
                  <c:v>2</c:v>
                </c:pt>
                <c:pt idx="2">
                  <c:v>3</c:v>
                </c:pt>
                <c:pt idx="3">
                  <c:v>4</c:v>
                </c:pt>
                <c:pt idx="4">
                  <c:v>5</c:v>
                </c:pt>
              </c:numCache>
            </c:numRef>
          </c:xVal>
          <c:yVal>
            <c:numRef>
              <c:f>CEM!$K$22:$K$26</c:f>
              <c:numCache>
                <c:formatCode>General</c:formatCode>
                <c:ptCount val="5"/>
                <c:pt idx="0">
                  <c:v>0.93185419461524321</c:v>
                </c:pt>
                <c:pt idx="1">
                  <c:v>2.0707313067378954</c:v>
                </c:pt>
                <c:pt idx="2">
                  <c:v>3.2096084188605474</c:v>
                </c:pt>
                <c:pt idx="3">
                  <c:v>4.3484855309831998</c:v>
                </c:pt>
                <c:pt idx="4">
                  <c:v>5.4873626431058522</c:v>
                </c:pt>
              </c:numCache>
            </c:numRef>
          </c:yVal>
          <c:smooth val="0"/>
          <c:extLst>
            <c:ext xmlns:c16="http://schemas.microsoft.com/office/drawing/2014/chart" uri="{C3380CC4-5D6E-409C-BE32-E72D297353CC}">
              <c16:uniqueId val="{00000003-4A13-4022-9404-60C9AEF33130}"/>
            </c:ext>
          </c:extLst>
        </c:ser>
        <c:ser>
          <c:idx val="0"/>
          <c:order val="1"/>
          <c:tx>
            <c:strRef>
              <c:f>CEM!$D$5</c:f>
              <c:strCache>
                <c:ptCount val="1"/>
                <c:pt idx="0">
                  <c:v>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8575" cap="rnd">
                <a:solidFill>
                  <a:srgbClr val="FFC000"/>
                </a:solidFill>
                <a:prstDash val="solid"/>
              </a:ln>
              <a:effectLst/>
            </c:spPr>
            <c:trendlineType val="linear"/>
            <c:dispRSqr val="0"/>
            <c:dispEq val="0"/>
          </c:trendline>
          <c:xVal>
            <c:numRef>
              <c:f>CEM!$C$6:$C$10</c:f>
              <c:numCache>
                <c:formatCode>General</c:formatCode>
                <c:ptCount val="5"/>
                <c:pt idx="0">
                  <c:v>1</c:v>
                </c:pt>
                <c:pt idx="1">
                  <c:v>2</c:v>
                </c:pt>
                <c:pt idx="2">
                  <c:v>3</c:v>
                </c:pt>
                <c:pt idx="3">
                  <c:v>4</c:v>
                </c:pt>
                <c:pt idx="4">
                  <c:v>5</c:v>
                </c:pt>
              </c:numCache>
            </c:numRef>
          </c:xVal>
          <c:yVal>
            <c:numRef>
              <c:f>CEM!$D$6:$D$10</c:f>
              <c:numCache>
                <c:formatCode>General</c:formatCode>
                <c:ptCount val="5"/>
                <c:pt idx="0">
                  <c:v>1.7429093105972862</c:v>
                </c:pt>
                <c:pt idx="1">
                  <c:v>1.5620285289864548</c:v>
                </c:pt>
                <c:pt idx="2">
                  <c:v>2.6784423772980857</c:v>
                </c:pt>
                <c:pt idx="3">
                  <c:v>4.3202041477681163</c:v>
                </c:pt>
                <c:pt idx="4">
                  <c:v>5.744457729652793</c:v>
                </c:pt>
              </c:numCache>
            </c:numRef>
          </c:yVal>
          <c:smooth val="0"/>
          <c:extLst>
            <c:ext xmlns:c16="http://schemas.microsoft.com/office/drawing/2014/chart" uri="{C3380CC4-5D6E-409C-BE32-E72D297353CC}">
              <c16:uniqueId val="{00000000-4A13-4022-9404-60C9AEF33130}"/>
            </c:ext>
          </c:extLst>
        </c:ser>
        <c:dLbls>
          <c:showLegendKey val="0"/>
          <c:showVal val="0"/>
          <c:showCatName val="0"/>
          <c:showSerName val="0"/>
          <c:showPercent val="0"/>
          <c:showBubbleSize val="0"/>
        </c:dLbls>
        <c:axId val="1397793344"/>
        <c:axId val="1397809568"/>
      </c:scatterChart>
      <c:valAx>
        <c:axId val="1397793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809568"/>
        <c:crosses val="autoZero"/>
        <c:crossBetween val="midCat"/>
      </c:valAx>
      <c:valAx>
        <c:axId val="139780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793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 on 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EIV!$D$12</c:f>
              <c:strCache>
                <c:ptCount val="1"/>
                <c:pt idx="0">
                  <c:v>Y</c:v>
                </c:pt>
              </c:strCache>
            </c:strRef>
          </c:tx>
          <c:spPr>
            <a:ln w="28575" cap="rnd">
              <a:solidFill>
                <a:srgbClr val="00B050"/>
              </a:solidFill>
              <a:round/>
            </a:ln>
            <a:effectLst/>
          </c:spPr>
          <c:marker>
            <c:symbol val="none"/>
          </c:marker>
          <c:xVal>
            <c:numRef>
              <c:f>EIV!$C$13:$C$113</c:f>
              <c:numCache>
                <c:formatCode>General</c:formatCode>
                <c:ptCount val="101"/>
                <c:pt idx="0">
                  <c:v>1.4855670104096477</c:v>
                </c:pt>
                <c:pt idx="1">
                  <c:v>1.9339598576535042</c:v>
                </c:pt>
                <c:pt idx="2">
                  <c:v>4.4278903285474991</c:v>
                </c:pt>
                <c:pt idx="3">
                  <c:v>4.7490138277999732</c:v>
                </c:pt>
                <c:pt idx="4">
                  <c:v>4.4982152870086489</c:v>
                </c:pt>
                <c:pt idx="5">
                  <c:v>1.112906346647035</c:v>
                </c:pt>
                <c:pt idx="6">
                  <c:v>1.5548376050432338</c:v>
                </c:pt>
                <c:pt idx="7">
                  <c:v>3.1567304094108133</c:v>
                </c:pt>
                <c:pt idx="8">
                  <c:v>4.0617200045941733</c:v>
                </c:pt>
                <c:pt idx="9">
                  <c:v>3.7878149915919996</c:v>
                </c:pt>
                <c:pt idx="10">
                  <c:v>0.23111234033898453</c:v>
                </c:pt>
                <c:pt idx="11">
                  <c:v>2.7678521901535915</c:v>
                </c:pt>
                <c:pt idx="12">
                  <c:v>4.6665874851766258</c:v>
                </c:pt>
                <c:pt idx="13">
                  <c:v>4.2982254142546301</c:v>
                </c:pt>
                <c:pt idx="14">
                  <c:v>3.8460963704090538</c:v>
                </c:pt>
                <c:pt idx="15">
                  <c:v>0.91009509943400657</c:v>
                </c:pt>
                <c:pt idx="16">
                  <c:v>1.1082511406079103</c:v>
                </c:pt>
                <c:pt idx="17">
                  <c:v>1.4810154721918916</c:v>
                </c:pt>
                <c:pt idx="18">
                  <c:v>4.1344292588173008</c:v>
                </c:pt>
                <c:pt idx="19">
                  <c:v>3.3863842152400383</c:v>
                </c:pt>
                <c:pt idx="20">
                  <c:v>1.3108157853958167</c:v>
                </c:pt>
                <c:pt idx="21">
                  <c:v>0.67094787580781157</c:v>
                </c:pt>
                <c:pt idx="22">
                  <c:v>2.1194583761080765</c:v>
                </c:pt>
                <c:pt idx="23">
                  <c:v>3.5373898460968722</c:v>
                </c:pt>
                <c:pt idx="24">
                  <c:v>3.1632222002855364</c:v>
                </c:pt>
                <c:pt idx="25">
                  <c:v>1.6821169642184737</c:v>
                </c:pt>
                <c:pt idx="26">
                  <c:v>2.4809744858857852</c:v>
                </c:pt>
                <c:pt idx="27">
                  <c:v>5.0467510979810113</c:v>
                </c:pt>
                <c:pt idx="28">
                  <c:v>3.8477350234666332</c:v>
                </c:pt>
                <c:pt idx="29">
                  <c:v>4.0704090061570808</c:v>
                </c:pt>
                <c:pt idx="30">
                  <c:v>1.7124990008905498</c:v>
                </c:pt>
                <c:pt idx="31">
                  <c:v>2.3627988612657504</c:v>
                </c:pt>
                <c:pt idx="32">
                  <c:v>3.1597618859985559</c:v>
                </c:pt>
                <c:pt idx="33">
                  <c:v>6.1953743906150258</c:v>
                </c:pt>
                <c:pt idx="34">
                  <c:v>3.9268581087164325</c:v>
                </c:pt>
                <c:pt idx="35">
                  <c:v>1.1216928275749536</c:v>
                </c:pt>
                <c:pt idx="36">
                  <c:v>2.3284462183816639</c:v>
                </c:pt>
                <c:pt idx="37">
                  <c:v>3.9875472898729183</c:v>
                </c:pt>
                <c:pt idx="38">
                  <c:v>5.0411384729083908</c:v>
                </c:pt>
                <c:pt idx="39">
                  <c:v>5.6346750626380837</c:v>
                </c:pt>
                <c:pt idx="40">
                  <c:v>2.4073207749613665</c:v>
                </c:pt>
                <c:pt idx="41">
                  <c:v>1.8477342014998641</c:v>
                </c:pt>
                <c:pt idx="42">
                  <c:v>3.4203876224119503</c:v>
                </c:pt>
                <c:pt idx="43">
                  <c:v>4.2009618751024007</c:v>
                </c:pt>
                <c:pt idx="44">
                  <c:v>6.0253942498090503</c:v>
                </c:pt>
                <c:pt idx="45">
                  <c:v>-0.64128929572455706</c:v>
                </c:pt>
                <c:pt idx="46">
                  <c:v>2.7420173004955757</c:v>
                </c:pt>
                <c:pt idx="47">
                  <c:v>4.1172123932609592</c:v>
                </c:pt>
                <c:pt idx="48">
                  <c:v>4.6216505766268883</c:v>
                </c:pt>
                <c:pt idx="49">
                  <c:v>6.3620923907093019</c:v>
                </c:pt>
                <c:pt idx="50">
                  <c:v>2.3875671996697232</c:v>
                </c:pt>
                <c:pt idx="51">
                  <c:v>1.960078130485372</c:v>
                </c:pt>
                <c:pt idx="52">
                  <c:v>3.3075757893915037</c:v>
                </c:pt>
                <c:pt idx="53">
                  <c:v>3.3467499169591148</c:v>
                </c:pt>
                <c:pt idx="54">
                  <c:v>4.6857045418921359</c:v>
                </c:pt>
                <c:pt idx="55">
                  <c:v>1.9129125086864196</c:v>
                </c:pt>
                <c:pt idx="56">
                  <c:v>3.8532587431842686</c:v>
                </c:pt>
                <c:pt idx="57">
                  <c:v>3.0929142452631542</c:v>
                </c:pt>
                <c:pt idx="58">
                  <c:v>5.2109772075250271</c:v>
                </c:pt>
                <c:pt idx="59">
                  <c:v>4.703187629808971</c:v>
                </c:pt>
                <c:pt idx="60">
                  <c:v>0.70642718464033827</c:v>
                </c:pt>
                <c:pt idx="61">
                  <c:v>1.7448131556180466</c:v>
                </c:pt>
                <c:pt idx="62">
                  <c:v>2.2806742025878108</c:v>
                </c:pt>
                <c:pt idx="63">
                  <c:v>5.0139660233566001</c:v>
                </c:pt>
                <c:pt idx="64">
                  <c:v>6.1140140803582348</c:v>
                </c:pt>
                <c:pt idx="65">
                  <c:v>1.0963534557020336</c:v>
                </c:pt>
                <c:pt idx="66">
                  <c:v>0.46850282584803282</c:v>
                </c:pt>
                <c:pt idx="67">
                  <c:v>1.8026810424833004</c:v>
                </c:pt>
                <c:pt idx="68">
                  <c:v>1.9459665454479684</c:v>
                </c:pt>
                <c:pt idx="69">
                  <c:v>2.5390231911117422</c:v>
                </c:pt>
                <c:pt idx="70">
                  <c:v>0.80430861545340182</c:v>
                </c:pt>
                <c:pt idx="71">
                  <c:v>0.8592954972138942</c:v>
                </c:pt>
                <c:pt idx="72">
                  <c:v>3.3037846040526113</c:v>
                </c:pt>
                <c:pt idx="73">
                  <c:v>4.0967277537543314</c:v>
                </c:pt>
                <c:pt idx="74">
                  <c:v>5.6085320936325465</c:v>
                </c:pt>
                <c:pt idx="75">
                  <c:v>2.2252842316039061</c:v>
                </c:pt>
                <c:pt idx="76">
                  <c:v>2.6823700928360004</c:v>
                </c:pt>
                <c:pt idx="77">
                  <c:v>4.1610163081570617</c:v>
                </c:pt>
                <c:pt idx="78">
                  <c:v>2.7496922365303753</c:v>
                </c:pt>
                <c:pt idx="79">
                  <c:v>5.3954999322663282</c:v>
                </c:pt>
                <c:pt idx="80">
                  <c:v>0.43494208405636026</c:v>
                </c:pt>
                <c:pt idx="81">
                  <c:v>2.0890512828410883</c:v>
                </c:pt>
                <c:pt idx="82">
                  <c:v>3.6689992098665609</c:v>
                </c:pt>
                <c:pt idx="83">
                  <c:v>5.0094358948024027</c:v>
                </c:pt>
                <c:pt idx="84">
                  <c:v>5.5826872924956765</c:v>
                </c:pt>
                <c:pt idx="85">
                  <c:v>1.6564093646343707</c:v>
                </c:pt>
                <c:pt idx="86">
                  <c:v>3.049367287999186</c:v>
                </c:pt>
                <c:pt idx="87">
                  <c:v>3.7155303064558338</c:v>
                </c:pt>
                <c:pt idx="88">
                  <c:v>4.135292645974717</c:v>
                </c:pt>
                <c:pt idx="89">
                  <c:v>4.8388640340155904</c:v>
                </c:pt>
                <c:pt idx="90">
                  <c:v>1.5993928125574621</c:v>
                </c:pt>
                <c:pt idx="91">
                  <c:v>3.5617088306272477</c:v>
                </c:pt>
                <c:pt idx="92">
                  <c:v>3.3162610953129525</c:v>
                </c:pt>
                <c:pt idx="93">
                  <c:v>3.3133024554659607</c:v>
                </c:pt>
                <c:pt idx="94">
                  <c:v>4.439142525815388</c:v>
                </c:pt>
                <c:pt idx="95">
                  <c:v>-1.7022197072316971</c:v>
                </c:pt>
                <c:pt idx="96">
                  <c:v>0.79260872866037668</c:v>
                </c:pt>
                <c:pt idx="97">
                  <c:v>2.3736266345240904</c:v>
                </c:pt>
                <c:pt idx="98">
                  <c:v>2.814139762671152</c:v>
                </c:pt>
                <c:pt idx="99">
                  <c:v>4.9479988241529043</c:v>
                </c:pt>
              </c:numCache>
            </c:numRef>
          </c:xVal>
          <c:yVal>
            <c:numRef>
              <c:f>EIV!$K$13:$K$112</c:f>
              <c:numCache>
                <c:formatCode>General</c:formatCode>
                <c:ptCount val="100"/>
                <c:pt idx="0">
                  <c:v>23.027207576057684</c:v>
                </c:pt>
                <c:pt idx="1">
                  <c:v>27.857470999841809</c:v>
                </c:pt>
                <c:pt idx="2">
                  <c:v>54.723067115090792</c:v>
                </c:pt>
                <c:pt idx="3">
                  <c:v>58.182335260180601</c:v>
                </c:pt>
                <c:pt idx="4">
                  <c:v>55.480635119848216</c:v>
                </c:pt>
                <c:pt idx="5">
                  <c:v>19.012760903413255</c:v>
                </c:pt>
                <c:pt idx="6">
                  <c:v>23.773417560581411</c:v>
                </c:pt>
                <c:pt idx="7">
                  <c:v>41.029634445664009</c:v>
                </c:pt>
                <c:pt idx="8">
                  <c:v>50.778536925685174</c:v>
                </c:pt>
                <c:pt idx="9">
                  <c:v>47.827924813944712</c:v>
                </c:pt>
                <c:pt idx="10">
                  <c:v>9.513730394424238</c:v>
                </c:pt>
                <c:pt idx="11">
                  <c:v>36.840485911448184</c:v>
                </c:pt>
                <c:pt idx="12">
                  <c:v>57.294406404095781</c:v>
                </c:pt>
                <c:pt idx="13">
                  <c:v>53.32626585765162</c:v>
                </c:pt>
                <c:pt idx="14">
                  <c:v>48.455754660290637</c:v>
                </c:pt>
                <c:pt idx="15">
                  <c:v>16.827998690174017</c:v>
                </c:pt>
                <c:pt idx="16">
                  <c:v>18.962613200123208</c:v>
                </c:pt>
                <c:pt idx="17">
                  <c:v>22.978176623154845</c:v>
                </c:pt>
                <c:pt idx="18">
                  <c:v>51.561789498520248</c:v>
                </c:pt>
                <c:pt idx="19">
                  <c:v>43.50355521680968</c:v>
                </c:pt>
                <c:pt idx="20">
                  <c:v>21.144718915424075</c:v>
                </c:pt>
                <c:pt idx="21">
                  <c:v>14.251811103147428</c:v>
                </c:pt>
                <c:pt idx="22">
                  <c:v>29.855733716039815</c:v>
                </c:pt>
                <c:pt idx="23">
                  <c:v>45.130247034033367</c:v>
                </c:pt>
                <c:pt idx="24">
                  <c:v>41.099566560348201</c:v>
                </c:pt>
                <c:pt idx="25">
                  <c:v>25.144520683670464</c:v>
                </c:pt>
                <c:pt idx="26">
                  <c:v>33.750126886897689</c:v>
                </c:pt>
                <c:pt idx="27">
                  <c:v>61.389677783355751</c:v>
                </c:pt>
                <c:pt idx="28">
                  <c:v>48.473406873025411</c:v>
                </c:pt>
                <c:pt idx="29">
                  <c:v>50.87213825473512</c:v>
                </c:pt>
                <c:pt idx="30">
                  <c:v>25.471807885906735</c:v>
                </c:pt>
                <c:pt idx="31">
                  <c:v>32.477092759137484</c:v>
                </c:pt>
                <c:pt idx="32">
                  <c:v>41.062290699152072</c:v>
                </c:pt>
                <c:pt idx="33">
                  <c:v>73.76309790417055</c:v>
                </c:pt>
                <c:pt idx="34">
                  <c:v>49.325751746518023</c:v>
                </c:pt>
                <c:pt idx="35">
                  <c:v>19.107412318373985</c:v>
                </c:pt>
                <c:pt idx="36">
                  <c:v>32.107032631164302</c:v>
                </c:pt>
                <c:pt idx="37">
                  <c:v>49.979519383003442</c:v>
                </c:pt>
                <c:pt idx="38">
                  <c:v>61.329216387135155</c:v>
                </c:pt>
                <c:pt idx="39">
                  <c:v>67.723025070014813</c:v>
                </c:pt>
                <c:pt idx="40">
                  <c:v>32.956700256453004</c:v>
                </c:pt>
                <c:pt idx="41">
                  <c:v>26.928614449897321</c:v>
                </c:pt>
                <c:pt idx="42">
                  <c:v>43.869853240866256</c:v>
                </c:pt>
                <c:pt idx="43">
                  <c:v>52.278504907577179</c:v>
                </c:pt>
                <c:pt idx="44">
                  <c:v>71.932005231859804</c:v>
                </c:pt>
                <c:pt idx="45">
                  <c:v>0.11587817749217866</c:v>
                </c:pt>
                <c:pt idx="46">
                  <c:v>36.562182358348132</c:v>
                </c:pt>
                <c:pt idx="47">
                  <c:v>51.376322677449885</c:v>
                </c:pt>
                <c:pt idx="48">
                  <c:v>56.810328419623197</c:v>
                </c:pt>
                <c:pt idx="49">
                  <c:v>75.559049518679387</c:v>
                </c:pt>
                <c:pt idx="50">
                  <c:v>32.743907004270952</c:v>
                </c:pt>
                <c:pt idx="51">
                  <c:v>28.138827267515669</c:v>
                </c:pt>
                <c:pt idx="52">
                  <c:v>42.654599977666102</c:v>
                </c:pt>
                <c:pt idx="53">
                  <c:v>43.076599027632163</c:v>
                </c:pt>
                <c:pt idx="54">
                  <c:v>57.500342828797748</c:v>
                </c:pt>
                <c:pt idx="55">
                  <c:v>27.630740710747702</c:v>
                </c:pt>
                <c:pt idx="56">
                  <c:v>48.532910545930385</c:v>
                </c:pt>
                <c:pt idx="57">
                  <c:v>40.342181723294857</c:v>
                </c:pt>
                <c:pt idx="58">
                  <c:v>63.158785776573623</c:v>
                </c:pt>
                <c:pt idx="59">
                  <c:v>57.688677501437084</c:v>
                </c:pt>
                <c:pt idx="60">
                  <c:v>14.634008118127227</c:v>
                </c:pt>
                <c:pt idx="61">
                  <c:v>25.819908620809496</c:v>
                </c:pt>
                <c:pt idx="62">
                  <c:v>31.592413760707629</c:v>
                </c:pt>
                <c:pt idx="63">
                  <c:v>61.03650411482441</c:v>
                </c:pt>
                <c:pt idx="64">
                  <c:v>72.886652766393013</c:v>
                </c:pt>
                <c:pt idx="65">
                  <c:v>18.834446676991071</c:v>
                </c:pt>
                <c:pt idx="66">
                  <c:v>12.070993710190525</c:v>
                </c:pt>
                <c:pt idx="67">
                  <c:v>26.44328416985098</c:v>
                </c:pt>
                <c:pt idx="68">
                  <c:v>27.986811744795432</c:v>
                </c:pt>
                <c:pt idx="69">
                  <c:v>34.375450282162461</c:v>
                </c:pt>
                <c:pt idx="70">
                  <c:v>15.688425239252421</c:v>
                </c:pt>
                <c:pt idx="71">
                  <c:v>16.280765472572877</c:v>
                </c:pt>
                <c:pt idx="72">
                  <c:v>42.613759843868692</c:v>
                </c:pt>
                <c:pt idx="73">
                  <c:v>51.155654115124548</c:v>
                </c:pt>
                <c:pt idx="74">
                  <c:v>67.441402765482621</c:v>
                </c:pt>
                <c:pt idx="75">
                  <c:v>30.995731292348548</c:v>
                </c:pt>
                <c:pt idx="76">
                  <c:v>35.919639268600285</c:v>
                </c:pt>
                <c:pt idx="77">
                  <c:v>51.848195610396402</c:v>
                </c:pt>
                <c:pt idx="78">
                  <c:v>36.644859776234362</c:v>
                </c:pt>
                <c:pt idx="79">
                  <c:v>65.146536860591624</c:v>
                </c:pt>
                <c:pt idx="80">
                  <c:v>11.709464251039234</c:v>
                </c:pt>
                <c:pt idx="81">
                  <c:v>29.52817659434637</c:v>
                </c:pt>
                <c:pt idx="82">
                  <c:v>46.547994663041599</c:v>
                </c:pt>
                <c:pt idx="83">
                  <c:v>60.987703795205398</c:v>
                </c:pt>
                <c:pt idx="84">
                  <c:v>67.162992442049188</c:v>
                </c:pt>
                <c:pt idx="85">
                  <c:v>24.867588349116854</c:v>
                </c:pt>
                <c:pt idx="86">
                  <c:v>39.873076838633658</c:v>
                </c:pt>
                <c:pt idx="87">
                  <c:v>47.049245865653887</c:v>
                </c:pt>
                <c:pt idx="88">
                  <c:v>51.571090243241457</c:v>
                </c:pt>
                <c:pt idx="89">
                  <c:v>59.150236883434481</c:v>
                </c:pt>
                <c:pt idx="90">
                  <c:v>24.253383711955021</c:v>
                </c:pt>
                <c:pt idx="91">
                  <c:v>45.392220663190663</c:v>
                </c:pt>
                <c:pt idx="92">
                  <c:v>42.748161495818358</c:v>
                </c:pt>
                <c:pt idx="93">
                  <c:v>42.716289868237951</c:v>
                </c:pt>
                <c:pt idx="94">
                  <c:v>54.844280192494608</c:v>
                </c:pt>
                <c:pt idx="95">
                  <c:v>-11.312879871130754</c:v>
                </c:pt>
                <c:pt idx="96">
                  <c:v>15.562389474886114</c:v>
                </c:pt>
                <c:pt idx="97">
                  <c:v>32.593733774827783</c:v>
                </c:pt>
                <c:pt idx="98">
                  <c:v>37.339113777351081</c:v>
                </c:pt>
                <c:pt idx="99">
                  <c:v>60.325879600089898</c:v>
                </c:pt>
              </c:numCache>
            </c:numRef>
          </c:yVal>
          <c:smooth val="0"/>
          <c:extLst>
            <c:ext xmlns:c16="http://schemas.microsoft.com/office/drawing/2014/chart" uri="{C3380CC4-5D6E-409C-BE32-E72D297353CC}">
              <c16:uniqueId val="{00000000-7188-492E-A60E-E8173D56D882}"/>
            </c:ext>
          </c:extLst>
        </c:ser>
        <c:ser>
          <c:idx val="0"/>
          <c:order val="1"/>
          <c:tx>
            <c:strRef>
              <c:f>EIV!$D$12</c:f>
              <c:strCache>
                <c:ptCount val="1"/>
                <c:pt idx="0">
                  <c:v>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8575" cap="rnd">
                <a:solidFill>
                  <a:srgbClr val="FFC000"/>
                </a:solidFill>
                <a:prstDash val="solid"/>
              </a:ln>
              <a:effectLst/>
            </c:spPr>
            <c:trendlineType val="linear"/>
            <c:dispRSqr val="0"/>
            <c:dispEq val="0"/>
          </c:trendline>
          <c:xVal>
            <c:numRef>
              <c:f>EIV!$C$13:$C$113</c:f>
              <c:numCache>
                <c:formatCode>General</c:formatCode>
                <c:ptCount val="101"/>
                <c:pt idx="0">
                  <c:v>1.4855670104096477</c:v>
                </c:pt>
                <c:pt idx="1">
                  <c:v>1.9339598576535042</c:v>
                </c:pt>
                <c:pt idx="2">
                  <c:v>4.4278903285474991</c:v>
                </c:pt>
                <c:pt idx="3">
                  <c:v>4.7490138277999732</c:v>
                </c:pt>
                <c:pt idx="4">
                  <c:v>4.4982152870086489</c:v>
                </c:pt>
                <c:pt idx="5">
                  <c:v>1.112906346647035</c:v>
                </c:pt>
                <c:pt idx="6">
                  <c:v>1.5548376050432338</c:v>
                </c:pt>
                <c:pt idx="7">
                  <c:v>3.1567304094108133</c:v>
                </c:pt>
                <c:pt idx="8">
                  <c:v>4.0617200045941733</c:v>
                </c:pt>
                <c:pt idx="9">
                  <c:v>3.7878149915919996</c:v>
                </c:pt>
                <c:pt idx="10">
                  <c:v>0.23111234033898453</c:v>
                </c:pt>
                <c:pt idx="11">
                  <c:v>2.7678521901535915</c:v>
                </c:pt>
                <c:pt idx="12">
                  <c:v>4.6665874851766258</c:v>
                </c:pt>
                <c:pt idx="13">
                  <c:v>4.2982254142546301</c:v>
                </c:pt>
                <c:pt idx="14">
                  <c:v>3.8460963704090538</c:v>
                </c:pt>
                <c:pt idx="15">
                  <c:v>0.91009509943400657</c:v>
                </c:pt>
                <c:pt idx="16">
                  <c:v>1.1082511406079103</c:v>
                </c:pt>
                <c:pt idx="17">
                  <c:v>1.4810154721918916</c:v>
                </c:pt>
                <c:pt idx="18">
                  <c:v>4.1344292588173008</c:v>
                </c:pt>
                <c:pt idx="19">
                  <c:v>3.3863842152400383</c:v>
                </c:pt>
                <c:pt idx="20">
                  <c:v>1.3108157853958167</c:v>
                </c:pt>
                <c:pt idx="21">
                  <c:v>0.67094787580781157</c:v>
                </c:pt>
                <c:pt idx="22">
                  <c:v>2.1194583761080765</c:v>
                </c:pt>
                <c:pt idx="23">
                  <c:v>3.5373898460968722</c:v>
                </c:pt>
                <c:pt idx="24">
                  <c:v>3.1632222002855364</c:v>
                </c:pt>
                <c:pt idx="25">
                  <c:v>1.6821169642184737</c:v>
                </c:pt>
                <c:pt idx="26">
                  <c:v>2.4809744858857852</c:v>
                </c:pt>
                <c:pt idx="27">
                  <c:v>5.0467510979810113</c:v>
                </c:pt>
                <c:pt idx="28">
                  <c:v>3.8477350234666332</c:v>
                </c:pt>
                <c:pt idx="29">
                  <c:v>4.0704090061570808</c:v>
                </c:pt>
                <c:pt idx="30">
                  <c:v>1.7124990008905498</c:v>
                </c:pt>
                <c:pt idx="31">
                  <c:v>2.3627988612657504</c:v>
                </c:pt>
                <c:pt idx="32">
                  <c:v>3.1597618859985559</c:v>
                </c:pt>
                <c:pt idx="33">
                  <c:v>6.1953743906150258</c:v>
                </c:pt>
                <c:pt idx="34">
                  <c:v>3.9268581087164325</c:v>
                </c:pt>
                <c:pt idx="35">
                  <c:v>1.1216928275749536</c:v>
                </c:pt>
                <c:pt idx="36">
                  <c:v>2.3284462183816639</c:v>
                </c:pt>
                <c:pt idx="37">
                  <c:v>3.9875472898729183</c:v>
                </c:pt>
                <c:pt idx="38">
                  <c:v>5.0411384729083908</c:v>
                </c:pt>
                <c:pt idx="39">
                  <c:v>5.6346750626380837</c:v>
                </c:pt>
                <c:pt idx="40">
                  <c:v>2.4073207749613665</c:v>
                </c:pt>
                <c:pt idx="41">
                  <c:v>1.8477342014998641</c:v>
                </c:pt>
                <c:pt idx="42">
                  <c:v>3.4203876224119503</c:v>
                </c:pt>
                <c:pt idx="43">
                  <c:v>4.2009618751024007</c:v>
                </c:pt>
                <c:pt idx="44">
                  <c:v>6.0253942498090503</c:v>
                </c:pt>
                <c:pt idx="45">
                  <c:v>-0.64128929572455706</c:v>
                </c:pt>
                <c:pt idx="46">
                  <c:v>2.7420173004955757</c:v>
                </c:pt>
                <c:pt idx="47">
                  <c:v>4.1172123932609592</c:v>
                </c:pt>
                <c:pt idx="48">
                  <c:v>4.6216505766268883</c:v>
                </c:pt>
                <c:pt idx="49">
                  <c:v>6.3620923907093019</c:v>
                </c:pt>
                <c:pt idx="50">
                  <c:v>2.3875671996697232</c:v>
                </c:pt>
                <c:pt idx="51">
                  <c:v>1.960078130485372</c:v>
                </c:pt>
                <c:pt idx="52">
                  <c:v>3.3075757893915037</c:v>
                </c:pt>
                <c:pt idx="53">
                  <c:v>3.3467499169591148</c:v>
                </c:pt>
                <c:pt idx="54">
                  <c:v>4.6857045418921359</c:v>
                </c:pt>
                <c:pt idx="55">
                  <c:v>1.9129125086864196</c:v>
                </c:pt>
                <c:pt idx="56">
                  <c:v>3.8532587431842686</c:v>
                </c:pt>
                <c:pt idx="57">
                  <c:v>3.0929142452631542</c:v>
                </c:pt>
                <c:pt idx="58">
                  <c:v>5.2109772075250271</c:v>
                </c:pt>
                <c:pt idx="59">
                  <c:v>4.703187629808971</c:v>
                </c:pt>
                <c:pt idx="60">
                  <c:v>0.70642718464033827</c:v>
                </c:pt>
                <c:pt idx="61">
                  <c:v>1.7448131556180466</c:v>
                </c:pt>
                <c:pt idx="62">
                  <c:v>2.2806742025878108</c:v>
                </c:pt>
                <c:pt idx="63">
                  <c:v>5.0139660233566001</c:v>
                </c:pt>
                <c:pt idx="64">
                  <c:v>6.1140140803582348</c:v>
                </c:pt>
                <c:pt idx="65">
                  <c:v>1.0963534557020336</c:v>
                </c:pt>
                <c:pt idx="66">
                  <c:v>0.46850282584803282</c:v>
                </c:pt>
                <c:pt idx="67">
                  <c:v>1.8026810424833004</c:v>
                </c:pt>
                <c:pt idx="68">
                  <c:v>1.9459665454479684</c:v>
                </c:pt>
                <c:pt idx="69">
                  <c:v>2.5390231911117422</c:v>
                </c:pt>
                <c:pt idx="70">
                  <c:v>0.80430861545340182</c:v>
                </c:pt>
                <c:pt idx="71">
                  <c:v>0.8592954972138942</c:v>
                </c:pt>
                <c:pt idx="72">
                  <c:v>3.3037846040526113</c:v>
                </c:pt>
                <c:pt idx="73">
                  <c:v>4.0967277537543314</c:v>
                </c:pt>
                <c:pt idx="74">
                  <c:v>5.6085320936325465</c:v>
                </c:pt>
                <c:pt idx="75">
                  <c:v>2.2252842316039061</c:v>
                </c:pt>
                <c:pt idx="76">
                  <c:v>2.6823700928360004</c:v>
                </c:pt>
                <c:pt idx="77">
                  <c:v>4.1610163081570617</c:v>
                </c:pt>
                <c:pt idx="78">
                  <c:v>2.7496922365303753</c:v>
                </c:pt>
                <c:pt idx="79">
                  <c:v>5.3954999322663282</c:v>
                </c:pt>
                <c:pt idx="80">
                  <c:v>0.43494208405636026</c:v>
                </c:pt>
                <c:pt idx="81">
                  <c:v>2.0890512828410883</c:v>
                </c:pt>
                <c:pt idx="82">
                  <c:v>3.6689992098665609</c:v>
                </c:pt>
                <c:pt idx="83">
                  <c:v>5.0094358948024027</c:v>
                </c:pt>
                <c:pt idx="84">
                  <c:v>5.5826872924956765</c:v>
                </c:pt>
                <c:pt idx="85">
                  <c:v>1.6564093646343707</c:v>
                </c:pt>
                <c:pt idx="86">
                  <c:v>3.049367287999186</c:v>
                </c:pt>
                <c:pt idx="87">
                  <c:v>3.7155303064558338</c:v>
                </c:pt>
                <c:pt idx="88">
                  <c:v>4.135292645974717</c:v>
                </c:pt>
                <c:pt idx="89">
                  <c:v>4.8388640340155904</c:v>
                </c:pt>
                <c:pt idx="90">
                  <c:v>1.5993928125574621</c:v>
                </c:pt>
                <c:pt idx="91">
                  <c:v>3.5617088306272477</c:v>
                </c:pt>
                <c:pt idx="92">
                  <c:v>3.3162610953129525</c:v>
                </c:pt>
                <c:pt idx="93">
                  <c:v>3.3133024554659607</c:v>
                </c:pt>
                <c:pt idx="94">
                  <c:v>4.439142525815388</c:v>
                </c:pt>
                <c:pt idx="95">
                  <c:v>-1.7022197072316971</c:v>
                </c:pt>
                <c:pt idx="96">
                  <c:v>0.79260872866037668</c:v>
                </c:pt>
                <c:pt idx="97">
                  <c:v>2.3736266345240904</c:v>
                </c:pt>
                <c:pt idx="98">
                  <c:v>2.814139762671152</c:v>
                </c:pt>
                <c:pt idx="99">
                  <c:v>4.9479988241529043</c:v>
                </c:pt>
              </c:numCache>
            </c:numRef>
          </c:xVal>
          <c:yVal>
            <c:numRef>
              <c:f>EIV!$D$13:$D$113</c:f>
              <c:numCache>
                <c:formatCode>General</c:formatCode>
                <c:ptCount val="101"/>
                <c:pt idx="0">
                  <c:v>20.984355230900462</c:v>
                </c:pt>
                <c:pt idx="1">
                  <c:v>31.354126251842839</c:v>
                </c:pt>
                <c:pt idx="2">
                  <c:v>41.152555006373575</c:v>
                </c:pt>
                <c:pt idx="3">
                  <c:v>49.22704380488814</c:v>
                </c:pt>
                <c:pt idx="4">
                  <c:v>57.982153355098212</c:v>
                </c:pt>
                <c:pt idx="5">
                  <c:v>19.038715947830234</c:v>
                </c:pt>
                <c:pt idx="6">
                  <c:v>30.659528879621604</c:v>
                </c:pt>
                <c:pt idx="7">
                  <c:v>39.873785731577804</c:v>
                </c:pt>
                <c:pt idx="8">
                  <c:v>49.870010433050176</c:v>
                </c:pt>
                <c:pt idx="9">
                  <c:v>59.211475526574119</c:v>
                </c:pt>
                <c:pt idx="10">
                  <c:v>20.024445340058339</c:v>
                </c:pt>
                <c:pt idx="11">
                  <c:v>31.215452420881633</c:v>
                </c:pt>
                <c:pt idx="12">
                  <c:v>40.123750561387041</c:v>
                </c:pt>
                <c:pt idx="13">
                  <c:v>50.219671903629923</c:v>
                </c:pt>
                <c:pt idx="14">
                  <c:v>59.515295956444589</c:v>
                </c:pt>
                <c:pt idx="15">
                  <c:v>20.639891173142406</c:v>
                </c:pt>
                <c:pt idx="16">
                  <c:v>29.826314904075566</c:v>
                </c:pt>
                <c:pt idx="17">
                  <c:v>40.83422330457762</c:v>
                </c:pt>
                <c:pt idx="18">
                  <c:v>48.067531815845634</c:v>
                </c:pt>
                <c:pt idx="19">
                  <c:v>61.166288982530808</c:v>
                </c:pt>
                <c:pt idx="20">
                  <c:v>20.653719948729581</c:v>
                </c:pt>
                <c:pt idx="21">
                  <c:v>31.510517731572612</c:v>
                </c:pt>
                <c:pt idx="22">
                  <c:v>39.13178800875469</c:v>
                </c:pt>
                <c:pt idx="23">
                  <c:v>49.844456900557191</c:v>
                </c:pt>
                <c:pt idx="24">
                  <c:v>59.654438041371051</c:v>
                </c:pt>
                <c:pt idx="25">
                  <c:v>19.844283260502927</c:v>
                </c:pt>
                <c:pt idx="26">
                  <c:v>29.96820325876201</c:v>
                </c:pt>
                <c:pt idx="27">
                  <c:v>40.551370592123085</c:v>
                </c:pt>
                <c:pt idx="28">
                  <c:v>49.304199656698806</c:v>
                </c:pt>
                <c:pt idx="29">
                  <c:v>60.134624349183284</c:v>
                </c:pt>
                <c:pt idx="30">
                  <c:v>19.966636563761405</c:v>
                </c:pt>
                <c:pt idx="31">
                  <c:v>30.367080226827674</c:v>
                </c:pt>
                <c:pt idx="32">
                  <c:v>39.75325896580128</c:v>
                </c:pt>
                <c:pt idx="33">
                  <c:v>50.451523958008494</c:v>
                </c:pt>
                <c:pt idx="34">
                  <c:v>60.680264009846937</c:v>
                </c:pt>
                <c:pt idx="35">
                  <c:v>19.453080506003367</c:v>
                </c:pt>
                <c:pt idx="36">
                  <c:v>29.423696208518553</c:v>
                </c:pt>
                <c:pt idx="37">
                  <c:v>39.57703517701313</c:v>
                </c:pt>
                <c:pt idx="38">
                  <c:v>49.590620771120022</c:v>
                </c:pt>
                <c:pt idx="39">
                  <c:v>59.538368207422103</c:v>
                </c:pt>
                <c:pt idx="40">
                  <c:v>20.386340677385711</c:v>
                </c:pt>
                <c:pt idx="41">
                  <c:v>29.5440377130526</c:v>
                </c:pt>
                <c:pt idx="42">
                  <c:v>40.126278515066886</c:v>
                </c:pt>
                <c:pt idx="43">
                  <c:v>50.378706420919542</c:v>
                </c:pt>
                <c:pt idx="44">
                  <c:v>59.91447146113628</c:v>
                </c:pt>
                <c:pt idx="45">
                  <c:v>20.619004043174332</c:v>
                </c:pt>
                <c:pt idx="46">
                  <c:v>30.621011964545151</c:v>
                </c:pt>
                <c:pt idx="47">
                  <c:v>40.578403628695114</c:v>
                </c:pt>
                <c:pt idx="48">
                  <c:v>51.409026052587109</c:v>
                </c:pt>
                <c:pt idx="49">
                  <c:v>58.618826591205149</c:v>
                </c:pt>
                <c:pt idx="50">
                  <c:v>19.898851303465324</c:v>
                </c:pt>
                <c:pt idx="51">
                  <c:v>28.138248258000811</c:v>
                </c:pt>
                <c:pt idx="52">
                  <c:v>39.518111241941</c:v>
                </c:pt>
                <c:pt idx="53">
                  <c:v>49.008698603297212</c:v>
                </c:pt>
                <c:pt idx="54">
                  <c:v>59.569627567665393</c:v>
                </c:pt>
                <c:pt idx="55">
                  <c:v>21.346152152699869</c:v>
                </c:pt>
                <c:pt idx="56">
                  <c:v>29.004084006882607</c:v>
                </c:pt>
                <c:pt idx="57">
                  <c:v>39.684997629791425</c:v>
                </c:pt>
                <c:pt idx="58">
                  <c:v>48.82701614786783</c:v>
                </c:pt>
                <c:pt idx="59">
                  <c:v>59.317119473650479</c:v>
                </c:pt>
                <c:pt idx="60">
                  <c:v>20.490433063264813</c:v>
                </c:pt>
                <c:pt idx="61">
                  <c:v>29.710075762690128</c:v>
                </c:pt>
                <c:pt idx="62">
                  <c:v>40.609778662434081</c:v>
                </c:pt>
                <c:pt idx="63">
                  <c:v>49.771041385368591</c:v>
                </c:pt>
                <c:pt idx="64">
                  <c:v>60.858830781144057</c:v>
                </c:pt>
                <c:pt idx="65">
                  <c:v>19.998827237632664</c:v>
                </c:pt>
                <c:pt idx="66">
                  <c:v>30.454704043779255</c:v>
                </c:pt>
                <c:pt idx="67">
                  <c:v>41.327233808312172</c:v>
                </c:pt>
                <c:pt idx="68">
                  <c:v>49.833866855190237</c:v>
                </c:pt>
                <c:pt idx="69">
                  <c:v>58.609734929879437</c:v>
                </c:pt>
                <c:pt idx="70">
                  <c:v>21.532848186030023</c:v>
                </c:pt>
                <c:pt idx="71">
                  <c:v>28.341357203932759</c:v>
                </c:pt>
                <c:pt idx="72">
                  <c:v>38.668117451711758</c:v>
                </c:pt>
                <c:pt idx="73">
                  <c:v>48.555072992321243</c:v>
                </c:pt>
                <c:pt idx="74">
                  <c:v>58.879539298827247</c:v>
                </c:pt>
                <c:pt idx="75">
                  <c:v>20.021016293209446</c:v>
                </c:pt>
                <c:pt idx="76">
                  <c:v>29.967328635192384</c:v>
                </c:pt>
                <c:pt idx="77">
                  <c:v>39.873187572280358</c:v>
                </c:pt>
                <c:pt idx="78">
                  <c:v>51.664380725453789</c:v>
                </c:pt>
                <c:pt idx="79">
                  <c:v>59.239967646534211</c:v>
                </c:pt>
                <c:pt idx="80">
                  <c:v>17.923794628307114</c:v>
                </c:pt>
                <c:pt idx="81">
                  <c:v>29.209985180117442</c:v>
                </c:pt>
                <c:pt idx="82">
                  <c:v>40.971722909595755</c:v>
                </c:pt>
                <c:pt idx="83">
                  <c:v>50.966452672852427</c:v>
                </c:pt>
                <c:pt idx="84">
                  <c:v>60.222517653901733</c:v>
                </c:pt>
                <c:pt idx="85">
                  <c:v>20.245695038674569</c:v>
                </c:pt>
                <c:pt idx="86">
                  <c:v>31.735436334871974</c:v>
                </c:pt>
                <c:pt idx="87">
                  <c:v>40.447856867916379</c:v>
                </c:pt>
                <c:pt idx="88">
                  <c:v>51.06904398425997</c:v>
                </c:pt>
                <c:pt idx="89">
                  <c:v>59.528151788616213</c:v>
                </c:pt>
                <c:pt idx="90">
                  <c:v>19.806728365363053</c:v>
                </c:pt>
                <c:pt idx="91">
                  <c:v>28.707639189653513</c:v>
                </c:pt>
                <c:pt idx="92">
                  <c:v>40.075199516552779</c:v>
                </c:pt>
                <c:pt idx="93">
                  <c:v>50.417336917522306</c:v>
                </c:pt>
                <c:pt idx="94">
                  <c:v>61.753503253360229</c:v>
                </c:pt>
                <c:pt idx="95">
                  <c:v>19.360881530875528</c:v>
                </c:pt>
                <c:pt idx="96">
                  <c:v>30.338968927391146</c:v>
                </c:pt>
                <c:pt idx="97">
                  <c:v>38.682572263957745</c:v>
                </c:pt>
                <c:pt idx="98">
                  <c:v>50.46084720919751</c:v>
                </c:pt>
                <c:pt idx="99">
                  <c:v>59.372087103060672</c:v>
                </c:pt>
              </c:numCache>
            </c:numRef>
          </c:yVal>
          <c:smooth val="0"/>
          <c:extLst>
            <c:ext xmlns:c16="http://schemas.microsoft.com/office/drawing/2014/chart" uri="{C3380CC4-5D6E-409C-BE32-E72D297353CC}">
              <c16:uniqueId val="{00000002-7188-492E-A60E-E8173D56D882}"/>
            </c:ext>
          </c:extLst>
        </c:ser>
        <c:dLbls>
          <c:showLegendKey val="0"/>
          <c:showVal val="0"/>
          <c:showCatName val="0"/>
          <c:showSerName val="0"/>
          <c:showPercent val="0"/>
          <c:showBubbleSize val="0"/>
        </c:dLbls>
        <c:axId val="1397793344"/>
        <c:axId val="1397809568"/>
      </c:scatterChart>
      <c:valAx>
        <c:axId val="1397793344"/>
        <c:scaling>
          <c:orientation val="minMax"/>
          <c:max val="10"/>
          <c:min val="-4"/>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809568"/>
        <c:crosses val="autoZero"/>
        <c:crossBetween val="midCat"/>
      </c:valAx>
      <c:valAx>
        <c:axId val="139780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793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 of $F$1 And LiveOLSOrthoEIV!$F$2</a:t>
            </a:r>
          </a:p>
        </c:rich>
      </c:tx>
      <c:overlay val="0"/>
    </c:title>
    <c:autoTitleDeleted val="0"/>
    <c:plotArea>
      <c:layout/>
      <c:scatterChart>
        <c:scatterStyle val="lineMarker"/>
        <c:varyColors val="0"/>
        <c:ser>
          <c:idx val="0"/>
          <c:order val="0"/>
          <c:tx>
            <c:strRef>
              <c:f>MCSim7!$AL$1</c:f>
              <c:strCache>
                <c:ptCount val="1"/>
                <c:pt idx="0">
                  <c:v>$F$1</c:v>
                </c:pt>
              </c:strCache>
            </c:strRef>
          </c:tx>
          <c:spPr>
            <a:ln w="12700">
              <a:solidFill>
                <a:srgbClr val="FF00FF"/>
              </a:solidFill>
              <a:prstDash val="solid"/>
            </a:ln>
          </c:spPr>
          <c:marker>
            <c:symbol val="none"/>
          </c:marker>
          <c:xVal>
            <c:numRef>
              <c:f>MCSim7!$AK$2:$AK$167</c:f>
              <c:numCache>
                <c:formatCode>General</c:formatCode>
                <c:ptCount val="166"/>
                <c:pt idx="0">
                  <c:v>0.3</c:v>
                </c:pt>
                <c:pt idx="1">
                  <c:v>0.3</c:v>
                </c:pt>
                <c:pt idx="2">
                  <c:v>0.4</c:v>
                </c:pt>
                <c:pt idx="3">
                  <c:v>0.4</c:v>
                </c:pt>
                <c:pt idx="4">
                  <c:v>0.5</c:v>
                </c:pt>
                <c:pt idx="5">
                  <c:v>0.5</c:v>
                </c:pt>
                <c:pt idx="6">
                  <c:v>0.6</c:v>
                </c:pt>
                <c:pt idx="7">
                  <c:v>0.6</c:v>
                </c:pt>
                <c:pt idx="8">
                  <c:v>0.7</c:v>
                </c:pt>
                <c:pt idx="9">
                  <c:v>0.7</c:v>
                </c:pt>
                <c:pt idx="10">
                  <c:v>0.8</c:v>
                </c:pt>
                <c:pt idx="11">
                  <c:v>0.8</c:v>
                </c:pt>
                <c:pt idx="12">
                  <c:v>0.9</c:v>
                </c:pt>
                <c:pt idx="13">
                  <c:v>0.9</c:v>
                </c:pt>
                <c:pt idx="14">
                  <c:v>1</c:v>
                </c:pt>
                <c:pt idx="15">
                  <c:v>1</c:v>
                </c:pt>
                <c:pt idx="16">
                  <c:v>1.1000000000000001</c:v>
                </c:pt>
                <c:pt idx="17">
                  <c:v>1.1000000000000001</c:v>
                </c:pt>
                <c:pt idx="18">
                  <c:v>1.2</c:v>
                </c:pt>
                <c:pt idx="19">
                  <c:v>1.2</c:v>
                </c:pt>
                <c:pt idx="20">
                  <c:v>1.3</c:v>
                </c:pt>
                <c:pt idx="21">
                  <c:v>1.3</c:v>
                </c:pt>
                <c:pt idx="22">
                  <c:v>1.4</c:v>
                </c:pt>
                <c:pt idx="23">
                  <c:v>1.4</c:v>
                </c:pt>
                <c:pt idx="24">
                  <c:v>1.5</c:v>
                </c:pt>
                <c:pt idx="25">
                  <c:v>1.5</c:v>
                </c:pt>
                <c:pt idx="26">
                  <c:v>1.6</c:v>
                </c:pt>
                <c:pt idx="27">
                  <c:v>1.6</c:v>
                </c:pt>
                <c:pt idx="28">
                  <c:v>1.7</c:v>
                </c:pt>
                <c:pt idx="29">
                  <c:v>1.7</c:v>
                </c:pt>
                <c:pt idx="30">
                  <c:v>1.8</c:v>
                </c:pt>
                <c:pt idx="31">
                  <c:v>1.8</c:v>
                </c:pt>
                <c:pt idx="32">
                  <c:v>1.9</c:v>
                </c:pt>
                <c:pt idx="33">
                  <c:v>1.9</c:v>
                </c:pt>
                <c:pt idx="34">
                  <c:v>2</c:v>
                </c:pt>
                <c:pt idx="35">
                  <c:v>2</c:v>
                </c:pt>
                <c:pt idx="36">
                  <c:v>2.1</c:v>
                </c:pt>
                <c:pt idx="37">
                  <c:v>2.1</c:v>
                </c:pt>
                <c:pt idx="38">
                  <c:v>2.2000000000000002</c:v>
                </c:pt>
                <c:pt idx="39">
                  <c:v>2.2000000000000002</c:v>
                </c:pt>
                <c:pt idx="40">
                  <c:v>2.2999999999999998</c:v>
                </c:pt>
                <c:pt idx="41">
                  <c:v>2.2999999999999998</c:v>
                </c:pt>
                <c:pt idx="42">
                  <c:v>2.4</c:v>
                </c:pt>
                <c:pt idx="43">
                  <c:v>2.4</c:v>
                </c:pt>
                <c:pt idx="44">
                  <c:v>2.5</c:v>
                </c:pt>
                <c:pt idx="45">
                  <c:v>2.5</c:v>
                </c:pt>
                <c:pt idx="46">
                  <c:v>2.6</c:v>
                </c:pt>
                <c:pt idx="47">
                  <c:v>2.6</c:v>
                </c:pt>
                <c:pt idx="48">
                  <c:v>2.7</c:v>
                </c:pt>
                <c:pt idx="49">
                  <c:v>2.7</c:v>
                </c:pt>
                <c:pt idx="50">
                  <c:v>2.8</c:v>
                </c:pt>
                <c:pt idx="51">
                  <c:v>2.8</c:v>
                </c:pt>
                <c:pt idx="52">
                  <c:v>2.9</c:v>
                </c:pt>
                <c:pt idx="53">
                  <c:v>2.9</c:v>
                </c:pt>
                <c:pt idx="54">
                  <c:v>3</c:v>
                </c:pt>
                <c:pt idx="55">
                  <c:v>3</c:v>
                </c:pt>
                <c:pt idx="56">
                  <c:v>3.1</c:v>
                </c:pt>
                <c:pt idx="57">
                  <c:v>3.1</c:v>
                </c:pt>
                <c:pt idx="58">
                  <c:v>3.2</c:v>
                </c:pt>
                <c:pt idx="59">
                  <c:v>3.2</c:v>
                </c:pt>
                <c:pt idx="60">
                  <c:v>3.3</c:v>
                </c:pt>
                <c:pt idx="61">
                  <c:v>3.3</c:v>
                </c:pt>
                <c:pt idx="62">
                  <c:v>3.4</c:v>
                </c:pt>
                <c:pt idx="63">
                  <c:v>3.4</c:v>
                </c:pt>
                <c:pt idx="64">
                  <c:v>3.5</c:v>
                </c:pt>
                <c:pt idx="65">
                  <c:v>3.5</c:v>
                </c:pt>
                <c:pt idx="66">
                  <c:v>3.6</c:v>
                </c:pt>
                <c:pt idx="67">
                  <c:v>3.6</c:v>
                </c:pt>
                <c:pt idx="68">
                  <c:v>3.7</c:v>
                </c:pt>
                <c:pt idx="69">
                  <c:v>3.7</c:v>
                </c:pt>
                <c:pt idx="70">
                  <c:v>3.8</c:v>
                </c:pt>
                <c:pt idx="71">
                  <c:v>3.8</c:v>
                </c:pt>
                <c:pt idx="72">
                  <c:v>3.9</c:v>
                </c:pt>
                <c:pt idx="73">
                  <c:v>3.9</c:v>
                </c:pt>
                <c:pt idx="74">
                  <c:v>4</c:v>
                </c:pt>
                <c:pt idx="75">
                  <c:v>4</c:v>
                </c:pt>
                <c:pt idx="76">
                  <c:v>4.0999999999999996</c:v>
                </c:pt>
                <c:pt idx="77">
                  <c:v>4.0999999999999996</c:v>
                </c:pt>
                <c:pt idx="78">
                  <c:v>4.2</c:v>
                </c:pt>
                <c:pt idx="79">
                  <c:v>4.2</c:v>
                </c:pt>
                <c:pt idx="80">
                  <c:v>4.3</c:v>
                </c:pt>
                <c:pt idx="81">
                  <c:v>4.3</c:v>
                </c:pt>
                <c:pt idx="82">
                  <c:v>4.4000000000000004</c:v>
                </c:pt>
                <c:pt idx="83">
                  <c:v>4.4000000000000004</c:v>
                </c:pt>
                <c:pt idx="84">
                  <c:v>4.5</c:v>
                </c:pt>
                <c:pt idx="85">
                  <c:v>4.5</c:v>
                </c:pt>
                <c:pt idx="86">
                  <c:v>4.5999999999999996</c:v>
                </c:pt>
                <c:pt idx="87">
                  <c:v>4.5999999999999996</c:v>
                </c:pt>
                <c:pt idx="88">
                  <c:v>4.7</c:v>
                </c:pt>
                <c:pt idx="89">
                  <c:v>4.7</c:v>
                </c:pt>
                <c:pt idx="90">
                  <c:v>4.8</c:v>
                </c:pt>
                <c:pt idx="91">
                  <c:v>4.8</c:v>
                </c:pt>
                <c:pt idx="92">
                  <c:v>4.9000000000000004</c:v>
                </c:pt>
                <c:pt idx="93">
                  <c:v>4.9000000000000004</c:v>
                </c:pt>
                <c:pt idx="94">
                  <c:v>5</c:v>
                </c:pt>
                <c:pt idx="95">
                  <c:v>5</c:v>
                </c:pt>
                <c:pt idx="96">
                  <c:v>5.0999999999999996</c:v>
                </c:pt>
                <c:pt idx="97">
                  <c:v>5.0999999999999996</c:v>
                </c:pt>
                <c:pt idx="98">
                  <c:v>5.2</c:v>
                </c:pt>
                <c:pt idx="99">
                  <c:v>5.2</c:v>
                </c:pt>
                <c:pt idx="100">
                  <c:v>5.3</c:v>
                </c:pt>
                <c:pt idx="101">
                  <c:v>5.3</c:v>
                </c:pt>
                <c:pt idx="102">
                  <c:v>5.4</c:v>
                </c:pt>
                <c:pt idx="103">
                  <c:v>5.4</c:v>
                </c:pt>
                <c:pt idx="104">
                  <c:v>5.5</c:v>
                </c:pt>
                <c:pt idx="105">
                  <c:v>5.5</c:v>
                </c:pt>
                <c:pt idx="106">
                  <c:v>5.6</c:v>
                </c:pt>
                <c:pt idx="107">
                  <c:v>5.6</c:v>
                </c:pt>
                <c:pt idx="108">
                  <c:v>5.7</c:v>
                </c:pt>
                <c:pt idx="109">
                  <c:v>5.7</c:v>
                </c:pt>
                <c:pt idx="110">
                  <c:v>5.8</c:v>
                </c:pt>
                <c:pt idx="111">
                  <c:v>5.8</c:v>
                </c:pt>
                <c:pt idx="112">
                  <c:v>5.9</c:v>
                </c:pt>
                <c:pt idx="113">
                  <c:v>5.9</c:v>
                </c:pt>
                <c:pt idx="114">
                  <c:v>6</c:v>
                </c:pt>
                <c:pt idx="115">
                  <c:v>6</c:v>
                </c:pt>
                <c:pt idx="116">
                  <c:v>6.1</c:v>
                </c:pt>
                <c:pt idx="117">
                  <c:v>6.1</c:v>
                </c:pt>
                <c:pt idx="118">
                  <c:v>6.2</c:v>
                </c:pt>
                <c:pt idx="119">
                  <c:v>6.2</c:v>
                </c:pt>
                <c:pt idx="120">
                  <c:v>6.3</c:v>
                </c:pt>
                <c:pt idx="121">
                  <c:v>6.3</c:v>
                </c:pt>
                <c:pt idx="122">
                  <c:v>6.4</c:v>
                </c:pt>
                <c:pt idx="123">
                  <c:v>6.4</c:v>
                </c:pt>
                <c:pt idx="124">
                  <c:v>6.5</c:v>
                </c:pt>
                <c:pt idx="125">
                  <c:v>6.5</c:v>
                </c:pt>
                <c:pt idx="126">
                  <c:v>6.6</c:v>
                </c:pt>
                <c:pt idx="127">
                  <c:v>6.6</c:v>
                </c:pt>
                <c:pt idx="128">
                  <c:v>6.7</c:v>
                </c:pt>
                <c:pt idx="129">
                  <c:v>6.7</c:v>
                </c:pt>
                <c:pt idx="130">
                  <c:v>6.8</c:v>
                </c:pt>
                <c:pt idx="131">
                  <c:v>6.8</c:v>
                </c:pt>
                <c:pt idx="132">
                  <c:v>6.9</c:v>
                </c:pt>
                <c:pt idx="133">
                  <c:v>6.9</c:v>
                </c:pt>
                <c:pt idx="134">
                  <c:v>7</c:v>
                </c:pt>
                <c:pt idx="135">
                  <c:v>7</c:v>
                </c:pt>
                <c:pt idx="136">
                  <c:v>7.1</c:v>
                </c:pt>
                <c:pt idx="137">
                  <c:v>7.1</c:v>
                </c:pt>
                <c:pt idx="138">
                  <c:v>7.2</c:v>
                </c:pt>
                <c:pt idx="139">
                  <c:v>7.2</c:v>
                </c:pt>
                <c:pt idx="140">
                  <c:v>7.3</c:v>
                </c:pt>
                <c:pt idx="141">
                  <c:v>7.3</c:v>
                </c:pt>
                <c:pt idx="142">
                  <c:v>7.4</c:v>
                </c:pt>
                <c:pt idx="143">
                  <c:v>7.4</c:v>
                </c:pt>
                <c:pt idx="144">
                  <c:v>7.5</c:v>
                </c:pt>
                <c:pt idx="145">
                  <c:v>7.5</c:v>
                </c:pt>
                <c:pt idx="146">
                  <c:v>7.6</c:v>
                </c:pt>
                <c:pt idx="147">
                  <c:v>7.6</c:v>
                </c:pt>
                <c:pt idx="148">
                  <c:v>7.7</c:v>
                </c:pt>
                <c:pt idx="149">
                  <c:v>7.7</c:v>
                </c:pt>
                <c:pt idx="150">
                  <c:v>7.8</c:v>
                </c:pt>
                <c:pt idx="151">
                  <c:v>7.8</c:v>
                </c:pt>
                <c:pt idx="152">
                  <c:v>7.9</c:v>
                </c:pt>
                <c:pt idx="153">
                  <c:v>7.9</c:v>
                </c:pt>
                <c:pt idx="154">
                  <c:v>8</c:v>
                </c:pt>
                <c:pt idx="155">
                  <c:v>8</c:v>
                </c:pt>
                <c:pt idx="156">
                  <c:v>8.1</c:v>
                </c:pt>
                <c:pt idx="157">
                  <c:v>8.1</c:v>
                </c:pt>
                <c:pt idx="158">
                  <c:v>8.1999999999999993</c:v>
                </c:pt>
                <c:pt idx="159">
                  <c:v>8.1999999999999993</c:v>
                </c:pt>
                <c:pt idx="160">
                  <c:v>8.3000000000000007</c:v>
                </c:pt>
                <c:pt idx="161">
                  <c:v>8.3000000000000007</c:v>
                </c:pt>
                <c:pt idx="162">
                  <c:v>8.4</c:v>
                </c:pt>
                <c:pt idx="163">
                  <c:v>8.4</c:v>
                </c:pt>
                <c:pt idx="164">
                  <c:v>8.5</c:v>
                </c:pt>
                <c:pt idx="165">
                  <c:v>8.5</c:v>
                </c:pt>
              </c:numCache>
            </c:numRef>
          </c:xVal>
          <c:yVal>
            <c:numRef>
              <c:f>MCSim7!$AL$2:$AL$167</c:f>
              <c:numCache>
                <c:formatCode>General</c:formatCode>
                <c:ptCount val="1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1</c:v>
                </c:pt>
                <c:pt idx="109">
                  <c:v>2</c:v>
                </c:pt>
                <c:pt idx="110">
                  <c:v>2</c:v>
                </c:pt>
                <c:pt idx="111">
                  <c:v>3</c:v>
                </c:pt>
                <c:pt idx="112">
                  <c:v>3</c:v>
                </c:pt>
                <c:pt idx="113">
                  <c:v>15</c:v>
                </c:pt>
                <c:pt idx="114">
                  <c:v>15</c:v>
                </c:pt>
                <c:pt idx="115">
                  <c:v>14</c:v>
                </c:pt>
                <c:pt idx="116">
                  <c:v>14</c:v>
                </c:pt>
                <c:pt idx="117">
                  <c:v>38</c:v>
                </c:pt>
                <c:pt idx="118">
                  <c:v>38</c:v>
                </c:pt>
                <c:pt idx="119">
                  <c:v>48</c:v>
                </c:pt>
                <c:pt idx="120">
                  <c:v>48</c:v>
                </c:pt>
                <c:pt idx="121">
                  <c:v>81</c:v>
                </c:pt>
                <c:pt idx="122">
                  <c:v>81</c:v>
                </c:pt>
                <c:pt idx="123">
                  <c:v>87</c:v>
                </c:pt>
                <c:pt idx="124">
                  <c:v>87</c:v>
                </c:pt>
                <c:pt idx="125">
                  <c:v>110</c:v>
                </c:pt>
                <c:pt idx="126">
                  <c:v>110</c:v>
                </c:pt>
                <c:pt idx="127">
                  <c:v>112</c:v>
                </c:pt>
                <c:pt idx="128">
                  <c:v>112</c:v>
                </c:pt>
                <c:pt idx="129">
                  <c:v>118</c:v>
                </c:pt>
                <c:pt idx="130">
                  <c:v>118</c:v>
                </c:pt>
                <c:pt idx="131">
                  <c:v>75</c:v>
                </c:pt>
                <c:pt idx="132">
                  <c:v>75</c:v>
                </c:pt>
                <c:pt idx="133">
                  <c:v>74</c:v>
                </c:pt>
                <c:pt idx="134">
                  <c:v>74</c:v>
                </c:pt>
                <c:pt idx="135">
                  <c:v>68</c:v>
                </c:pt>
                <c:pt idx="136">
                  <c:v>68</c:v>
                </c:pt>
                <c:pt idx="137">
                  <c:v>60</c:v>
                </c:pt>
                <c:pt idx="138">
                  <c:v>60</c:v>
                </c:pt>
                <c:pt idx="139">
                  <c:v>36</c:v>
                </c:pt>
                <c:pt idx="140">
                  <c:v>36</c:v>
                </c:pt>
                <c:pt idx="141">
                  <c:v>29</c:v>
                </c:pt>
                <c:pt idx="142">
                  <c:v>29</c:v>
                </c:pt>
                <c:pt idx="143">
                  <c:v>12</c:v>
                </c:pt>
                <c:pt idx="144">
                  <c:v>12</c:v>
                </c:pt>
                <c:pt idx="145">
                  <c:v>5</c:v>
                </c:pt>
                <c:pt idx="146">
                  <c:v>5</c:v>
                </c:pt>
                <c:pt idx="147">
                  <c:v>4</c:v>
                </c:pt>
                <c:pt idx="148">
                  <c:v>4</c:v>
                </c:pt>
                <c:pt idx="149">
                  <c:v>5</c:v>
                </c:pt>
                <c:pt idx="150">
                  <c:v>5</c:v>
                </c:pt>
                <c:pt idx="151">
                  <c:v>1</c:v>
                </c:pt>
                <c:pt idx="152">
                  <c:v>1</c:v>
                </c:pt>
                <c:pt idx="153">
                  <c:v>1</c:v>
                </c:pt>
                <c:pt idx="154">
                  <c:v>1</c:v>
                </c:pt>
                <c:pt idx="155">
                  <c:v>0</c:v>
                </c:pt>
                <c:pt idx="156">
                  <c:v>0</c:v>
                </c:pt>
                <c:pt idx="157">
                  <c:v>0</c:v>
                </c:pt>
                <c:pt idx="158">
                  <c:v>0</c:v>
                </c:pt>
                <c:pt idx="159">
                  <c:v>0</c:v>
                </c:pt>
                <c:pt idx="160">
                  <c:v>0</c:v>
                </c:pt>
                <c:pt idx="161">
                  <c:v>0</c:v>
                </c:pt>
                <c:pt idx="162">
                  <c:v>0</c:v>
                </c:pt>
                <c:pt idx="163">
                  <c:v>1</c:v>
                </c:pt>
                <c:pt idx="164">
                  <c:v>1</c:v>
                </c:pt>
                <c:pt idx="165">
                  <c:v>0</c:v>
                </c:pt>
              </c:numCache>
            </c:numRef>
          </c:yVal>
          <c:smooth val="0"/>
          <c:extLst>
            <c:ext xmlns:c16="http://schemas.microsoft.com/office/drawing/2014/chart" uri="{C3380CC4-5D6E-409C-BE32-E72D297353CC}">
              <c16:uniqueId val="{00000000-39DC-4B85-87A6-7EF8CDF0F916}"/>
            </c:ext>
          </c:extLst>
        </c:ser>
        <c:ser>
          <c:idx val="1"/>
          <c:order val="1"/>
          <c:tx>
            <c:strRef>
              <c:f>MCSim7!$AM$1</c:f>
              <c:strCache>
                <c:ptCount val="1"/>
                <c:pt idx="0">
                  <c:v>LiveOLSOrthoEIV!$F$2</c:v>
                </c:pt>
              </c:strCache>
            </c:strRef>
          </c:tx>
          <c:spPr>
            <a:ln w="12700">
              <a:solidFill>
                <a:srgbClr val="0000FF"/>
              </a:solidFill>
              <a:prstDash val="solid"/>
            </a:ln>
          </c:spPr>
          <c:marker>
            <c:symbol val="none"/>
          </c:marker>
          <c:xVal>
            <c:numRef>
              <c:f>MCSim7!$AK$2:$AK$167</c:f>
              <c:numCache>
                <c:formatCode>General</c:formatCode>
                <c:ptCount val="166"/>
                <c:pt idx="0">
                  <c:v>0.3</c:v>
                </c:pt>
                <c:pt idx="1">
                  <c:v>0.3</c:v>
                </c:pt>
                <c:pt idx="2">
                  <c:v>0.4</c:v>
                </c:pt>
                <c:pt idx="3">
                  <c:v>0.4</c:v>
                </c:pt>
                <c:pt idx="4">
                  <c:v>0.5</c:v>
                </c:pt>
                <c:pt idx="5">
                  <c:v>0.5</c:v>
                </c:pt>
                <c:pt idx="6">
                  <c:v>0.6</c:v>
                </c:pt>
                <c:pt idx="7">
                  <c:v>0.6</c:v>
                </c:pt>
                <c:pt idx="8">
                  <c:v>0.7</c:v>
                </c:pt>
                <c:pt idx="9">
                  <c:v>0.7</c:v>
                </c:pt>
                <c:pt idx="10">
                  <c:v>0.8</c:v>
                </c:pt>
                <c:pt idx="11">
                  <c:v>0.8</c:v>
                </c:pt>
                <c:pt idx="12">
                  <c:v>0.9</c:v>
                </c:pt>
                <c:pt idx="13">
                  <c:v>0.9</c:v>
                </c:pt>
                <c:pt idx="14">
                  <c:v>1</c:v>
                </c:pt>
                <c:pt idx="15">
                  <c:v>1</c:v>
                </c:pt>
                <c:pt idx="16">
                  <c:v>1.1000000000000001</c:v>
                </c:pt>
                <c:pt idx="17">
                  <c:v>1.1000000000000001</c:v>
                </c:pt>
                <c:pt idx="18">
                  <c:v>1.2</c:v>
                </c:pt>
                <c:pt idx="19">
                  <c:v>1.2</c:v>
                </c:pt>
                <c:pt idx="20">
                  <c:v>1.3</c:v>
                </c:pt>
                <c:pt idx="21">
                  <c:v>1.3</c:v>
                </c:pt>
                <c:pt idx="22">
                  <c:v>1.4</c:v>
                </c:pt>
                <c:pt idx="23">
                  <c:v>1.4</c:v>
                </c:pt>
                <c:pt idx="24">
                  <c:v>1.5</c:v>
                </c:pt>
                <c:pt idx="25">
                  <c:v>1.5</c:v>
                </c:pt>
                <c:pt idx="26">
                  <c:v>1.6</c:v>
                </c:pt>
                <c:pt idx="27">
                  <c:v>1.6</c:v>
                </c:pt>
                <c:pt idx="28">
                  <c:v>1.7</c:v>
                </c:pt>
                <c:pt idx="29">
                  <c:v>1.7</c:v>
                </c:pt>
                <c:pt idx="30">
                  <c:v>1.8</c:v>
                </c:pt>
                <c:pt idx="31">
                  <c:v>1.8</c:v>
                </c:pt>
                <c:pt idx="32">
                  <c:v>1.9</c:v>
                </c:pt>
                <c:pt idx="33">
                  <c:v>1.9</c:v>
                </c:pt>
                <c:pt idx="34">
                  <c:v>2</c:v>
                </c:pt>
                <c:pt idx="35">
                  <c:v>2</c:v>
                </c:pt>
                <c:pt idx="36">
                  <c:v>2.1</c:v>
                </c:pt>
                <c:pt idx="37">
                  <c:v>2.1</c:v>
                </c:pt>
                <c:pt idx="38">
                  <c:v>2.2000000000000002</c:v>
                </c:pt>
                <c:pt idx="39">
                  <c:v>2.2000000000000002</c:v>
                </c:pt>
                <c:pt idx="40">
                  <c:v>2.2999999999999998</c:v>
                </c:pt>
                <c:pt idx="41">
                  <c:v>2.2999999999999998</c:v>
                </c:pt>
                <c:pt idx="42">
                  <c:v>2.4</c:v>
                </c:pt>
                <c:pt idx="43">
                  <c:v>2.4</c:v>
                </c:pt>
                <c:pt idx="44">
                  <c:v>2.5</c:v>
                </c:pt>
                <c:pt idx="45">
                  <c:v>2.5</c:v>
                </c:pt>
                <c:pt idx="46">
                  <c:v>2.6</c:v>
                </c:pt>
                <c:pt idx="47">
                  <c:v>2.6</c:v>
                </c:pt>
                <c:pt idx="48">
                  <c:v>2.7</c:v>
                </c:pt>
                <c:pt idx="49">
                  <c:v>2.7</c:v>
                </c:pt>
                <c:pt idx="50">
                  <c:v>2.8</c:v>
                </c:pt>
                <c:pt idx="51">
                  <c:v>2.8</c:v>
                </c:pt>
                <c:pt idx="52">
                  <c:v>2.9</c:v>
                </c:pt>
                <c:pt idx="53">
                  <c:v>2.9</c:v>
                </c:pt>
                <c:pt idx="54">
                  <c:v>3</c:v>
                </c:pt>
                <c:pt idx="55">
                  <c:v>3</c:v>
                </c:pt>
                <c:pt idx="56">
                  <c:v>3.1</c:v>
                </c:pt>
                <c:pt idx="57">
                  <c:v>3.1</c:v>
                </c:pt>
                <c:pt idx="58">
                  <c:v>3.2</c:v>
                </c:pt>
                <c:pt idx="59">
                  <c:v>3.2</c:v>
                </c:pt>
                <c:pt idx="60">
                  <c:v>3.3</c:v>
                </c:pt>
                <c:pt idx="61">
                  <c:v>3.3</c:v>
                </c:pt>
                <c:pt idx="62">
                  <c:v>3.4</c:v>
                </c:pt>
                <c:pt idx="63">
                  <c:v>3.4</c:v>
                </c:pt>
                <c:pt idx="64">
                  <c:v>3.5</c:v>
                </c:pt>
                <c:pt idx="65">
                  <c:v>3.5</c:v>
                </c:pt>
                <c:pt idx="66">
                  <c:v>3.6</c:v>
                </c:pt>
                <c:pt idx="67">
                  <c:v>3.6</c:v>
                </c:pt>
                <c:pt idx="68">
                  <c:v>3.7</c:v>
                </c:pt>
                <c:pt idx="69">
                  <c:v>3.7</c:v>
                </c:pt>
                <c:pt idx="70">
                  <c:v>3.8</c:v>
                </c:pt>
                <c:pt idx="71">
                  <c:v>3.8</c:v>
                </c:pt>
                <c:pt idx="72">
                  <c:v>3.9</c:v>
                </c:pt>
                <c:pt idx="73">
                  <c:v>3.9</c:v>
                </c:pt>
                <c:pt idx="74">
                  <c:v>4</c:v>
                </c:pt>
                <c:pt idx="75">
                  <c:v>4</c:v>
                </c:pt>
                <c:pt idx="76">
                  <c:v>4.0999999999999996</c:v>
                </c:pt>
                <c:pt idx="77">
                  <c:v>4.0999999999999996</c:v>
                </c:pt>
                <c:pt idx="78">
                  <c:v>4.2</c:v>
                </c:pt>
                <c:pt idx="79">
                  <c:v>4.2</c:v>
                </c:pt>
                <c:pt idx="80">
                  <c:v>4.3</c:v>
                </c:pt>
                <c:pt idx="81">
                  <c:v>4.3</c:v>
                </c:pt>
                <c:pt idx="82">
                  <c:v>4.4000000000000004</c:v>
                </c:pt>
                <c:pt idx="83">
                  <c:v>4.4000000000000004</c:v>
                </c:pt>
                <c:pt idx="84">
                  <c:v>4.5</c:v>
                </c:pt>
                <c:pt idx="85">
                  <c:v>4.5</c:v>
                </c:pt>
                <c:pt idx="86">
                  <c:v>4.5999999999999996</c:v>
                </c:pt>
                <c:pt idx="87">
                  <c:v>4.5999999999999996</c:v>
                </c:pt>
                <c:pt idx="88">
                  <c:v>4.7</c:v>
                </c:pt>
                <c:pt idx="89">
                  <c:v>4.7</c:v>
                </c:pt>
                <c:pt idx="90">
                  <c:v>4.8</c:v>
                </c:pt>
                <c:pt idx="91">
                  <c:v>4.8</c:v>
                </c:pt>
                <c:pt idx="92">
                  <c:v>4.9000000000000004</c:v>
                </c:pt>
                <c:pt idx="93">
                  <c:v>4.9000000000000004</c:v>
                </c:pt>
                <c:pt idx="94">
                  <c:v>5</c:v>
                </c:pt>
                <c:pt idx="95">
                  <c:v>5</c:v>
                </c:pt>
                <c:pt idx="96">
                  <c:v>5.0999999999999996</c:v>
                </c:pt>
                <c:pt idx="97">
                  <c:v>5.0999999999999996</c:v>
                </c:pt>
                <c:pt idx="98">
                  <c:v>5.2</c:v>
                </c:pt>
                <c:pt idx="99">
                  <c:v>5.2</c:v>
                </c:pt>
                <c:pt idx="100">
                  <c:v>5.3</c:v>
                </c:pt>
                <c:pt idx="101">
                  <c:v>5.3</c:v>
                </c:pt>
                <c:pt idx="102">
                  <c:v>5.4</c:v>
                </c:pt>
                <c:pt idx="103">
                  <c:v>5.4</c:v>
                </c:pt>
                <c:pt idx="104">
                  <c:v>5.5</c:v>
                </c:pt>
                <c:pt idx="105">
                  <c:v>5.5</c:v>
                </c:pt>
                <c:pt idx="106">
                  <c:v>5.6</c:v>
                </c:pt>
                <c:pt idx="107">
                  <c:v>5.6</c:v>
                </c:pt>
                <c:pt idx="108">
                  <c:v>5.7</c:v>
                </c:pt>
                <c:pt idx="109">
                  <c:v>5.7</c:v>
                </c:pt>
                <c:pt idx="110">
                  <c:v>5.8</c:v>
                </c:pt>
                <c:pt idx="111">
                  <c:v>5.8</c:v>
                </c:pt>
                <c:pt idx="112">
                  <c:v>5.9</c:v>
                </c:pt>
                <c:pt idx="113">
                  <c:v>5.9</c:v>
                </c:pt>
                <c:pt idx="114">
                  <c:v>6</c:v>
                </c:pt>
                <c:pt idx="115">
                  <c:v>6</c:v>
                </c:pt>
                <c:pt idx="116">
                  <c:v>6.1</c:v>
                </c:pt>
                <c:pt idx="117">
                  <c:v>6.1</c:v>
                </c:pt>
                <c:pt idx="118">
                  <c:v>6.2</c:v>
                </c:pt>
                <c:pt idx="119">
                  <c:v>6.2</c:v>
                </c:pt>
                <c:pt idx="120">
                  <c:v>6.3</c:v>
                </c:pt>
                <c:pt idx="121">
                  <c:v>6.3</c:v>
                </c:pt>
                <c:pt idx="122">
                  <c:v>6.4</c:v>
                </c:pt>
                <c:pt idx="123">
                  <c:v>6.4</c:v>
                </c:pt>
                <c:pt idx="124">
                  <c:v>6.5</c:v>
                </c:pt>
                <c:pt idx="125">
                  <c:v>6.5</c:v>
                </c:pt>
                <c:pt idx="126">
                  <c:v>6.6</c:v>
                </c:pt>
                <c:pt idx="127">
                  <c:v>6.6</c:v>
                </c:pt>
                <c:pt idx="128">
                  <c:v>6.7</c:v>
                </c:pt>
                <c:pt idx="129">
                  <c:v>6.7</c:v>
                </c:pt>
                <c:pt idx="130">
                  <c:v>6.8</c:v>
                </c:pt>
                <c:pt idx="131">
                  <c:v>6.8</c:v>
                </c:pt>
                <c:pt idx="132">
                  <c:v>6.9</c:v>
                </c:pt>
                <c:pt idx="133">
                  <c:v>6.9</c:v>
                </c:pt>
                <c:pt idx="134">
                  <c:v>7</c:v>
                </c:pt>
                <c:pt idx="135">
                  <c:v>7</c:v>
                </c:pt>
                <c:pt idx="136">
                  <c:v>7.1</c:v>
                </c:pt>
                <c:pt idx="137">
                  <c:v>7.1</c:v>
                </c:pt>
                <c:pt idx="138">
                  <c:v>7.2</c:v>
                </c:pt>
                <c:pt idx="139">
                  <c:v>7.2</c:v>
                </c:pt>
                <c:pt idx="140">
                  <c:v>7.3</c:v>
                </c:pt>
                <c:pt idx="141">
                  <c:v>7.3</c:v>
                </c:pt>
                <c:pt idx="142">
                  <c:v>7.4</c:v>
                </c:pt>
                <c:pt idx="143">
                  <c:v>7.4</c:v>
                </c:pt>
                <c:pt idx="144">
                  <c:v>7.5</c:v>
                </c:pt>
                <c:pt idx="145">
                  <c:v>7.5</c:v>
                </c:pt>
                <c:pt idx="146">
                  <c:v>7.6</c:v>
                </c:pt>
                <c:pt idx="147">
                  <c:v>7.6</c:v>
                </c:pt>
                <c:pt idx="148">
                  <c:v>7.7</c:v>
                </c:pt>
                <c:pt idx="149">
                  <c:v>7.7</c:v>
                </c:pt>
                <c:pt idx="150">
                  <c:v>7.8</c:v>
                </c:pt>
                <c:pt idx="151">
                  <c:v>7.8</c:v>
                </c:pt>
                <c:pt idx="152">
                  <c:v>7.9</c:v>
                </c:pt>
                <c:pt idx="153">
                  <c:v>7.9</c:v>
                </c:pt>
                <c:pt idx="154">
                  <c:v>8</c:v>
                </c:pt>
                <c:pt idx="155">
                  <c:v>8</c:v>
                </c:pt>
                <c:pt idx="156">
                  <c:v>8.1</c:v>
                </c:pt>
                <c:pt idx="157">
                  <c:v>8.1</c:v>
                </c:pt>
                <c:pt idx="158">
                  <c:v>8.1999999999999993</c:v>
                </c:pt>
                <c:pt idx="159">
                  <c:v>8.1999999999999993</c:v>
                </c:pt>
                <c:pt idx="160">
                  <c:v>8.3000000000000007</c:v>
                </c:pt>
                <c:pt idx="161">
                  <c:v>8.3000000000000007</c:v>
                </c:pt>
                <c:pt idx="162">
                  <c:v>8.4</c:v>
                </c:pt>
                <c:pt idx="163">
                  <c:v>8.4</c:v>
                </c:pt>
                <c:pt idx="164">
                  <c:v>8.5</c:v>
                </c:pt>
                <c:pt idx="165">
                  <c:v>8.5</c:v>
                </c:pt>
              </c:numCache>
            </c:numRef>
          </c:xVal>
          <c:yVal>
            <c:numRef>
              <c:f>MCSim7!$AM$2:$AM$167</c:f>
              <c:numCache>
                <c:formatCode>General</c:formatCode>
                <c:ptCount val="166"/>
                <c:pt idx="0">
                  <c:v>0</c:v>
                </c:pt>
                <c:pt idx="1">
                  <c:v>34</c:v>
                </c:pt>
                <c:pt idx="2">
                  <c:v>34</c:v>
                </c:pt>
                <c:pt idx="3">
                  <c:v>645</c:v>
                </c:pt>
                <c:pt idx="4">
                  <c:v>645</c:v>
                </c:pt>
                <c:pt idx="5">
                  <c:v>314</c:v>
                </c:pt>
                <c:pt idx="6">
                  <c:v>314</c:v>
                </c:pt>
                <c:pt idx="7">
                  <c:v>7</c:v>
                </c:pt>
                <c:pt idx="8">
                  <c:v>7</c:v>
                </c:pt>
                <c:pt idx="9">
                  <c:v>0</c:v>
                </c:pt>
              </c:numCache>
            </c:numRef>
          </c:yVal>
          <c:smooth val="0"/>
          <c:extLst>
            <c:ext xmlns:c16="http://schemas.microsoft.com/office/drawing/2014/chart" uri="{C3380CC4-5D6E-409C-BE32-E72D297353CC}">
              <c16:uniqueId val="{00000001-39DC-4B85-87A6-7EF8CDF0F916}"/>
            </c:ext>
          </c:extLst>
        </c:ser>
        <c:dLbls>
          <c:showLegendKey val="0"/>
          <c:showVal val="0"/>
          <c:showCatName val="0"/>
          <c:showSerName val="0"/>
          <c:showPercent val="0"/>
          <c:showBubbleSize val="0"/>
        </c:dLbls>
        <c:axId val="1055068832"/>
        <c:axId val="1055075904"/>
      </c:scatterChart>
      <c:valAx>
        <c:axId val="1055068832"/>
        <c:scaling>
          <c:orientation val="minMax"/>
          <c:max val="8.5"/>
          <c:min val="0.30000000000000027"/>
        </c:scaling>
        <c:delete val="0"/>
        <c:axPos val="b"/>
        <c:numFmt formatCode="General" sourceLinked="1"/>
        <c:majorTickMark val="out"/>
        <c:minorTickMark val="none"/>
        <c:tickLblPos val="nextTo"/>
        <c:crossAx val="1055075904"/>
        <c:crosses val="autoZero"/>
        <c:crossBetween val="midCat"/>
      </c:valAx>
      <c:valAx>
        <c:axId val="1055075904"/>
        <c:scaling>
          <c:orientation val="minMax"/>
        </c:scaling>
        <c:delete val="0"/>
        <c:axPos val="l"/>
        <c:numFmt formatCode="General" sourceLinked="1"/>
        <c:majorTickMark val="none"/>
        <c:minorTickMark val="none"/>
        <c:tickLblPos val="none"/>
        <c:spPr>
          <a:ln w="25400">
            <a:noFill/>
          </a:ln>
        </c:spPr>
        <c:crossAx val="105506883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 of $F$1 And LiveOLSOrthoEIV!$O$16</a:t>
            </a:r>
          </a:p>
        </c:rich>
      </c:tx>
      <c:overlay val="0"/>
    </c:title>
    <c:autoTitleDeleted val="0"/>
    <c:plotArea>
      <c:layout/>
      <c:scatterChart>
        <c:scatterStyle val="lineMarker"/>
        <c:varyColors val="0"/>
        <c:ser>
          <c:idx val="0"/>
          <c:order val="0"/>
          <c:tx>
            <c:strRef>
              <c:f>MCSim8!$AL$1</c:f>
              <c:strCache>
                <c:ptCount val="1"/>
                <c:pt idx="0">
                  <c:v>$F$1</c:v>
                </c:pt>
              </c:strCache>
            </c:strRef>
          </c:tx>
          <c:spPr>
            <a:ln w="12700">
              <a:solidFill>
                <a:srgbClr val="FF00FF"/>
              </a:solidFill>
              <a:prstDash val="solid"/>
            </a:ln>
          </c:spPr>
          <c:marker>
            <c:symbol val="none"/>
          </c:marker>
          <c:xVal>
            <c:numRef>
              <c:f>MCSim8!$AK$2:$AK$149</c:f>
              <c:numCache>
                <c:formatCode>General</c:formatCode>
                <c:ptCount val="148"/>
                <c:pt idx="0">
                  <c:v>5.6</c:v>
                </c:pt>
                <c:pt idx="1">
                  <c:v>5.6</c:v>
                </c:pt>
                <c:pt idx="2">
                  <c:v>5.7</c:v>
                </c:pt>
                <c:pt idx="3">
                  <c:v>5.7</c:v>
                </c:pt>
                <c:pt idx="4">
                  <c:v>5.8</c:v>
                </c:pt>
                <c:pt idx="5">
                  <c:v>5.8</c:v>
                </c:pt>
                <c:pt idx="6">
                  <c:v>5.9</c:v>
                </c:pt>
                <c:pt idx="7">
                  <c:v>5.9</c:v>
                </c:pt>
                <c:pt idx="8">
                  <c:v>6</c:v>
                </c:pt>
                <c:pt idx="9">
                  <c:v>6</c:v>
                </c:pt>
                <c:pt idx="10">
                  <c:v>6.1</c:v>
                </c:pt>
                <c:pt idx="11">
                  <c:v>6.1</c:v>
                </c:pt>
                <c:pt idx="12">
                  <c:v>6.2</c:v>
                </c:pt>
                <c:pt idx="13">
                  <c:v>6.2</c:v>
                </c:pt>
                <c:pt idx="14">
                  <c:v>6.3</c:v>
                </c:pt>
                <c:pt idx="15">
                  <c:v>6.3</c:v>
                </c:pt>
                <c:pt idx="16">
                  <c:v>6.4</c:v>
                </c:pt>
                <c:pt idx="17">
                  <c:v>6.4</c:v>
                </c:pt>
                <c:pt idx="18">
                  <c:v>6.5</c:v>
                </c:pt>
                <c:pt idx="19">
                  <c:v>6.5</c:v>
                </c:pt>
                <c:pt idx="20">
                  <c:v>6.6</c:v>
                </c:pt>
                <c:pt idx="21">
                  <c:v>6.6</c:v>
                </c:pt>
                <c:pt idx="22">
                  <c:v>6.7</c:v>
                </c:pt>
                <c:pt idx="23">
                  <c:v>6.7</c:v>
                </c:pt>
                <c:pt idx="24">
                  <c:v>6.8</c:v>
                </c:pt>
                <c:pt idx="25">
                  <c:v>6.8</c:v>
                </c:pt>
                <c:pt idx="26">
                  <c:v>6.9</c:v>
                </c:pt>
                <c:pt idx="27">
                  <c:v>6.9</c:v>
                </c:pt>
                <c:pt idx="28">
                  <c:v>7</c:v>
                </c:pt>
                <c:pt idx="29">
                  <c:v>7</c:v>
                </c:pt>
                <c:pt idx="30">
                  <c:v>7.1</c:v>
                </c:pt>
                <c:pt idx="31">
                  <c:v>7.1</c:v>
                </c:pt>
                <c:pt idx="32">
                  <c:v>7.2</c:v>
                </c:pt>
                <c:pt idx="33">
                  <c:v>7.2</c:v>
                </c:pt>
                <c:pt idx="34">
                  <c:v>7.3</c:v>
                </c:pt>
                <c:pt idx="35">
                  <c:v>7.3</c:v>
                </c:pt>
                <c:pt idx="36">
                  <c:v>7.4</c:v>
                </c:pt>
                <c:pt idx="37">
                  <c:v>7.4</c:v>
                </c:pt>
                <c:pt idx="38">
                  <c:v>7.5</c:v>
                </c:pt>
                <c:pt idx="39">
                  <c:v>7.5</c:v>
                </c:pt>
                <c:pt idx="40">
                  <c:v>7.6</c:v>
                </c:pt>
                <c:pt idx="41">
                  <c:v>7.6</c:v>
                </c:pt>
                <c:pt idx="42">
                  <c:v>7.7</c:v>
                </c:pt>
                <c:pt idx="43">
                  <c:v>7.7</c:v>
                </c:pt>
                <c:pt idx="44">
                  <c:v>7.8</c:v>
                </c:pt>
                <c:pt idx="45">
                  <c:v>7.8</c:v>
                </c:pt>
                <c:pt idx="46">
                  <c:v>7.9</c:v>
                </c:pt>
                <c:pt idx="47">
                  <c:v>7.9</c:v>
                </c:pt>
                <c:pt idx="48">
                  <c:v>8</c:v>
                </c:pt>
                <c:pt idx="49">
                  <c:v>8</c:v>
                </c:pt>
                <c:pt idx="50">
                  <c:v>8.1</c:v>
                </c:pt>
                <c:pt idx="51">
                  <c:v>8.1</c:v>
                </c:pt>
                <c:pt idx="52">
                  <c:v>8.1999999999999993</c:v>
                </c:pt>
                <c:pt idx="53">
                  <c:v>8.1999999999999993</c:v>
                </c:pt>
                <c:pt idx="54">
                  <c:v>8.3000000000000007</c:v>
                </c:pt>
                <c:pt idx="55">
                  <c:v>8.3000000000000007</c:v>
                </c:pt>
                <c:pt idx="56">
                  <c:v>8.4</c:v>
                </c:pt>
                <c:pt idx="57">
                  <c:v>8.4</c:v>
                </c:pt>
                <c:pt idx="58">
                  <c:v>8.5</c:v>
                </c:pt>
                <c:pt idx="59">
                  <c:v>8.5</c:v>
                </c:pt>
                <c:pt idx="60">
                  <c:v>8.6</c:v>
                </c:pt>
                <c:pt idx="61">
                  <c:v>8.6</c:v>
                </c:pt>
                <c:pt idx="62">
                  <c:v>8.6999999999999993</c:v>
                </c:pt>
                <c:pt idx="63">
                  <c:v>8.6999999999999993</c:v>
                </c:pt>
                <c:pt idx="64">
                  <c:v>8.8000000000000007</c:v>
                </c:pt>
                <c:pt idx="65">
                  <c:v>8.8000000000000007</c:v>
                </c:pt>
                <c:pt idx="66">
                  <c:v>8.9</c:v>
                </c:pt>
                <c:pt idx="67">
                  <c:v>8.9</c:v>
                </c:pt>
                <c:pt idx="68">
                  <c:v>9</c:v>
                </c:pt>
                <c:pt idx="69">
                  <c:v>9</c:v>
                </c:pt>
                <c:pt idx="70">
                  <c:v>9.1</c:v>
                </c:pt>
                <c:pt idx="71">
                  <c:v>9.1</c:v>
                </c:pt>
                <c:pt idx="72">
                  <c:v>9.1999999999999993</c:v>
                </c:pt>
                <c:pt idx="73">
                  <c:v>9.1999999999999993</c:v>
                </c:pt>
                <c:pt idx="74">
                  <c:v>9.3000000000000007</c:v>
                </c:pt>
                <c:pt idx="75">
                  <c:v>9.3000000000000007</c:v>
                </c:pt>
                <c:pt idx="76">
                  <c:v>9.4</c:v>
                </c:pt>
                <c:pt idx="77">
                  <c:v>9.4</c:v>
                </c:pt>
                <c:pt idx="78">
                  <c:v>9.5</c:v>
                </c:pt>
                <c:pt idx="79">
                  <c:v>9.5</c:v>
                </c:pt>
                <c:pt idx="80">
                  <c:v>9.6</c:v>
                </c:pt>
                <c:pt idx="81">
                  <c:v>9.6</c:v>
                </c:pt>
                <c:pt idx="82">
                  <c:v>9.6999999999999993</c:v>
                </c:pt>
                <c:pt idx="83">
                  <c:v>9.6999999999999993</c:v>
                </c:pt>
                <c:pt idx="84">
                  <c:v>9.8000000000000007</c:v>
                </c:pt>
                <c:pt idx="85">
                  <c:v>9.8000000000000007</c:v>
                </c:pt>
                <c:pt idx="86">
                  <c:v>9.9</c:v>
                </c:pt>
                <c:pt idx="87">
                  <c:v>9.9</c:v>
                </c:pt>
                <c:pt idx="88">
                  <c:v>10</c:v>
                </c:pt>
                <c:pt idx="89">
                  <c:v>10</c:v>
                </c:pt>
                <c:pt idx="90">
                  <c:v>10.1</c:v>
                </c:pt>
                <c:pt idx="91">
                  <c:v>10.1</c:v>
                </c:pt>
                <c:pt idx="92">
                  <c:v>10.199999999999999</c:v>
                </c:pt>
                <c:pt idx="93">
                  <c:v>10.199999999999999</c:v>
                </c:pt>
                <c:pt idx="94">
                  <c:v>10.3</c:v>
                </c:pt>
                <c:pt idx="95">
                  <c:v>10.3</c:v>
                </c:pt>
                <c:pt idx="96">
                  <c:v>10.4</c:v>
                </c:pt>
                <c:pt idx="97">
                  <c:v>10.4</c:v>
                </c:pt>
                <c:pt idx="98">
                  <c:v>10.5</c:v>
                </c:pt>
                <c:pt idx="99">
                  <c:v>10.5</c:v>
                </c:pt>
                <c:pt idx="100">
                  <c:v>10.6</c:v>
                </c:pt>
                <c:pt idx="101">
                  <c:v>10.6</c:v>
                </c:pt>
                <c:pt idx="102">
                  <c:v>10.7</c:v>
                </c:pt>
                <c:pt idx="103">
                  <c:v>10.7</c:v>
                </c:pt>
                <c:pt idx="104">
                  <c:v>10.8</c:v>
                </c:pt>
                <c:pt idx="105">
                  <c:v>10.8</c:v>
                </c:pt>
                <c:pt idx="106">
                  <c:v>10.9</c:v>
                </c:pt>
                <c:pt idx="107">
                  <c:v>10.9</c:v>
                </c:pt>
                <c:pt idx="108">
                  <c:v>11</c:v>
                </c:pt>
                <c:pt idx="109">
                  <c:v>11</c:v>
                </c:pt>
                <c:pt idx="110">
                  <c:v>11.1</c:v>
                </c:pt>
                <c:pt idx="111">
                  <c:v>11.1</c:v>
                </c:pt>
                <c:pt idx="112">
                  <c:v>11.2</c:v>
                </c:pt>
                <c:pt idx="113">
                  <c:v>11.2</c:v>
                </c:pt>
                <c:pt idx="114">
                  <c:v>11.3</c:v>
                </c:pt>
                <c:pt idx="115">
                  <c:v>11.3</c:v>
                </c:pt>
                <c:pt idx="116">
                  <c:v>11.4</c:v>
                </c:pt>
                <c:pt idx="117">
                  <c:v>11.4</c:v>
                </c:pt>
                <c:pt idx="118">
                  <c:v>11.5</c:v>
                </c:pt>
                <c:pt idx="119">
                  <c:v>11.5</c:v>
                </c:pt>
                <c:pt idx="120">
                  <c:v>11.6</c:v>
                </c:pt>
                <c:pt idx="121">
                  <c:v>11.6</c:v>
                </c:pt>
                <c:pt idx="122">
                  <c:v>11.7</c:v>
                </c:pt>
                <c:pt idx="123">
                  <c:v>11.7</c:v>
                </c:pt>
                <c:pt idx="124">
                  <c:v>11.8</c:v>
                </c:pt>
                <c:pt idx="125">
                  <c:v>11.8</c:v>
                </c:pt>
                <c:pt idx="126">
                  <c:v>11.9</c:v>
                </c:pt>
                <c:pt idx="127">
                  <c:v>11.9</c:v>
                </c:pt>
                <c:pt idx="128">
                  <c:v>12</c:v>
                </c:pt>
                <c:pt idx="129">
                  <c:v>12</c:v>
                </c:pt>
                <c:pt idx="130">
                  <c:v>12.1</c:v>
                </c:pt>
                <c:pt idx="131">
                  <c:v>12.1</c:v>
                </c:pt>
                <c:pt idx="132">
                  <c:v>12.2</c:v>
                </c:pt>
                <c:pt idx="133">
                  <c:v>12.2</c:v>
                </c:pt>
                <c:pt idx="134">
                  <c:v>12.3</c:v>
                </c:pt>
                <c:pt idx="135">
                  <c:v>12.3</c:v>
                </c:pt>
                <c:pt idx="136">
                  <c:v>12.4</c:v>
                </c:pt>
                <c:pt idx="137">
                  <c:v>12.4</c:v>
                </c:pt>
                <c:pt idx="138">
                  <c:v>12.5</c:v>
                </c:pt>
                <c:pt idx="139">
                  <c:v>12.5</c:v>
                </c:pt>
                <c:pt idx="140">
                  <c:v>12.6</c:v>
                </c:pt>
                <c:pt idx="141">
                  <c:v>12.6</c:v>
                </c:pt>
                <c:pt idx="142">
                  <c:v>12.7</c:v>
                </c:pt>
                <c:pt idx="143">
                  <c:v>12.7</c:v>
                </c:pt>
                <c:pt idx="144">
                  <c:v>12.8</c:v>
                </c:pt>
                <c:pt idx="145">
                  <c:v>12.8</c:v>
                </c:pt>
                <c:pt idx="146">
                  <c:v>12.9</c:v>
                </c:pt>
                <c:pt idx="147">
                  <c:v>12.9</c:v>
                </c:pt>
              </c:numCache>
            </c:numRef>
          </c:xVal>
          <c:yVal>
            <c:numRef>
              <c:f>MCSim8!$AL$2:$AL$149</c:f>
              <c:numCache>
                <c:formatCode>General</c:formatCode>
                <c:ptCount val="148"/>
                <c:pt idx="0">
                  <c:v>0</c:v>
                </c:pt>
                <c:pt idx="1">
                  <c:v>1</c:v>
                </c:pt>
                <c:pt idx="2">
                  <c:v>1</c:v>
                </c:pt>
                <c:pt idx="3">
                  <c:v>1</c:v>
                </c:pt>
                <c:pt idx="4">
                  <c:v>1</c:v>
                </c:pt>
                <c:pt idx="5">
                  <c:v>4</c:v>
                </c:pt>
                <c:pt idx="6">
                  <c:v>4</c:v>
                </c:pt>
                <c:pt idx="7">
                  <c:v>5</c:v>
                </c:pt>
                <c:pt idx="8">
                  <c:v>5</c:v>
                </c:pt>
                <c:pt idx="9">
                  <c:v>16</c:v>
                </c:pt>
                <c:pt idx="10">
                  <c:v>16</c:v>
                </c:pt>
                <c:pt idx="11">
                  <c:v>29</c:v>
                </c:pt>
                <c:pt idx="12">
                  <c:v>29</c:v>
                </c:pt>
                <c:pt idx="13">
                  <c:v>61</c:v>
                </c:pt>
                <c:pt idx="14">
                  <c:v>61</c:v>
                </c:pt>
                <c:pt idx="15">
                  <c:v>75</c:v>
                </c:pt>
                <c:pt idx="16">
                  <c:v>75</c:v>
                </c:pt>
                <c:pt idx="17">
                  <c:v>88</c:v>
                </c:pt>
                <c:pt idx="18">
                  <c:v>88</c:v>
                </c:pt>
                <c:pt idx="19">
                  <c:v>104</c:v>
                </c:pt>
                <c:pt idx="20">
                  <c:v>104</c:v>
                </c:pt>
                <c:pt idx="21">
                  <c:v>111</c:v>
                </c:pt>
                <c:pt idx="22">
                  <c:v>111</c:v>
                </c:pt>
                <c:pt idx="23">
                  <c:v>106</c:v>
                </c:pt>
                <c:pt idx="24">
                  <c:v>106</c:v>
                </c:pt>
                <c:pt idx="25">
                  <c:v>134</c:v>
                </c:pt>
                <c:pt idx="26">
                  <c:v>134</c:v>
                </c:pt>
                <c:pt idx="27">
                  <c:v>73</c:v>
                </c:pt>
                <c:pt idx="28">
                  <c:v>73</c:v>
                </c:pt>
                <c:pt idx="29">
                  <c:v>65</c:v>
                </c:pt>
                <c:pt idx="30">
                  <c:v>65</c:v>
                </c:pt>
                <c:pt idx="31">
                  <c:v>51</c:v>
                </c:pt>
                <c:pt idx="32">
                  <c:v>51</c:v>
                </c:pt>
                <c:pt idx="33">
                  <c:v>29</c:v>
                </c:pt>
                <c:pt idx="34">
                  <c:v>29</c:v>
                </c:pt>
                <c:pt idx="35">
                  <c:v>25</c:v>
                </c:pt>
                <c:pt idx="36">
                  <c:v>25</c:v>
                </c:pt>
                <c:pt idx="37">
                  <c:v>8</c:v>
                </c:pt>
                <c:pt idx="38">
                  <c:v>8</c:v>
                </c:pt>
                <c:pt idx="39">
                  <c:v>8</c:v>
                </c:pt>
                <c:pt idx="40">
                  <c:v>8</c:v>
                </c:pt>
                <c:pt idx="41">
                  <c:v>1</c:v>
                </c:pt>
                <c:pt idx="42">
                  <c:v>1</c:v>
                </c:pt>
                <c:pt idx="43">
                  <c:v>1</c:v>
                </c:pt>
                <c:pt idx="44">
                  <c:v>1</c:v>
                </c:pt>
                <c:pt idx="45">
                  <c:v>3</c:v>
                </c:pt>
                <c:pt idx="46">
                  <c:v>3</c:v>
                </c:pt>
                <c:pt idx="47">
                  <c:v>0</c:v>
                </c:pt>
                <c:pt idx="48">
                  <c:v>0</c:v>
                </c:pt>
                <c:pt idx="49">
                  <c:v>1</c:v>
                </c:pt>
                <c:pt idx="50">
                  <c:v>1</c:v>
                </c:pt>
                <c:pt idx="51">
                  <c:v>0</c:v>
                </c:pt>
              </c:numCache>
            </c:numRef>
          </c:yVal>
          <c:smooth val="0"/>
          <c:extLst>
            <c:ext xmlns:c16="http://schemas.microsoft.com/office/drawing/2014/chart" uri="{C3380CC4-5D6E-409C-BE32-E72D297353CC}">
              <c16:uniqueId val="{00000000-10E9-4600-8F27-641280CD7955}"/>
            </c:ext>
          </c:extLst>
        </c:ser>
        <c:ser>
          <c:idx val="1"/>
          <c:order val="1"/>
          <c:tx>
            <c:strRef>
              <c:f>MCSim8!$AM$1</c:f>
              <c:strCache>
                <c:ptCount val="1"/>
                <c:pt idx="0">
                  <c:v>LiveOLSOrthoEIV!$O$16</c:v>
                </c:pt>
              </c:strCache>
            </c:strRef>
          </c:tx>
          <c:spPr>
            <a:ln w="12700">
              <a:solidFill>
                <a:srgbClr val="0000FF"/>
              </a:solidFill>
              <a:prstDash val="solid"/>
            </a:ln>
          </c:spPr>
          <c:marker>
            <c:symbol val="none"/>
          </c:marker>
          <c:xVal>
            <c:numRef>
              <c:f>MCSim8!$AK$2:$AK$149</c:f>
              <c:numCache>
                <c:formatCode>General</c:formatCode>
                <c:ptCount val="148"/>
                <c:pt idx="0">
                  <c:v>5.6</c:v>
                </c:pt>
                <c:pt idx="1">
                  <c:v>5.6</c:v>
                </c:pt>
                <c:pt idx="2">
                  <c:v>5.7</c:v>
                </c:pt>
                <c:pt idx="3">
                  <c:v>5.7</c:v>
                </c:pt>
                <c:pt idx="4">
                  <c:v>5.8</c:v>
                </c:pt>
                <c:pt idx="5">
                  <c:v>5.8</c:v>
                </c:pt>
                <c:pt idx="6">
                  <c:v>5.9</c:v>
                </c:pt>
                <c:pt idx="7">
                  <c:v>5.9</c:v>
                </c:pt>
                <c:pt idx="8">
                  <c:v>6</c:v>
                </c:pt>
                <c:pt idx="9">
                  <c:v>6</c:v>
                </c:pt>
                <c:pt idx="10">
                  <c:v>6.1</c:v>
                </c:pt>
                <c:pt idx="11">
                  <c:v>6.1</c:v>
                </c:pt>
                <c:pt idx="12">
                  <c:v>6.2</c:v>
                </c:pt>
                <c:pt idx="13">
                  <c:v>6.2</c:v>
                </c:pt>
                <c:pt idx="14">
                  <c:v>6.3</c:v>
                </c:pt>
                <c:pt idx="15">
                  <c:v>6.3</c:v>
                </c:pt>
                <c:pt idx="16">
                  <c:v>6.4</c:v>
                </c:pt>
                <c:pt idx="17">
                  <c:v>6.4</c:v>
                </c:pt>
                <c:pt idx="18">
                  <c:v>6.5</c:v>
                </c:pt>
                <c:pt idx="19">
                  <c:v>6.5</c:v>
                </c:pt>
                <c:pt idx="20">
                  <c:v>6.6</c:v>
                </c:pt>
                <c:pt idx="21">
                  <c:v>6.6</c:v>
                </c:pt>
                <c:pt idx="22">
                  <c:v>6.7</c:v>
                </c:pt>
                <c:pt idx="23">
                  <c:v>6.7</c:v>
                </c:pt>
                <c:pt idx="24">
                  <c:v>6.8</c:v>
                </c:pt>
                <c:pt idx="25">
                  <c:v>6.8</c:v>
                </c:pt>
                <c:pt idx="26">
                  <c:v>6.9</c:v>
                </c:pt>
                <c:pt idx="27">
                  <c:v>6.9</c:v>
                </c:pt>
                <c:pt idx="28">
                  <c:v>7</c:v>
                </c:pt>
                <c:pt idx="29">
                  <c:v>7</c:v>
                </c:pt>
                <c:pt idx="30">
                  <c:v>7.1</c:v>
                </c:pt>
                <c:pt idx="31">
                  <c:v>7.1</c:v>
                </c:pt>
                <c:pt idx="32">
                  <c:v>7.2</c:v>
                </c:pt>
                <c:pt idx="33">
                  <c:v>7.2</c:v>
                </c:pt>
                <c:pt idx="34">
                  <c:v>7.3</c:v>
                </c:pt>
                <c:pt idx="35">
                  <c:v>7.3</c:v>
                </c:pt>
                <c:pt idx="36">
                  <c:v>7.4</c:v>
                </c:pt>
                <c:pt idx="37">
                  <c:v>7.4</c:v>
                </c:pt>
                <c:pt idx="38">
                  <c:v>7.5</c:v>
                </c:pt>
                <c:pt idx="39">
                  <c:v>7.5</c:v>
                </c:pt>
                <c:pt idx="40">
                  <c:v>7.6</c:v>
                </c:pt>
                <c:pt idx="41">
                  <c:v>7.6</c:v>
                </c:pt>
                <c:pt idx="42">
                  <c:v>7.7</c:v>
                </c:pt>
                <c:pt idx="43">
                  <c:v>7.7</c:v>
                </c:pt>
                <c:pt idx="44">
                  <c:v>7.8</c:v>
                </c:pt>
                <c:pt idx="45">
                  <c:v>7.8</c:v>
                </c:pt>
                <c:pt idx="46">
                  <c:v>7.9</c:v>
                </c:pt>
                <c:pt idx="47">
                  <c:v>7.9</c:v>
                </c:pt>
                <c:pt idx="48">
                  <c:v>8</c:v>
                </c:pt>
                <c:pt idx="49">
                  <c:v>8</c:v>
                </c:pt>
                <c:pt idx="50">
                  <c:v>8.1</c:v>
                </c:pt>
                <c:pt idx="51">
                  <c:v>8.1</c:v>
                </c:pt>
                <c:pt idx="52">
                  <c:v>8.1999999999999993</c:v>
                </c:pt>
                <c:pt idx="53">
                  <c:v>8.1999999999999993</c:v>
                </c:pt>
                <c:pt idx="54">
                  <c:v>8.3000000000000007</c:v>
                </c:pt>
                <c:pt idx="55">
                  <c:v>8.3000000000000007</c:v>
                </c:pt>
                <c:pt idx="56">
                  <c:v>8.4</c:v>
                </c:pt>
                <c:pt idx="57">
                  <c:v>8.4</c:v>
                </c:pt>
                <c:pt idx="58">
                  <c:v>8.5</c:v>
                </c:pt>
                <c:pt idx="59">
                  <c:v>8.5</c:v>
                </c:pt>
                <c:pt idx="60">
                  <c:v>8.6</c:v>
                </c:pt>
                <c:pt idx="61">
                  <c:v>8.6</c:v>
                </c:pt>
                <c:pt idx="62">
                  <c:v>8.6999999999999993</c:v>
                </c:pt>
                <c:pt idx="63">
                  <c:v>8.6999999999999993</c:v>
                </c:pt>
                <c:pt idx="64">
                  <c:v>8.8000000000000007</c:v>
                </c:pt>
                <c:pt idx="65">
                  <c:v>8.8000000000000007</c:v>
                </c:pt>
                <c:pt idx="66">
                  <c:v>8.9</c:v>
                </c:pt>
                <c:pt idx="67">
                  <c:v>8.9</c:v>
                </c:pt>
                <c:pt idx="68">
                  <c:v>9</c:v>
                </c:pt>
                <c:pt idx="69">
                  <c:v>9</c:v>
                </c:pt>
                <c:pt idx="70">
                  <c:v>9.1</c:v>
                </c:pt>
                <c:pt idx="71">
                  <c:v>9.1</c:v>
                </c:pt>
                <c:pt idx="72">
                  <c:v>9.1999999999999993</c:v>
                </c:pt>
                <c:pt idx="73">
                  <c:v>9.1999999999999993</c:v>
                </c:pt>
                <c:pt idx="74">
                  <c:v>9.3000000000000007</c:v>
                </c:pt>
                <c:pt idx="75">
                  <c:v>9.3000000000000007</c:v>
                </c:pt>
                <c:pt idx="76">
                  <c:v>9.4</c:v>
                </c:pt>
                <c:pt idx="77">
                  <c:v>9.4</c:v>
                </c:pt>
                <c:pt idx="78">
                  <c:v>9.5</c:v>
                </c:pt>
                <c:pt idx="79">
                  <c:v>9.5</c:v>
                </c:pt>
                <c:pt idx="80">
                  <c:v>9.6</c:v>
                </c:pt>
                <c:pt idx="81">
                  <c:v>9.6</c:v>
                </c:pt>
                <c:pt idx="82">
                  <c:v>9.6999999999999993</c:v>
                </c:pt>
                <c:pt idx="83">
                  <c:v>9.6999999999999993</c:v>
                </c:pt>
                <c:pt idx="84">
                  <c:v>9.8000000000000007</c:v>
                </c:pt>
                <c:pt idx="85">
                  <c:v>9.8000000000000007</c:v>
                </c:pt>
                <c:pt idx="86">
                  <c:v>9.9</c:v>
                </c:pt>
                <c:pt idx="87">
                  <c:v>9.9</c:v>
                </c:pt>
                <c:pt idx="88">
                  <c:v>10</c:v>
                </c:pt>
                <c:pt idx="89">
                  <c:v>10</c:v>
                </c:pt>
                <c:pt idx="90">
                  <c:v>10.1</c:v>
                </c:pt>
                <c:pt idx="91">
                  <c:v>10.1</c:v>
                </c:pt>
                <c:pt idx="92">
                  <c:v>10.199999999999999</c:v>
                </c:pt>
                <c:pt idx="93">
                  <c:v>10.199999999999999</c:v>
                </c:pt>
                <c:pt idx="94">
                  <c:v>10.3</c:v>
                </c:pt>
                <c:pt idx="95">
                  <c:v>10.3</c:v>
                </c:pt>
                <c:pt idx="96">
                  <c:v>10.4</c:v>
                </c:pt>
                <c:pt idx="97">
                  <c:v>10.4</c:v>
                </c:pt>
                <c:pt idx="98">
                  <c:v>10.5</c:v>
                </c:pt>
                <c:pt idx="99">
                  <c:v>10.5</c:v>
                </c:pt>
                <c:pt idx="100">
                  <c:v>10.6</c:v>
                </c:pt>
                <c:pt idx="101">
                  <c:v>10.6</c:v>
                </c:pt>
                <c:pt idx="102">
                  <c:v>10.7</c:v>
                </c:pt>
                <c:pt idx="103">
                  <c:v>10.7</c:v>
                </c:pt>
                <c:pt idx="104">
                  <c:v>10.8</c:v>
                </c:pt>
                <c:pt idx="105">
                  <c:v>10.8</c:v>
                </c:pt>
                <c:pt idx="106">
                  <c:v>10.9</c:v>
                </c:pt>
                <c:pt idx="107">
                  <c:v>10.9</c:v>
                </c:pt>
                <c:pt idx="108">
                  <c:v>11</c:v>
                </c:pt>
                <c:pt idx="109">
                  <c:v>11</c:v>
                </c:pt>
                <c:pt idx="110">
                  <c:v>11.1</c:v>
                </c:pt>
                <c:pt idx="111">
                  <c:v>11.1</c:v>
                </c:pt>
                <c:pt idx="112">
                  <c:v>11.2</c:v>
                </c:pt>
                <c:pt idx="113">
                  <c:v>11.2</c:v>
                </c:pt>
                <c:pt idx="114">
                  <c:v>11.3</c:v>
                </c:pt>
                <c:pt idx="115">
                  <c:v>11.3</c:v>
                </c:pt>
                <c:pt idx="116">
                  <c:v>11.4</c:v>
                </c:pt>
                <c:pt idx="117">
                  <c:v>11.4</c:v>
                </c:pt>
                <c:pt idx="118">
                  <c:v>11.5</c:v>
                </c:pt>
                <c:pt idx="119">
                  <c:v>11.5</c:v>
                </c:pt>
                <c:pt idx="120">
                  <c:v>11.6</c:v>
                </c:pt>
                <c:pt idx="121">
                  <c:v>11.6</c:v>
                </c:pt>
                <c:pt idx="122">
                  <c:v>11.7</c:v>
                </c:pt>
                <c:pt idx="123">
                  <c:v>11.7</c:v>
                </c:pt>
                <c:pt idx="124">
                  <c:v>11.8</c:v>
                </c:pt>
                <c:pt idx="125">
                  <c:v>11.8</c:v>
                </c:pt>
                <c:pt idx="126">
                  <c:v>11.9</c:v>
                </c:pt>
                <c:pt idx="127">
                  <c:v>11.9</c:v>
                </c:pt>
                <c:pt idx="128">
                  <c:v>12</c:v>
                </c:pt>
                <c:pt idx="129">
                  <c:v>12</c:v>
                </c:pt>
                <c:pt idx="130">
                  <c:v>12.1</c:v>
                </c:pt>
                <c:pt idx="131">
                  <c:v>12.1</c:v>
                </c:pt>
                <c:pt idx="132">
                  <c:v>12.2</c:v>
                </c:pt>
                <c:pt idx="133">
                  <c:v>12.2</c:v>
                </c:pt>
                <c:pt idx="134">
                  <c:v>12.3</c:v>
                </c:pt>
                <c:pt idx="135">
                  <c:v>12.3</c:v>
                </c:pt>
                <c:pt idx="136">
                  <c:v>12.4</c:v>
                </c:pt>
                <c:pt idx="137">
                  <c:v>12.4</c:v>
                </c:pt>
                <c:pt idx="138">
                  <c:v>12.5</c:v>
                </c:pt>
                <c:pt idx="139">
                  <c:v>12.5</c:v>
                </c:pt>
                <c:pt idx="140">
                  <c:v>12.6</c:v>
                </c:pt>
                <c:pt idx="141">
                  <c:v>12.6</c:v>
                </c:pt>
                <c:pt idx="142">
                  <c:v>12.7</c:v>
                </c:pt>
                <c:pt idx="143">
                  <c:v>12.7</c:v>
                </c:pt>
                <c:pt idx="144">
                  <c:v>12.8</c:v>
                </c:pt>
                <c:pt idx="145">
                  <c:v>12.8</c:v>
                </c:pt>
                <c:pt idx="146">
                  <c:v>12.9</c:v>
                </c:pt>
                <c:pt idx="147">
                  <c:v>12.9</c:v>
                </c:pt>
              </c:numCache>
            </c:numRef>
          </c:xVal>
          <c:yVal>
            <c:numRef>
              <c:f>MCSim8!$AM$2:$AM$149</c:f>
              <c:numCache>
                <c:formatCode>General</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1</c:v>
                </c:pt>
                <c:pt idx="48">
                  <c:v>1</c:v>
                </c:pt>
                <c:pt idx="49">
                  <c:v>0</c:v>
                </c:pt>
                <c:pt idx="50">
                  <c:v>0</c:v>
                </c:pt>
                <c:pt idx="51">
                  <c:v>0</c:v>
                </c:pt>
                <c:pt idx="52">
                  <c:v>0</c:v>
                </c:pt>
                <c:pt idx="53">
                  <c:v>0</c:v>
                </c:pt>
                <c:pt idx="54">
                  <c:v>0</c:v>
                </c:pt>
                <c:pt idx="55">
                  <c:v>0</c:v>
                </c:pt>
                <c:pt idx="56">
                  <c:v>0</c:v>
                </c:pt>
                <c:pt idx="57">
                  <c:v>5</c:v>
                </c:pt>
                <c:pt idx="58">
                  <c:v>5</c:v>
                </c:pt>
                <c:pt idx="59">
                  <c:v>3</c:v>
                </c:pt>
                <c:pt idx="60">
                  <c:v>3</c:v>
                </c:pt>
                <c:pt idx="61">
                  <c:v>9</c:v>
                </c:pt>
                <c:pt idx="62">
                  <c:v>9</c:v>
                </c:pt>
                <c:pt idx="63">
                  <c:v>7</c:v>
                </c:pt>
                <c:pt idx="64">
                  <c:v>7</c:v>
                </c:pt>
                <c:pt idx="65">
                  <c:v>15</c:v>
                </c:pt>
                <c:pt idx="66">
                  <c:v>15</c:v>
                </c:pt>
                <c:pt idx="67">
                  <c:v>24</c:v>
                </c:pt>
                <c:pt idx="68">
                  <c:v>24</c:v>
                </c:pt>
                <c:pt idx="69">
                  <c:v>23</c:v>
                </c:pt>
                <c:pt idx="70">
                  <c:v>23</c:v>
                </c:pt>
                <c:pt idx="71">
                  <c:v>26</c:v>
                </c:pt>
                <c:pt idx="72">
                  <c:v>26</c:v>
                </c:pt>
                <c:pt idx="73">
                  <c:v>39</c:v>
                </c:pt>
                <c:pt idx="74">
                  <c:v>39</c:v>
                </c:pt>
                <c:pt idx="75">
                  <c:v>32</c:v>
                </c:pt>
                <c:pt idx="76">
                  <c:v>32</c:v>
                </c:pt>
                <c:pt idx="77">
                  <c:v>49</c:v>
                </c:pt>
                <c:pt idx="78">
                  <c:v>49</c:v>
                </c:pt>
                <c:pt idx="79">
                  <c:v>48</c:v>
                </c:pt>
                <c:pt idx="80">
                  <c:v>48</c:v>
                </c:pt>
                <c:pt idx="81">
                  <c:v>53</c:v>
                </c:pt>
                <c:pt idx="82">
                  <c:v>53</c:v>
                </c:pt>
                <c:pt idx="83">
                  <c:v>51</c:v>
                </c:pt>
                <c:pt idx="84">
                  <c:v>51</c:v>
                </c:pt>
                <c:pt idx="85">
                  <c:v>53</c:v>
                </c:pt>
                <c:pt idx="86">
                  <c:v>53</c:v>
                </c:pt>
                <c:pt idx="87">
                  <c:v>62</c:v>
                </c:pt>
                <c:pt idx="88">
                  <c:v>62</c:v>
                </c:pt>
                <c:pt idx="89">
                  <c:v>46</c:v>
                </c:pt>
                <c:pt idx="90">
                  <c:v>46</c:v>
                </c:pt>
                <c:pt idx="91">
                  <c:v>64</c:v>
                </c:pt>
                <c:pt idx="92">
                  <c:v>64</c:v>
                </c:pt>
                <c:pt idx="93">
                  <c:v>43</c:v>
                </c:pt>
                <c:pt idx="94">
                  <c:v>43</c:v>
                </c:pt>
                <c:pt idx="95">
                  <c:v>52</c:v>
                </c:pt>
                <c:pt idx="96">
                  <c:v>52</c:v>
                </c:pt>
                <c:pt idx="97">
                  <c:v>44</c:v>
                </c:pt>
                <c:pt idx="98">
                  <c:v>44</c:v>
                </c:pt>
                <c:pt idx="99">
                  <c:v>28</c:v>
                </c:pt>
                <c:pt idx="100">
                  <c:v>28</c:v>
                </c:pt>
                <c:pt idx="101">
                  <c:v>37</c:v>
                </c:pt>
                <c:pt idx="102">
                  <c:v>37</c:v>
                </c:pt>
                <c:pt idx="103">
                  <c:v>36</c:v>
                </c:pt>
                <c:pt idx="104">
                  <c:v>36</c:v>
                </c:pt>
                <c:pt idx="105">
                  <c:v>31</c:v>
                </c:pt>
                <c:pt idx="106">
                  <c:v>31</c:v>
                </c:pt>
                <c:pt idx="107">
                  <c:v>25</c:v>
                </c:pt>
                <c:pt idx="108">
                  <c:v>25</c:v>
                </c:pt>
                <c:pt idx="109">
                  <c:v>14</c:v>
                </c:pt>
                <c:pt idx="110">
                  <c:v>14</c:v>
                </c:pt>
                <c:pt idx="111">
                  <c:v>13</c:v>
                </c:pt>
                <c:pt idx="112">
                  <c:v>13</c:v>
                </c:pt>
                <c:pt idx="113">
                  <c:v>14</c:v>
                </c:pt>
                <c:pt idx="114">
                  <c:v>14</c:v>
                </c:pt>
                <c:pt idx="115">
                  <c:v>11</c:v>
                </c:pt>
                <c:pt idx="116">
                  <c:v>11</c:v>
                </c:pt>
                <c:pt idx="117">
                  <c:v>12</c:v>
                </c:pt>
                <c:pt idx="118">
                  <c:v>12</c:v>
                </c:pt>
                <c:pt idx="119">
                  <c:v>6</c:v>
                </c:pt>
                <c:pt idx="120">
                  <c:v>6</c:v>
                </c:pt>
                <c:pt idx="121">
                  <c:v>3</c:v>
                </c:pt>
                <c:pt idx="122">
                  <c:v>3</c:v>
                </c:pt>
                <c:pt idx="123">
                  <c:v>6</c:v>
                </c:pt>
                <c:pt idx="124">
                  <c:v>6</c:v>
                </c:pt>
                <c:pt idx="125">
                  <c:v>4</c:v>
                </c:pt>
                <c:pt idx="126">
                  <c:v>4</c:v>
                </c:pt>
                <c:pt idx="127">
                  <c:v>3</c:v>
                </c:pt>
                <c:pt idx="128">
                  <c:v>3</c:v>
                </c:pt>
                <c:pt idx="129">
                  <c:v>1</c:v>
                </c:pt>
                <c:pt idx="130">
                  <c:v>1</c:v>
                </c:pt>
                <c:pt idx="131">
                  <c:v>2</c:v>
                </c:pt>
                <c:pt idx="132">
                  <c:v>2</c:v>
                </c:pt>
                <c:pt idx="133">
                  <c:v>1</c:v>
                </c:pt>
                <c:pt idx="134">
                  <c:v>1</c:v>
                </c:pt>
                <c:pt idx="135">
                  <c:v>1</c:v>
                </c:pt>
                <c:pt idx="136">
                  <c:v>1</c:v>
                </c:pt>
                <c:pt idx="137">
                  <c:v>1</c:v>
                </c:pt>
                <c:pt idx="138">
                  <c:v>1</c:v>
                </c:pt>
                <c:pt idx="139">
                  <c:v>0</c:v>
                </c:pt>
                <c:pt idx="140">
                  <c:v>0</c:v>
                </c:pt>
                <c:pt idx="141">
                  <c:v>0</c:v>
                </c:pt>
                <c:pt idx="142">
                  <c:v>0</c:v>
                </c:pt>
                <c:pt idx="143">
                  <c:v>1</c:v>
                </c:pt>
                <c:pt idx="144">
                  <c:v>1</c:v>
                </c:pt>
                <c:pt idx="145">
                  <c:v>1</c:v>
                </c:pt>
                <c:pt idx="146">
                  <c:v>1</c:v>
                </c:pt>
                <c:pt idx="147">
                  <c:v>0</c:v>
                </c:pt>
              </c:numCache>
            </c:numRef>
          </c:yVal>
          <c:smooth val="0"/>
          <c:extLst>
            <c:ext xmlns:c16="http://schemas.microsoft.com/office/drawing/2014/chart" uri="{C3380CC4-5D6E-409C-BE32-E72D297353CC}">
              <c16:uniqueId val="{00000001-10E9-4600-8F27-641280CD7955}"/>
            </c:ext>
          </c:extLst>
        </c:ser>
        <c:dLbls>
          <c:showLegendKey val="0"/>
          <c:showVal val="0"/>
          <c:showCatName val="0"/>
          <c:showSerName val="0"/>
          <c:showPercent val="0"/>
          <c:showBubbleSize val="0"/>
        </c:dLbls>
        <c:axId val="1535036416"/>
        <c:axId val="1535032256"/>
      </c:scatterChart>
      <c:valAx>
        <c:axId val="1535036416"/>
        <c:scaling>
          <c:orientation val="minMax"/>
          <c:max val="12.9"/>
          <c:min val="5.6000000000000005"/>
        </c:scaling>
        <c:delete val="0"/>
        <c:axPos val="b"/>
        <c:numFmt formatCode="General" sourceLinked="1"/>
        <c:majorTickMark val="out"/>
        <c:minorTickMark val="none"/>
        <c:tickLblPos val="nextTo"/>
        <c:crossAx val="1535032256"/>
        <c:crosses val="autoZero"/>
        <c:crossBetween val="midCat"/>
      </c:valAx>
      <c:valAx>
        <c:axId val="1535032256"/>
        <c:scaling>
          <c:orientation val="minMax"/>
        </c:scaling>
        <c:delete val="0"/>
        <c:axPos val="l"/>
        <c:numFmt formatCode="General" sourceLinked="1"/>
        <c:majorTickMark val="none"/>
        <c:minorTickMark val="none"/>
        <c:tickLblPos val="none"/>
        <c:spPr>
          <a:ln w="25400">
            <a:noFill/>
          </a:ln>
        </c:spPr>
        <c:crossAx val="1535036416"/>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chart" Target="../charts/chart4.xml"/><Relationship Id="rId6" Type="http://schemas.openxmlformats.org/officeDocument/2006/relationships/chart" Target="../charts/chart5.xml"/><Relationship Id="rId5" Type="http://schemas.openxmlformats.org/officeDocument/2006/relationships/image" Target="../media/image6.pn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27</xdr:row>
          <xdr:rowOff>121920</xdr:rowOff>
        </xdr:from>
        <xdr:to>
          <xdr:col>7</xdr:col>
          <xdr:colOff>251460</xdr:colOff>
          <xdr:row>29</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Click to Test</a:t>
              </a:r>
            </a:p>
          </xdr:txBody>
        </xdr:sp>
        <xdr:clientData fPrintsWithSheet="0"/>
      </xdr:twoCellAnchor>
    </mc:Choice>
    <mc:Fallback/>
  </mc:AlternateContent>
  <xdr:twoCellAnchor editAs="oneCell">
    <xdr:from>
      <xdr:col>7</xdr:col>
      <xdr:colOff>541021</xdr:colOff>
      <xdr:row>1</xdr:row>
      <xdr:rowOff>114300</xdr:rowOff>
    </xdr:from>
    <xdr:to>
      <xdr:col>9</xdr:col>
      <xdr:colOff>83821</xdr:colOff>
      <xdr:row>3</xdr:row>
      <xdr:rowOff>31901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808221" y="297180"/>
          <a:ext cx="762000" cy="283361"/>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419100</xdr:colOff>
          <xdr:row>47</xdr:row>
          <xdr:rowOff>121920</xdr:rowOff>
        </xdr:from>
        <xdr:to>
          <xdr:col>4</xdr:col>
          <xdr:colOff>327660</xdr:colOff>
          <xdr:row>49</xdr:row>
          <xdr:rowOff>137160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Go to Geometry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15240</xdr:colOff>
      <xdr:row>2</xdr:row>
      <xdr:rowOff>152400</xdr:rowOff>
    </xdr:from>
    <xdr:to>
      <xdr:col>7</xdr:col>
      <xdr:colOff>216690</xdr:colOff>
      <xdr:row>18</xdr:row>
      <xdr:rowOff>30723</xdr:rowOff>
    </xdr:to>
    <xdr:pic>
      <xdr:nvPicPr>
        <xdr:cNvPr id="4" name="Picture 3">
          <a:extLst>
            <a:ext uri="{FF2B5EF4-FFF2-40B4-BE49-F238E27FC236}">
              <a16:creationId xmlns:a16="http://schemas.microsoft.com/office/drawing/2014/main" id="{82A81256-C077-4C52-8608-7C6A4A18158D}"/>
            </a:ext>
          </a:extLst>
        </xdr:cNvPr>
        <xdr:cNvPicPr>
          <a:picLocks noChangeAspect="1"/>
        </xdr:cNvPicPr>
      </xdr:nvPicPr>
      <xdr:blipFill>
        <a:blip xmlns:r="http://schemas.openxmlformats.org/officeDocument/2006/relationships" r:embed="rId1"/>
        <a:stretch>
          <a:fillRect/>
        </a:stretch>
      </xdr:blipFill>
      <xdr:spPr>
        <a:xfrm>
          <a:off x="1234440" y="518160"/>
          <a:ext cx="3249450" cy="2804403"/>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525780</xdr:colOff>
          <xdr:row>13</xdr:row>
          <xdr:rowOff>114300</xdr:rowOff>
        </xdr:from>
        <xdr:to>
          <xdr:col>11</xdr:col>
          <xdr:colOff>434340</xdr:colOff>
          <xdr:row>15</xdr:row>
          <xdr:rowOff>129540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Sheet</a:t>
              </a:r>
            </a:p>
          </xdr:txBody>
        </xdr:sp>
        <xdr:clientData fPrintsWithSheet="0"/>
      </xdr:twoCellAnchor>
    </mc:Choice>
    <mc:Fallback/>
  </mc:AlternateContent>
  <xdr:twoCellAnchor>
    <xdr:from>
      <xdr:col>4</xdr:col>
      <xdr:colOff>457200</xdr:colOff>
      <xdr:row>7</xdr:row>
      <xdr:rowOff>121920</xdr:rowOff>
    </xdr:from>
    <xdr:to>
      <xdr:col>4</xdr:col>
      <xdr:colOff>464820</xdr:colOff>
      <xdr:row>11</xdr:row>
      <xdr:rowOff>83820</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flipH="1">
          <a:off x="2895600" y="1402080"/>
          <a:ext cx="7620" cy="693420"/>
        </a:xfrm>
        <a:prstGeom prst="line">
          <a:avLst/>
        </a:prstGeom>
        <a:ln w="28575">
          <a:solidFill>
            <a:srgbClr val="FFC000"/>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480060</xdr:colOff>
      <xdr:row>7</xdr:row>
      <xdr:rowOff>76200</xdr:rowOff>
    </xdr:from>
    <xdr:to>
      <xdr:col>5</xdr:col>
      <xdr:colOff>175260</xdr:colOff>
      <xdr:row>10</xdr:row>
      <xdr:rowOff>160020</xdr:rowOff>
    </xdr:to>
    <xdr:cxnSp macro="">
      <xdr:nvCxnSpPr>
        <xdr:cNvPr id="9" name="Straight Connector 8">
          <a:extLst>
            <a:ext uri="{FF2B5EF4-FFF2-40B4-BE49-F238E27FC236}">
              <a16:creationId xmlns:a16="http://schemas.microsoft.com/office/drawing/2014/main" id="{00000000-0008-0000-0100-000009000000}"/>
            </a:ext>
          </a:extLst>
        </xdr:cNvPr>
        <xdr:cNvCxnSpPr/>
      </xdr:nvCxnSpPr>
      <xdr:spPr>
        <a:xfrm>
          <a:off x="2918460" y="1356360"/>
          <a:ext cx="304800" cy="632460"/>
        </a:xfrm>
        <a:prstGeom prst="line">
          <a:avLst/>
        </a:prstGeom>
        <a:ln w="28575">
          <a:solidFill>
            <a:srgbClr val="00B050"/>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xdr:colOff>
      <xdr:row>8</xdr:row>
      <xdr:rowOff>7620</xdr:rowOff>
    </xdr:from>
    <xdr:to>
      <xdr:col>12</xdr:col>
      <xdr:colOff>213360</xdr:colOff>
      <xdr:row>23</xdr:row>
      <xdr:rowOff>11430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198120</xdr:colOff>
      <xdr:row>12</xdr:row>
      <xdr:rowOff>91440</xdr:rowOff>
    </xdr:from>
    <xdr:to>
      <xdr:col>21</xdr:col>
      <xdr:colOff>320040</xdr:colOff>
      <xdr:row>16</xdr:row>
      <xdr:rowOff>160020</xdr:rowOff>
    </xdr:to>
    <xdr:sp macro="" textlink="">
      <xdr:nvSpPr>
        <xdr:cNvPr id="3" name="TextBox1">
          <a:extLst>
            <a:ext uri="{FF2B5EF4-FFF2-40B4-BE49-F238E27FC236}">
              <a16:creationId xmlns:a16="http://schemas.microsoft.com/office/drawing/2014/main" id="{00000000-0008-0000-0200-000003000000}"/>
            </a:ext>
          </a:extLst>
        </xdr:cNvPr>
        <xdr:cNvSpPr txBox="1"/>
      </xdr:nvSpPr>
      <xdr:spPr>
        <a:xfrm>
          <a:off x="8785860" y="2301240"/>
          <a:ext cx="4389120" cy="8001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Q1 Answer: </a:t>
          </a:r>
        </a:p>
      </xdr:txBody>
    </xdr:sp>
    <xdr:clientData/>
  </xdr:twoCellAnchor>
  <mc:AlternateContent xmlns:mc="http://schemas.openxmlformats.org/markup-compatibility/2006">
    <mc:Choice xmlns:a14="http://schemas.microsoft.com/office/drawing/2010/main" Requires="a14">
      <xdr:twoCellAnchor>
        <xdr:from>
          <xdr:col>15</xdr:col>
          <xdr:colOff>472440</xdr:colOff>
          <xdr:row>17</xdr:row>
          <xdr:rowOff>99060</xdr:rowOff>
        </xdr:from>
        <xdr:to>
          <xdr:col>17</xdr:col>
          <xdr:colOff>381000</xdr:colOff>
          <xdr:row>19</xdr:row>
          <xdr:rowOff>114300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22860</xdr:colOff>
      <xdr:row>8</xdr:row>
      <xdr:rowOff>7620</xdr:rowOff>
    </xdr:from>
    <xdr:to>
      <xdr:col>12</xdr:col>
      <xdr:colOff>213360</xdr:colOff>
      <xdr:row>23</xdr:row>
      <xdr:rowOff>11430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30480</xdr:colOff>
      <xdr:row>16</xdr:row>
      <xdr:rowOff>60960</xdr:rowOff>
    </xdr:from>
    <xdr:to>
      <xdr:col>19</xdr:col>
      <xdr:colOff>15240</xdr:colOff>
      <xdr:row>19</xdr:row>
      <xdr:rowOff>106680</xdr:rowOff>
    </xdr:to>
    <xdr:sp macro="" textlink="">
      <xdr:nvSpPr>
        <xdr:cNvPr id="4" name="TextBox1">
          <a:extLst>
            <a:ext uri="{FF2B5EF4-FFF2-40B4-BE49-F238E27FC236}">
              <a16:creationId xmlns:a16="http://schemas.microsoft.com/office/drawing/2014/main" id="{00000000-0008-0000-0300-000004000000}"/>
            </a:ext>
          </a:extLst>
        </xdr:cNvPr>
        <xdr:cNvSpPr txBox="1"/>
      </xdr:nvSpPr>
      <xdr:spPr>
        <a:xfrm>
          <a:off x="8145780" y="1927860"/>
          <a:ext cx="3032760" cy="59436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Q2 Answer: </a:t>
          </a:r>
        </a:p>
      </xdr:txBody>
    </xdr:sp>
    <xdr:clientData/>
  </xdr:twoCellAnchor>
  <mc:AlternateContent xmlns:mc="http://schemas.openxmlformats.org/markup-compatibility/2006">
    <mc:Choice xmlns:a14="http://schemas.microsoft.com/office/drawing/2010/main" Requires="a14">
      <xdr:twoCellAnchor>
        <xdr:from>
          <xdr:col>14</xdr:col>
          <xdr:colOff>335280</xdr:colOff>
          <xdr:row>20</xdr:row>
          <xdr:rowOff>76200</xdr:rowOff>
        </xdr:from>
        <xdr:to>
          <xdr:col>16</xdr:col>
          <xdr:colOff>99060</xdr:colOff>
          <xdr:row>22</xdr:row>
          <xdr:rowOff>68580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0</xdr:colOff>
      <xdr:row>9</xdr:row>
      <xdr:rowOff>137160</xdr:rowOff>
    </xdr:from>
    <xdr:to>
      <xdr:col>15</xdr:col>
      <xdr:colOff>190500</xdr:colOff>
      <xdr:row>24</xdr:row>
      <xdr:rowOff>140970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9</xdr:row>
      <xdr:rowOff>137160</xdr:rowOff>
    </xdr:from>
    <xdr:to>
      <xdr:col>15</xdr:col>
      <xdr:colOff>190500</xdr:colOff>
      <xdr:row>24</xdr:row>
      <xdr:rowOff>140970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76201</xdr:colOff>
      <xdr:row>8</xdr:row>
      <xdr:rowOff>53340</xdr:rowOff>
    </xdr:from>
    <xdr:to>
      <xdr:col>22</xdr:col>
      <xdr:colOff>487681</xdr:colOff>
      <xdr:row>10</xdr:row>
      <xdr:rowOff>128580</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795761" y="1531620"/>
          <a:ext cx="2240280" cy="441000"/>
        </a:xfrm>
        <a:prstGeom prst="rect">
          <a:avLst/>
        </a:prstGeom>
      </xdr:spPr>
    </xdr:pic>
    <xdr:clientData/>
  </xdr:twoCellAnchor>
  <xdr:twoCellAnchor editAs="oneCell">
    <xdr:from>
      <xdr:col>15</xdr:col>
      <xdr:colOff>632460</xdr:colOff>
      <xdr:row>19</xdr:row>
      <xdr:rowOff>30480</xdr:rowOff>
    </xdr:from>
    <xdr:to>
      <xdr:col>23</xdr:col>
      <xdr:colOff>351833</xdr:colOff>
      <xdr:row>41</xdr:row>
      <xdr:rowOff>43302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3"/>
        <a:stretch>
          <a:fillRect/>
        </a:stretch>
      </xdr:blipFill>
      <xdr:spPr>
        <a:xfrm>
          <a:off x="9776460" y="3520440"/>
          <a:ext cx="4733333" cy="4104762"/>
        </a:xfrm>
        <a:prstGeom prst="rect">
          <a:avLst/>
        </a:prstGeom>
      </xdr:spPr>
    </xdr:pic>
    <xdr:clientData/>
  </xdr:twoCellAnchor>
  <xdr:twoCellAnchor editAs="oneCell">
    <xdr:from>
      <xdr:col>8</xdr:col>
      <xdr:colOff>348223</xdr:colOff>
      <xdr:row>25</xdr:row>
      <xdr:rowOff>38100</xdr:rowOff>
    </xdr:from>
    <xdr:to>
      <xdr:col>15</xdr:col>
      <xdr:colOff>294581</xdr:colOff>
      <xdr:row>42</xdr:row>
      <xdr:rowOff>26149</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5225023" y="4625340"/>
          <a:ext cx="4213558" cy="3165589"/>
        </a:xfrm>
        <a:prstGeom prst="rect">
          <a:avLst/>
        </a:prstGeom>
      </xdr:spPr>
    </xdr:pic>
    <xdr:clientData/>
  </xdr:twoCellAnchor>
  <xdr:twoCellAnchor editAs="oneCell">
    <xdr:from>
      <xdr:col>5</xdr:col>
      <xdr:colOff>452468</xdr:colOff>
      <xdr:row>14</xdr:row>
      <xdr:rowOff>167640</xdr:rowOff>
    </xdr:from>
    <xdr:to>
      <xdr:col>9</xdr:col>
      <xdr:colOff>504319</xdr:colOff>
      <xdr:row>24</xdr:row>
      <xdr:rowOff>178696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3500468" y="2743200"/>
          <a:ext cx="2490251" cy="1839856"/>
        </a:xfrm>
        <a:prstGeom prst="rect">
          <a:avLst/>
        </a:prstGeom>
      </xdr:spPr>
    </xdr:pic>
    <xdr:clientData/>
  </xdr:twoCellAnchor>
  <xdr:twoCellAnchor>
    <xdr:from>
      <xdr:col>10</xdr:col>
      <xdr:colOff>0</xdr:colOff>
      <xdr:row>44</xdr:row>
      <xdr:rowOff>0</xdr:rowOff>
    </xdr:from>
    <xdr:to>
      <xdr:col>15</xdr:col>
      <xdr:colOff>190500</xdr:colOff>
      <xdr:row>59</xdr:row>
      <xdr:rowOff>3810</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106680</xdr:colOff>
      <xdr:row>37</xdr:row>
      <xdr:rowOff>175260</xdr:rowOff>
    </xdr:from>
    <xdr:to>
      <xdr:col>8</xdr:col>
      <xdr:colOff>358140</xdr:colOff>
      <xdr:row>85</xdr:row>
      <xdr:rowOff>167640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325880" y="7025640"/>
          <a:ext cx="3909060" cy="8770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Looking at orthogonal regression (also called total least squares), the key insight is that we're measuring perpendicular distance to the regression line rather than vertical distance like in OLS.</a:t>
          </a:r>
        </a:p>
        <a:p>
          <a:r>
            <a:rPr lang="en-US"/>
            <a:t>Let me work through the geometric derivation:</a:t>
          </a:r>
        </a:p>
        <a:p>
          <a:r>
            <a:rPr lang="en-US" b="1"/>
            <a:t>Setting up the geometry:</a:t>
          </a:r>
          <a:r>
            <a:rPr lang="en-US"/>
            <a:t> Consider a regression line y = mx + b and a data point (xᵢ, yᵢ). In OLS, we measure the vertical residual: yᵢ - (mxᵢ + b).</a:t>
          </a:r>
        </a:p>
        <a:p>
          <a:r>
            <a:rPr lang="en-US"/>
            <a:t>In orthogonal regression, we want the perpendicular (shortest) distance from the point to the line. We can rewrite the line equation as: mx - y + b = 0</a:t>
          </a:r>
        </a:p>
        <a:p>
          <a:r>
            <a:rPr lang="en-US" b="1"/>
            <a:t>Deriving the perpendicular distance:</a:t>
          </a:r>
          <a:r>
            <a:rPr lang="en-US"/>
            <a:t> For a line Ax + By + C = 0, the perpendicular distance from point (x₀, y₀) is: distance = |Ax₀ + By₀ + C|/√(A² + B²)</a:t>
          </a:r>
        </a:p>
        <a:p>
          <a:r>
            <a:rPr lang="en-US"/>
            <a:t>For our line mx - y + b = 0, we have A = m, B = -1, C = b, so: </a:t>
          </a:r>
          <a:r>
            <a:rPr lang="en-US" b="1"/>
            <a:t>Orthogonal residual = |mxᵢ - yᵢ + b|/√(m² + 1)</a:t>
          </a:r>
          <a:endParaRPr lang="en-US"/>
        </a:p>
        <a:p>
          <a:r>
            <a:rPr lang="en-US" b="1"/>
            <a:t>Connecting to OLS residual:</a:t>
          </a:r>
          <a:r>
            <a:rPr lang="en-US"/>
            <a:t> Notice that the numerator |mxᵢ - yᵢ + b| = |yᵢ - (mxᵢ + b)| is exactly the absolute value of the OLS residual.</a:t>
          </a:r>
        </a:p>
        <a:p>
          <a:r>
            <a:rPr lang="en-US"/>
            <a:t>Therefore: </a:t>
          </a:r>
          <a:r>
            <a:rPr lang="en-US" b="1"/>
            <a:t>Orthogonal residual = |OLS residual|/√(1 + m²)</a:t>
          </a:r>
          <a:endParaRPr lang="en-US"/>
        </a:p>
        <a:p>
          <a:r>
            <a:rPr lang="en-US" b="1"/>
            <a:t>Geometric interpretation:</a:t>
          </a:r>
          <a:r>
            <a:rPr lang="en-US"/>
            <a:t> Think of a right triangle where:</a:t>
          </a:r>
        </a:p>
        <a:p>
          <a:r>
            <a:rPr lang="en-US"/>
            <a:t>The vertical leg is the OLS residual (length |OLS residual|)</a:t>
          </a:r>
        </a:p>
        <a:p>
          <a:r>
            <a:rPr lang="en-US"/>
            <a:t>The horizontal leg extends from (xᵢ, mxᵢ + b) to the foot of the perpendicular</a:t>
          </a:r>
        </a:p>
        <a:p>
          <a:r>
            <a:rPr lang="en-US"/>
            <a:t>The hypotenuse is the orthogonal distance we want</a:t>
          </a:r>
        </a:p>
        <a:p>
          <a:r>
            <a:rPr lang="en-US"/>
            <a:t>The slope of the regression line is m, so the slope of the perpendicular is -1/m. This creates a right triangle where the angle </a:t>
          </a:r>
          <a:r>
            <a:rPr lang="el-GR"/>
            <a:t>θ </a:t>
          </a:r>
          <a:r>
            <a:rPr lang="en-US"/>
            <a:t>between the regression line and horizontal satisfies tan(</a:t>
          </a:r>
          <a:r>
            <a:rPr lang="el-GR"/>
            <a:t>θ) = </a:t>
          </a:r>
          <a:r>
            <a:rPr lang="en-US"/>
            <a:t>m.</a:t>
          </a:r>
        </a:p>
        <a:p>
          <a:r>
            <a:rPr lang="en-US"/>
            <a:t>In this triangle:</a:t>
          </a:r>
        </a:p>
        <a:p>
          <a:r>
            <a:rPr lang="en-US"/>
            <a:t>sin(</a:t>
          </a:r>
          <a:r>
            <a:rPr lang="el-GR"/>
            <a:t>θ) = </a:t>
          </a:r>
          <a:r>
            <a:rPr lang="en-US"/>
            <a:t>m/√(1 + m²)</a:t>
          </a:r>
        </a:p>
        <a:p>
          <a:r>
            <a:rPr lang="en-US"/>
            <a:t>cos(</a:t>
          </a:r>
          <a:r>
            <a:rPr lang="el-GR"/>
            <a:t>θ) = 1/√(1 + </a:t>
          </a:r>
          <a:r>
            <a:rPr lang="en-US"/>
            <a:t>m²)</a:t>
          </a:r>
        </a:p>
        <a:p>
          <a:r>
            <a:rPr lang="en-US"/>
            <a:t>The orthogonal distance is the vertical residual times cos(</a:t>
          </a:r>
          <a:r>
            <a:rPr lang="el-GR"/>
            <a:t>θ), </a:t>
          </a:r>
          <a:r>
            <a:rPr lang="en-US"/>
            <a:t>giving us: </a:t>
          </a:r>
          <a:r>
            <a:rPr lang="en-US" b="1"/>
            <a:t>Orthogonal residual = OLS residual × cos(</a:t>
          </a:r>
          <a:r>
            <a:rPr lang="el-GR" b="1"/>
            <a:t>θ) = </a:t>
          </a:r>
          <a:r>
            <a:rPr lang="en-US" b="1"/>
            <a:t>OLS residual/√(1 + m²)</a:t>
          </a:r>
          <a:endParaRPr lang="en-US"/>
        </a:p>
        <a:p>
          <a:r>
            <a:rPr lang="en-US" b="1"/>
            <a:t>Intuitive understanding:</a:t>
          </a:r>
          <a:endParaRPr lang="en-US"/>
        </a:p>
        <a:p>
          <a:r>
            <a:rPr lang="en-US"/>
            <a:t>When m = 0 (horizontal line): √(1 + m²) = 1, so orthogonal = OLS residual</a:t>
          </a:r>
        </a:p>
        <a:p>
          <a:r>
            <a:rPr lang="en-US"/>
            <a:t>As |m| increases (steeper line): √(1 + m²) gets larger, so orthogonal residual becomes smaller relative to OLS residual</a:t>
          </a:r>
        </a:p>
        <a:p>
          <a:r>
            <a:rPr lang="en-US"/>
            <a:t>This makes sense because as the line gets steeper, the perpendicular distance becomes an increasingly smaller fraction of the vertical distance</a:t>
          </a:r>
        </a:p>
        <a:p>
          <a:r>
            <a:rPr lang="en-US"/>
            <a:t>The factor √(1 + m²) essentially accounts for the "foreshortening" effect when projecting the vertical residual onto the perpendicular direction.</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0</xdr:colOff>
      <xdr:row>8</xdr:row>
      <xdr:rowOff>0</xdr:rowOff>
    </xdr:from>
    <xdr:to>
      <xdr:col>14</xdr:col>
      <xdr:colOff>0</xdr:colOff>
      <xdr:row>21</xdr:row>
      <xdr:rowOff>0</xdr:rowOff>
    </xdr:to>
    <xdr:graphicFrame macro="">
      <xdr:nvGraphicFramePr>
        <xdr:cNvPr id="2" name="EmpHis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15240</xdr:colOff>
      <xdr:row>12</xdr:row>
      <xdr:rowOff>60960</xdr:rowOff>
    </xdr:from>
    <xdr:to>
      <xdr:col>7</xdr:col>
      <xdr:colOff>464820</xdr:colOff>
      <xdr:row>23</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16</xdr:row>
      <xdr:rowOff>0</xdr:rowOff>
    </xdr:from>
    <xdr:to>
      <xdr:col>19</xdr:col>
      <xdr:colOff>228600</xdr:colOff>
      <xdr:row>20</xdr:row>
      <xdr:rowOff>30480</xdr:rowOff>
    </xdr:to>
    <xdr:sp macro="" textlink="">
      <xdr:nvSpPr>
        <xdr:cNvPr id="3" name="TextBox1">
          <a:extLst>
            <a:ext uri="{FF2B5EF4-FFF2-40B4-BE49-F238E27FC236}">
              <a16:creationId xmlns:a16="http://schemas.microsoft.com/office/drawing/2014/main" id="{00000000-0008-0000-0800-000003000000}"/>
            </a:ext>
          </a:extLst>
        </xdr:cNvPr>
        <xdr:cNvSpPr txBox="1"/>
      </xdr:nvSpPr>
      <xdr:spPr>
        <a:xfrm>
          <a:off x="7924800" y="2941320"/>
          <a:ext cx="3886200" cy="7620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Q3 Answer: </a:t>
          </a:r>
        </a:p>
      </xdr:txBody>
    </xdr:sp>
    <xdr:clientData/>
  </xdr:twoCellAnchor>
  <mc:AlternateContent xmlns:mc="http://schemas.openxmlformats.org/markup-compatibility/2006">
    <mc:Choice xmlns:a14="http://schemas.microsoft.com/office/drawing/2010/main" Requires="a14">
      <xdr:twoCellAnchor>
        <xdr:from>
          <xdr:col>15</xdr:col>
          <xdr:colOff>525780</xdr:colOff>
          <xdr:row>20</xdr:row>
          <xdr:rowOff>114300</xdr:rowOff>
        </xdr:from>
        <xdr:to>
          <xdr:col>17</xdr:col>
          <xdr:colOff>434340</xdr:colOff>
          <xdr:row>22</xdr:row>
          <xdr:rowOff>106680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358140</xdr:colOff>
          <xdr:row>12</xdr:row>
          <xdr:rowOff>0</xdr:rowOff>
        </xdr:from>
        <xdr:to>
          <xdr:col>19</xdr:col>
          <xdr:colOff>571500</xdr:colOff>
          <xdr:row>14</xdr:row>
          <xdr:rowOff>15240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76D1DFA-0328-4F80-A21D-AE467B15F5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MC Sim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335280</xdr:colOff>
          <xdr:row>16</xdr:row>
          <xdr:rowOff>15240</xdr:rowOff>
        </xdr:from>
        <xdr:to>
          <xdr:col>20</xdr:col>
          <xdr:colOff>541020</xdr:colOff>
          <xdr:row>18</xdr:row>
          <xdr:rowOff>7620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60C91434-6306-429E-BC24-774BCEC47B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Help</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320040</xdr:colOff>
      <xdr:row>7</xdr:row>
      <xdr:rowOff>106680</xdr:rowOff>
    </xdr:from>
    <xdr:to>
      <xdr:col>21</xdr:col>
      <xdr:colOff>76200</xdr:colOff>
      <xdr:row>21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xdr:row>
      <xdr:rowOff>137160</xdr:rowOff>
    </xdr:from>
    <xdr:to>
      <xdr:col>6</xdr:col>
      <xdr:colOff>533400</xdr:colOff>
      <xdr:row>4</xdr:row>
      <xdr:rowOff>7620</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4541520" y="518160"/>
          <a:ext cx="0" cy="2667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533400</xdr:colOff>
      <xdr:row>3</xdr:row>
      <xdr:rowOff>190500</xdr:rowOff>
    </xdr:from>
    <xdr:to>
      <xdr:col>6</xdr:col>
      <xdr:colOff>533400</xdr:colOff>
      <xdr:row>5</xdr:row>
      <xdr:rowOff>60960</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a:off x="4541520" y="754380"/>
          <a:ext cx="0" cy="2667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392430</xdr:colOff>
      <xdr:row>4</xdr:row>
      <xdr:rowOff>95250</xdr:rowOff>
    </xdr:from>
    <xdr:to>
      <xdr:col>6</xdr:col>
      <xdr:colOff>662940</xdr:colOff>
      <xdr:row>4</xdr:row>
      <xdr:rowOff>99060</xdr:rowOff>
    </xdr:to>
    <xdr:cxnSp macro="">
      <xdr:nvCxnSpPr>
        <xdr:cNvPr id="6" name="Straight Arrow Connector 5">
          <a:extLst>
            <a:ext uri="{FF2B5EF4-FFF2-40B4-BE49-F238E27FC236}">
              <a16:creationId xmlns:a16="http://schemas.microsoft.com/office/drawing/2014/main" id="{00000000-0008-0000-0900-000006000000}"/>
            </a:ext>
          </a:extLst>
        </xdr:cNvPr>
        <xdr:cNvCxnSpPr/>
      </xdr:nvCxnSpPr>
      <xdr:spPr>
        <a:xfrm flipH="1" flipV="1">
          <a:off x="4400550" y="872490"/>
          <a:ext cx="270510" cy="381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24</xdr:row>
      <xdr:rowOff>152400</xdr:rowOff>
    </xdr:from>
    <xdr:to>
      <xdr:col>20</xdr:col>
      <xdr:colOff>259080</xdr:colOff>
      <xdr:row>28</xdr:row>
      <xdr:rowOff>38100</xdr:rowOff>
    </xdr:to>
    <xdr:sp macro="" textlink="">
      <xdr:nvSpPr>
        <xdr:cNvPr id="8" name="TextBox1">
          <a:extLst>
            <a:ext uri="{FF2B5EF4-FFF2-40B4-BE49-F238E27FC236}">
              <a16:creationId xmlns:a16="http://schemas.microsoft.com/office/drawing/2014/main" id="{00000000-0008-0000-0900-000008000000}"/>
            </a:ext>
          </a:extLst>
        </xdr:cNvPr>
        <xdr:cNvSpPr txBox="1"/>
      </xdr:nvSpPr>
      <xdr:spPr>
        <a:xfrm>
          <a:off x="9685020" y="4587240"/>
          <a:ext cx="3177540" cy="61722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Q4 Answer: </a:t>
          </a:r>
        </a:p>
      </xdr:txBody>
    </xdr:sp>
    <xdr:clientData/>
  </xdr:twoCellAnchor>
  <mc:AlternateContent xmlns:mc="http://schemas.openxmlformats.org/markup-compatibility/2006">
    <mc:Choice xmlns:a14="http://schemas.microsoft.com/office/drawing/2010/main" Requires="a14">
      <xdr:twoCellAnchor>
        <xdr:from>
          <xdr:col>16</xdr:col>
          <xdr:colOff>114300</xdr:colOff>
          <xdr:row>29</xdr:row>
          <xdr:rowOff>83820</xdr:rowOff>
        </xdr:from>
        <xdr:to>
          <xdr:col>18</xdr:col>
          <xdr:colOff>22860</xdr:colOff>
          <xdr:row>31</xdr:row>
          <xdr:rowOff>76200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Next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8</xdr:row>
          <xdr:rowOff>30480</xdr:rowOff>
        </xdr:from>
        <xdr:to>
          <xdr:col>14</xdr:col>
          <xdr:colOff>99060</xdr:colOff>
          <xdr:row>10</xdr:row>
          <xdr:rowOff>45720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BD04568E-65F9-4AB3-B1A4-D50D517034B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MC Sim</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0</xdr:colOff>
      <xdr:row>8</xdr:row>
      <xdr:rowOff>0</xdr:rowOff>
    </xdr:from>
    <xdr:to>
      <xdr:col>14</xdr:col>
      <xdr:colOff>0</xdr:colOff>
      <xdr:row>21</xdr:row>
      <xdr:rowOff>0</xdr:rowOff>
    </xdr:to>
    <xdr:graphicFrame macro="">
      <xdr:nvGraphicFramePr>
        <xdr:cNvPr id="2" name="EmpHist">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0</xdr:colOff>
      <xdr:row>8</xdr:row>
      <xdr:rowOff>0</xdr:rowOff>
    </xdr:from>
    <xdr:to>
      <xdr:col>14</xdr:col>
      <xdr:colOff>0</xdr:colOff>
      <xdr:row>21</xdr:row>
      <xdr:rowOff>0</xdr:rowOff>
    </xdr:to>
    <xdr:graphicFrame macro="">
      <xdr:nvGraphicFramePr>
        <xdr:cNvPr id="2" name="EmpHist">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20Drive/WEB/WDrive2May2025/Working/InequalityMobility/Mobilit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Chetty"/>
      <sheetName val="LadderGraphics"/>
      <sheetName val="Income"/>
      <sheetName val="LogNorm"/>
      <sheetName val="Mobility"/>
      <sheetName val="MCSimNoInherit"/>
      <sheetName val="MCSim50Inherit"/>
      <sheetName val="MCSim100Inherit"/>
      <sheetName val="MCSim90Inherit"/>
      <sheetName val="Inherit"/>
      <sheetName val="LNInherit"/>
      <sheetName val="CZ"/>
      <sheetName val="TheEnd"/>
      <sheetName val="GrammEarly"/>
      <sheetName val="TranMatrixCalibration"/>
      <sheetName val="SchumpyHotels"/>
      <sheetName val="OneVarMCSim"/>
      <sheetName val="TwoVarMCSi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1">
          <cell r="F11">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google.com/search?q=excel+enable+macros" TargetMode="External"/><Relationship Id="rId7" Type="http://schemas.openxmlformats.org/officeDocument/2006/relationships/vmlDrawing" Target="../drawings/vmlDrawing1.vml"/><Relationship Id="rId2" Type="http://schemas.openxmlformats.org/officeDocument/2006/relationships/hyperlink" Target="mailto:hbarreto@depauw,edu" TargetMode="External"/><Relationship Id="rId1" Type="http://schemas.openxmlformats.org/officeDocument/2006/relationships/hyperlink" Target="mailto:hbarreto@depauw,edu"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google.com/search?q=excel+enable+macros"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8.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51B0B-2D12-4F80-B655-F2F6711198E9}">
  <sheetPr codeName="Sheet1">
    <pageSetUpPr autoPageBreaks="0"/>
  </sheetPr>
  <dimension ref="A1:R47"/>
  <sheetViews>
    <sheetView showGridLines="0" tabSelected="1" workbookViewId="0"/>
  </sheetViews>
  <sheetFormatPr defaultRowHeight="14.4"/>
  <sheetData>
    <row r="1" spans="1:18">
      <c r="A1" s="50"/>
      <c r="B1" s="50"/>
      <c r="C1" s="50"/>
      <c r="D1" s="50"/>
      <c r="E1" s="50"/>
      <c r="F1" s="50"/>
      <c r="G1" s="51" t="s">
        <v>118</v>
      </c>
      <c r="H1" s="50"/>
      <c r="I1" s="50"/>
      <c r="J1" s="50"/>
      <c r="K1" s="50"/>
      <c r="L1" s="50"/>
      <c r="M1" s="50"/>
      <c r="N1" s="50"/>
      <c r="O1" s="52"/>
      <c r="P1" s="52"/>
      <c r="Q1" s="52"/>
      <c r="R1" s="52"/>
    </row>
    <row r="2" spans="1:18">
      <c r="A2" s="50"/>
      <c r="B2" s="50"/>
      <c r="C2" s="50"/>
      <c r="D2" s="50"/>
      <c r="E2" s="50"/>
      <c r="F2" s="50"/>
      <c r="G2" s="52" t="s">
        <v>101</v>
      </c>
      <c r="H2" s="50"/>
      <c r="I2" s="50"/>
      <c r="J2" s="50"/>
      <c r="K2" s="50"/>
      <c r="L2" s="50"/>
      <c r="M2" s="50"/>
      <c r="N2" s="53"/>
      <c r="O2" s="53"/>
      <c r="P2" s="53"/>
      <c r="Q2" s="53"/>
      <c r="R2" s="53"/>
    </row>
    <row r="3" spans="1:18">
      <c r="A3" s="50"/>
      <c r="B3" s="50"/>
      <c r="C3" s="50"/>
      <c r="D3" s="50"/>
      <c r="E3" s="50"/>
      <c r="F3" s="50"/>
      <c r="G3" s="52" t="s">
        <v>102</v>
      </c>
      <c r="H3" s="50"/>
      <c r="I3" s="50"/>
      <c r="J3" s="50"/>
      <c r="K3" s="50"/>
      <c r="L3" s="50"/>
      <c r="M3" s="50"/>
      <c r="N3" s="53"/>
      <c r="O3" s="53"/>
      <c r="P3" s="53"/>
      <c r="Q3" s="53"/>
      <c r="R3" s="53"/>
    </row>
    <row r="4" spans="1:18">
      <c r="A4" s="50"/>
      <c r="B4" s="50"/>
      <c r="C4" s="50"/>
      <c r="D4" s="50"/>
      <c r="E4" s="50"/>
      <c r="F4" s="50"/>
      <c r="G4" s="54" t="s">
        <v>103</v>
      </c>
      <c r="H4" s="53"/>
      <c r="I4" s="53"/>
      <c r="J4" s="50"/>
      <c r="K4" s="50"/>
      <c r="L4" s="50"/>
      <c r="M4" s="50"/>
      <c r="N4" s="53"/>
      <c r="O4" s="53"/>
      <c r="P4" s="53"/>
      <c r="Q4" s="53"/>
      <c r="R4" s="53"/>
    </row>
    <row r="5" spans="1:18">
      <c r="A5" s="53"/>
      <c r="B5" s="53"/>
      <c r="C5" s="53"/>
      <c r="D5" s="53"/>
      <c r="E5" s="50"/>
      <c r="F5" s="50"/>
      <c r="G5" s="50"/>
      <c r="H5" s="53"/>
      <c r="I5" s="53"/>
      <c r="J5" s="53"/>
      <c r="K5" s="53"/>
      <c r="L5" s="53"/>
      <c r="M5" s="53"/>
      <c r="N5" s="53"/>
      <c r="O5" s="54"/>
      <c r="P5" s="52"/>
      <c r="Q5" s="52"/>
      <c r="R5" s="50"/>
    </row>
    <row r="6" spans="1:18">
      <c r="A6" s="50" t="s">
        <v>119</v>
      </c>
      <c r="B6" s="50"/>
      <c r="C6" s="50"/>
      <c r="D6" s="50"/>
      <c r="E6" s="50"/>
      <c r="F6" s="55"/>
      <c r="G6" s="53"/>
      <c r="H6" s="53"/>
      <c r="I6" s="53"/>
      <c r="J6" s="53"/>
      <c r="K6" s="53"/>
      <c r="L6" s="53"/>
      <c r="M6" s="53"/>
      <c r="N6" s="54"/>
      <c r="O6" s="52"/>
      <c r="P6" s="50"/>
      <c r="Q6" s="52"/>
      <c r="R6" s="50"/>
    </row>
    <row r="7" spans="1:18">
      <c r="A7" s="50" t="s">
        <v>120</v>
      </c>
      <c r="B7" s="50"/>
      <c r="C7" s="50"/>
      <c r="D7" s="50"/>
      <c r="E7" s="50"/>
      <c r="F7" s="55"/>
      <c r="G7" s="53"/>
      <c r="H7" s="53"/>
      <c r="I7" s="53"/>
      <c r="J7" s="53"/>
      <c r="K7" s="53"/>
      <c r="L7" s="53"/>
      <c r="M7" s="53"/>
      <c r="N7" s="54"/>
      <c r="O7" s="52"/>
      <c r="P7" s="50"/>
      <c r="Q7" s="52"/>
      <c r="R7" s="50"/>
    </row>
    <row r="8" spans="1:18">
      <c r="A8" s="50" t="s">
        <v>121</v>
      </c>
      <c r="B8" s="50"/>
      <c r="C8" s="50"/>
      <c r="D8" s="50"/>
      <c r="E8" s="50"/>
      <c r="F8" s="55"/>
      <c r="G8" s="53"/>
      <c r="H8" s="53"/>
      <c r="I8" s="53"/>
      <c r="J8" s="53"/>
      <c r="K8" s="53"/>
      <c r="L8" s="53"/>
      <c r="M8" s="53"/>
      <c r="N8" s="54"/>
      <c r="O8" s="52"/>
      <c r="P8" s="50"/>
      <c r="Q8" s="52"/>
      <c r="R8" s="50"/>
    </row>
    <row r="9" spans="1:18">
      <c r="A9" s="50"/>
      <c r="B9" s="50"/>
      <c r="C9" s="50"/>
      <c r="D9" s="50"/>
      <c r="E9" s="50"/>
      <c r="F9" s="50"/>
      <c r="G9" s="50"/>
      <c r="H9" s="53"/>
      <c r="I9" s="53"/>
      <c r="J9" s="53"/>
      <c r="K9" s="53"/>
      <c r="L9" s="53"/>
      <c r="M9" s="53"/>
      <c r="N9" s="53"/>
      <c r="O9" s="54"/>
      <c r="P9" s="52"/>
      <c r="Q9" s="52"/>
      <c r="R9" s="50"/>
    </row>
    <row r="10" spans="1:18">
      <c r="A10" s="50" t="s">
        <v>137</v>
      </c>
      <c r="B10" s="50"/>
      <c r="C10" s="50"/>
      <c r="D10" s="50"/>
      <c r="E10" s="50"/>
      <c r="F10" s="50"/>
      <c r="G10" s="50"/>
      <c r="H10" s="53"/>
      <c r="I10" s="53"/>
      <c r="J10" s="53"/>
      <c r="K10" s="53"/>
      <c r="L10" s="53"/>
      <c r="M10" s="53"/>
      <c r="N10" s="53"/>
      <c r="O10" s="54"/>
      <c r="P10" s="52"/>
      <c r="Q10" s="52"/>
      <c r="R10" s="50"/>
    </row>
    <row r="11" spans="1:18">
      <c r="A11" s="50"/>
      <c r="B11" s="50"/>
      <c r="C11" s="50"/>
      <c r="D11" s="50"/>
      <c r="E11" s="50"/>
      <c r="F11" s="50"/>
      <c r="G11" s="50"/>
      <c r="H11" s="53"/>
      <c r="I11" s="53"/>
      <c r="J11" s="53"/>
      <c r="K11" s="53"/>
      <c r="L11" s="53"/>
      <c r="M11" s="53"/>
      <c r="N11" s="53"/>
      <c r="O11" s="54"/>
      <c r="P11" s="52"/>
      <c r="Q11" s="52"/>
      <c r="R11" s="50"/>
    </row>
    <row r="12" spans="1:18">
      <c r="A12" s="50" t="s">
        <v>104</v>
      </c>
      <c r="B12" s="50"/>
      <c r="C12" s="50"/>
      <c r="D12" s="50"/>
      <c r="E12" s="50"/>
      <c r="F12" s="50"/>
      <c r="G12" s="50"/>
      <c r="H12" s="53"/>
      <c r="I12" s="53"/>
      <c r="J12" s="53"/>
      <c r="K12" s="53"/>
      <c r="L12" s="53"/>
      <c r="M12" s="53"/>
      <c r="N12" s="53"/>
      <c r="O12" s="54"/>
      <c r="P12" s="52"/>
      <c r="Q12" s="52"/>
      <c r="R12" s="50"/>
    </row>
    <row r="13" spans="1:18">
      <c r="A13" s="50"/>
      <c r="B13" s="50"/>
      <c r="C13" s="50"/>
      <c r="D13" s="50"/>
      <c r="E13" s="50"/>
      <c r="F13" s="50"/>
      <c r="G13" s="50"/>
      <c r="H13" s="53"/>
      <c r="I13" s="53"/>
      <c r="J13" s="53"/>
      <c r="K13" s="53"/>
      <c r="L13" s="53"/>
      <c r="M13" s="53"/>
      <c r="N13" s="53"/>
      <c r="O13" s="54"/>
      <c r="P13" s="52"/>
      <c r="Q13" s="52"/>
      <c r="R13" s="50"/>
    </row>
    <row r="14" spans="1:18">
      <c r="A14" s="50" t="s">
        <v>123</v>
      </c>
      <c r="B14" s="50"/>
      <c r="C14" s="50"/>
      <c r="D14" s="50"/>
      <c r="E14" s="50"/>
      <c r="F14" s="50"/>
      <c r="G14" s="50"/>
      <c r="H14" s="53"/>
      <c r="I14" s="53"/>
      <c r="J14" s="53"/>
      <c r="K14" s="53"/>
      <c r="L14" s="53"/>
      <c r="M14" s="53"/>
      <c r="N14" s="53"/>
      <c r="O14" s="54"/>
      <c r="P14" s="52"/>
      <c r="Q14" s="52"/>
      <c r="R14" s="50"/>
    </row>
    <row r="15" spans="1:18" ht="16.2">
      <c r="A15" s="50"/>
      <c r="B15" t="s">
        <v>126</v>
      </c>
      <c r="C15" s="50"/>
      <c r="D15" s="50"/>
      <c r="E15" s="50"/>
      <c r="F15" s="50"/>
      <c r="G15" s="50"/>
      <c r="H15" s="53"/>
      <c r="I15" s="53"/>
      <c r="J15" s="53"/>
      <c r="K15" s="53"/>
      <c r="L15" s="53"/>
      <c r="M15" s="53"/>
      <c r="N15" s="53"/>
      <c r="O15" s="54"/>
      <c r="P15" s="52"/>
      <c r="Q15" s="52"/>
      <c r="R15" s="50"/>
    </row>
    <row r="16" spans="1:18">
      <c r="A16" s="50"/>
      <c r="B16" s="50" t="s">
        <v>124</v>
      </c>
      <c r="C16" s="50"/>
      <c r="D16" s="50"/>
      <c r="E16" s="50"/>
      <c r="F16" s="50"/>
      <c r="G16" s="50"/>
      <c r="H16" s="53"/>
      <c r="I16" s="53"/>
      <c r="J16" s="53"/>
      <c r="K16" s="53"/>
      <c r="L16" s="53"/>
      <c r="M16" s="53"/>
      <c r="N16" s="53"/>
      <c r="O16" s="54"/>
      <c r="P16" s="52"/>
      <c r="Q16" s="52"/>
      <c r="R16" s="50"/>
    </row>
    <row r="17" spans="1:18">
      <c r="A17" s="50"/>
      <c r="B17" s="50" t="s">
        <v>127</v>
      </c>
      <c r="C17" s="50"/>
      <c r="D17" s="50"/>
      <c r="E17" s="50"/>
      <c r="F17" s="50"/>
      <c r="G17" s="50"/>
      <c r="H17" s="53"/>
      <c r="I17" s="53"/>
      <c r="J17" s="53"/>
      <c r="K17" s="53"/>
      <c r="L17" s="53"/>
      <c r="M17" s="53"/>
      <c r="N17" s="53"/>
      <c r="O17" s="54"/>
      <c r="P17" s="52"/>
      <c r="Q17" s="52"/>
      <c r="R17" s="50"/>
    </row>
    <row r="18" spans="1:18">
      <c r="A18" s="46"/>
      <c r="B18" s="50"/>
      <c r="C18" s="50"/>
      <c r="D18" s="50"/>
      <c r="E18" s="50"/>
      <c r="F18" s="50"/>
      <c r="G18" s="50"/>
      <c r="H18" s="53"/>
      <c r="I18" s="53"/>
      <c r="J18" s="53"/>
      <c r="K18" s="53"/>
      <c r="L18" s="53"/>
      <c r="M18" s="53"/>
      <c r="N18" s="53"/>
      <c r="O18" s="54"/>
      <c r="P18" s="52"/>
      <c r="Q18" s="52"/>
      <c r="R18" s="50"/>
    </row>
    <row r="19" spans="1:18">
      <c r="A19" s="46"/>
      <c r="B19" s="50" t="s">
        <v>125</v>
      </c>
      <c r="C19" s="50"/>
      <c r="D19" s="50"/>
      <c r="E19" s="50"/>
      <c r="F19" s="50"/>
      <c r="G19" s="50"/>
      <c r="H19" s="53"/>
      <c r="I19" s="53"/>
      <c r="J19" s="53"/>
      <c r="K19" s="53"/>
      <c r="L19" s="53"/>
      <c r="M19" s="53"/>
      <c r="N19" s="53"/>
      <c r="O19" s="54"/>
      <c r="P19" s="52"/>
      <c r="Q19" s="52"/>
      <c r="R19" s="50"/>
    </row>
    <row r="20" spans="1:18">
      <c r="A20" s="46"/>
      <c r="B20" s="50"/>
      <c r="C20" s="50"/>
      <c r="D20" s="50"/>
      <c r="E20" s="50"/>
      <c r="F20" s="50"/>
      <c r="G20" s="50"/>
      <c r="H20" s="53"/>
      <c r="I20" s="53"/>
      <c r="J20" s="53"/>
      <c r="K20" s="53"/>
      <c r="L20" s="53"/>
      <c r="M20" s="53"/>
      <c r="N20" s="53"/>
      <c r="O20" s="54"/>
      <c r="P20" s="52"/>
      <c r="Q20" s="52"/>
      <c r="R20" s="50"/>
    </row>
    <row r="21" spans="1:18">
      <c r="A21" s="50" t="s">
        <v>105</v>
      </c>
      <c r="B21" s="56"/>
      <c r="C21" s="56"/>
      <c r="D21" s="56"/>
      <c r="E21" s="56"/>
      <c r="F21" s="50"/>
      <c r="G21" s="50"/>
      <c r="H21" s="53"/>
      <c r="I21" s="53"/>
      <c r="J21" s="53"/>
      <c r="K21" s="53"/>
      <c r="L21" s="53"/>
      <c r="M21" s="53"/>
      <c r="N21" s="53"/>
      <c r="O21" s="54"/>
      <c r="P21" s="52"/>
      <c r="Q21" s="52"/>
      <c r="R21" s="50"/>
    </row>
    <row r="22" spans="1:18">
      <c r="A22" s="50"/>
      <c r="B22" s="50" t="s">
        <v>106</v>
      </c>
      <c r="C22" s="56"/>
      <c r="D22" s="56"/>
      <c r="E22" s="56"/>
      <c r="F22" s="50"/>
      <c r="G22" s="50"/>
      <c r="H22" s="53"/>
      <c r="I22" s="53"/>
      <c r="J22" s="53"/>
      <c r="K22" s="53"/>
      <c r="L22" s="53"/>
      <c r="M22" s="53"/>
      <c r="N22" s="53"/>
      <c r="O22" s="54"/>
      <c r="P22" s="52"/>
      <c r="Q22" s="52"/>
      <c r="R22" s="50"/>
    </row>
    <row r="23" spans="1:18">
      <c r="A23" s="50"/>
      <c r="B23" s="50"/>
      <c r="C23" s="50" t="s">
        <v>107</v>
      </c>
      <c r="D23" s="56"/>
      <c r="E23" s="56"/>
      <c r="F23" s="50"/>
      <c r="G23" s="50"/>
      <c r="H23" s="53"/>
      <c r="I23" s="53"/>
      <c r="J23" s="53"/>
      <c r="K23" s="53"/>
      <c r="L23" s="53"/>
      <c r="M23" s="53"/>
      <c r="N23" s="53"/>
      <c r="O23" s="54"/>
      <c r="P23" s="52"/>
      <c r="Q23" s="52"/>
      <c r="R23" s="50"/>
    </row>
    <row r="24" spans="1:18">
      <c r="A24" s="50"/>
      <c r="B24" s="50"/>
      <c r="C24" s="50" t="s">
        <v>108</v>
      </c>
      <c r="D24" s="56"/>
      <c r="E24" s="56"/>
      <c r="F24" s="50"/>
      <c r="G24" s="50"/>
      <c r="H24" s="53"/>
      <c r="I24" s="53"/>
      <c r="J24" s="53"/>
      <c r="K24" s="53"/>
      <c r="L24" s="53"/>
      <c r="M24" s="53"/>
      <c r="N24" s="53"/>
      <c r="O24" s="54"/>
      <c r="P24" s="52"/>
      <c r="Q24" s="52"/>
      <c r="R24" s="50"/>
    </row>
    <row r="25" spans="1:18">
      <c r="A25" s="50"/>
      <c r="B25" s="50"/>
      <c r="C25" s="50"/>
      <c r="D25" s="56"/>
      <c r="E25" s="56"/>
      <c r="F25" s="50"/>
      <c r="G25" s="50"/>
      <c r="H25" s="53"/>
      <c r="I25" s="53"/>
      <c r="J25" s="53"/>
      <c r="K25" s="53"/>
      <c r="L25" s="53"/>
      <c r="M25" s="53"/>
      <c r="N25" s="53"/>
      <c r="O25" s="54"/>
      <c r="P25" s="52"/>
      <c r="Q25" s="52"/>
      <c r="R25" s="50"/>
    </row>
    <row r="26" spans="1:18">
      <c r="A26" s="50"/>
      <c r="B26" s="50" t="s">
        <v>109</v>
      </c>
      <c r="C26" s="56"/>
      <c r="D26" s="56"/>
      <c r="E26" s="56"/>
      <c r="F26" s="50"/>
      <c r="G26" s="50"/>
      <c r="H26" s="53"/>
      <c r="I26" s="53"/>
      <c r="J26" s="53"/>
      <c r="K26" s="53"/>
      <c r="L26" s="53"/>
      <c r="M26" s="53"/>
      <c r="N26" s="53"/>
      <c r="O26" s="54"/>
      <c r="P26" s="52"/>
      <c r="Q26" s="52"/>
      <c r="R26" s="50"/>
    </row>
    <row r="27" spans="1:18">
      <c r="A27" s="50"/>
      <c r="B27" s="50"/>
      <c r="C27" s="56"/>
      <c r="D27" s="56"/>
      <c r="E27" s="56"/>
      <c r="F27" s="50"/>
      <c r="G27" s="50"/>
      <c r="H27" s="53"/>
      <c r="I27" s="53"/>
      <c r="J27" s="53"/>
      <c r="K27" s="53"/>
      <c r="L27" s="53"/>
      <c r="M27" s="53"/>
      <c r="N27" s="53"/>
      <c r="O27" s="54"/>
      <c r="P27" s="52"/>
      <c r="Q27" s="52"/>
      <c r="R27" s="50"/>
    </row>
    <row r="28" spans="1:18">
      <c r="A28" s="50" t="s">
        <v>110</v>
      </c>
      <c r="B28" s="50"/>
      <c r="C28" s="56"/>
      <c r="D28" s="56"/>
      <c r="E28" s="56"/>
      <c r="F28" s="50"/>
      <c r="G28" s="50"/>
      <c r="H28" s="53"/>
      <c r="I28" s="53"/>
      <c r="J28" s="53"/>
      <c r="K28" s="53"/>
      <c r="L28" s="53"/>
      <c r="M28" s="53"/>
      <c r="N28" s="53"/>
      <c r="O28" s="54"/>
      <c r="P28" s="52"/>
      <c r="Q28" s="52"/>
      <c r="R28" s="50"/>
    </row>
    <row r="31" spans="1:18">
      <c r="A31" t="s">
        <v>111</v>
      </c>
    </row>
    <row r="32" spans="1:18">
      <c r="B32" t="s">
        <v>112</v>
      </c>
    </row>
    <row r="33" spans="1:7">
      <c r="B33" t="s">
        <v>113</v>
      </c>
    </row>
    <row r="34" spans="1:7">
      <c r="B34" s="57" t="s">
        <v>114</v>
      </c>
      <c r="C34" s="57"/>
      <c r="D34" s="57"/>
      <c r="E34" s="57"/>
      <c r="F34" s="57"/>
      <c r="G34" s="57"/>
    </row>
    <row r="35" spans="1:7">
      <c r="B35" s="57"/>
      <c r="C35" s="57"/>
      <c r="D35" s="57"/>
      <c r="E35" s="57"/>
      <c r="F35" s="57"/>
      <c r="G35" s="57"/>
    </row>
    <row r="36" spans="1:7">
      <c r="A36" t="s">
        <v>210</v>
      </c>
      <c r="B36" s="57"/>
      <c r="C36" s="57"/>
      <c r="D36" s="57"/>
      <c r="E36" s="57"/>
      <c r="F36" s="57"/>
      <c r="G36" s="57"/>
    </row>
    <row r="37" spans="1:7">
      <c r="B37" s="50" t="s">
        <v>211</v>
      </c>
      <c r="C37" s="57"/>
      <c r="D37" s="57"/>
      <c r="E37" s="57"/>
      <c r="F37" s="57"/>
      <c r="G37" s="57"/>
    </row>
    <row r="38" spans="1:7">
      <c r="B38" s="57"/>
      <c r="C38" s="57"/>
      <c r="D38" s="57"/>
      <c r="E38" s="57"/>
      <c r="F38" s="57"/>
      <c r="G38" s="57"/>
    </row>
    <row r="39" spans="1:7">
      <c r="A39" t="s">
        <v>212</v>
      </c>
      <c r="B39" s="57"/>
      <c r="C39" s="57"/>
      <c r="D39" s="57"/>
      <c r="E39" s="57"/>
      <c r="F39" s="57"/>
      <c r="G39" s="57"/>
    </row>
    <row r="40" spans="1:7">
      <c r="B40" s="57"/>
      <c r="C40" s="57"/>
      <c r="D40" s="57"/>
      <c r="E40" s="57"/>
      <c r="F40" s="57"/>
      <c r="G40" s="57"/>
    </row>
    <row r="41" spans="1:7">
      <c r="A41" t="s">
        <v>115</v>
      </c>
      <c r="B41" s="57"/>
      <c r="C41" s="57"/>
      <c r="D41" s="57"/>
      <c r="E41" s="57"/>
      <c r="F41" s="57"/>
      <c r="G41" s="57"/>
    </row>
    <row r="42" spans="1:7">
      <c r="B42" s="57"/>
      <c r="C42" s="57"/>
      <c r="D42" s="57"/>
      <c r="E42" s="57"/>
      <c r="F42" s="57"/>
      <c r="G42" s="57"/>
    </row>
    <row r="43" spans="1:7">
      <c r="A43" t="s">
        <v>116</v>
      </c>
      <c r="B43" s="57"/>
      <c r="C43" s="57"/>
      <c r="D43" s="57"/>
      <c r="E43" s="57"/>
      <c r="F43" s="57"/>
      <c r="G43" s="57"/>
    </row>
    <row r="44" spans="1:7">
      <c r="B44" s="57"/>
      <c r="C44" s="57"/>
      <c r="D44" s="57"/>
      <c r="E44" s="57"/>
      <c r="F44" s="57"/>
      <c r="G44" s="57"/>
    </row>
    <row r="45" spans="1:7">
      <c r="A45" t="s">
        <v>117</v>
      </c>
      <c r="B45" s="57"/>
      <c r="C45" s="57"/>
      <c r="D45" s="57"/>
      <c r="E45" s="57"/>
      <c r="F45" s="57"/>
      <c r="G45" s="57"/>
    </row>
    <row r="47" spans="1:7">
      <c r="A47" t="s">
        <v>122</v>
      </c>
    </row>
  </sheetData>
  <hyperlinks>
    <hyperlink ref="G4" r:id="rId1" xr:uid="{01DCCB22-8A51-406D-9191-5BAD524BB0B7}"/>
    <hyperlink ref="G4:I4" r:id="rId2" display="hbarreto@depauw,edu" xr:uid="{47F91C95-0A0D-43F8-9204-F572B808E82D}"/>
    <hyperlink ref="B34:G34" r:id="rId3" display="https://www.google.com/search?q=excel+enable+macros" xr:uid="{74D00645-DB88-4158-AF87-583443EB0C0D}"/>
    <hyperlink ref="B34" r:id="rId4" xr:uid="{225A2BBB-205A-4A4E-8842-0E6B8C45C72B}"/>
  </hyperlinks>
  <pageMargins left="0.7" right="0.7" top="0.75" bottom="0.75" header="0.3" footer="0.3"/>
  <pageSetup orientation="portrait" verticalDpi="1200" r:id="rId5"/>
  <drawing r:id="rId6"/>
  <legacyDrawing r:id="rId7"/>
  <mc:AlternateContent xmlns:mc="http://schemas.openxmlformats.org/markup-compatibility/2006">
    <mc:Choice Requires="x14">
      <controls>
        <mc:AlternateContent xmlns:mc="http://schemas.openxmlformats.org/markup-compatibility/2006">
          <mc:Choice Requires="x14">
            <control shapeId="8193" r:id="rId8" name="Button 1">
              <controlPr defaultSize="0" print="0" autoFill="0" autoPict="0" macro="[0]!ClicktoTest">
                <anchor moveWithCells="1" sizeWithCells="1">
                  <from>
                    <xdr:col>5</xdr:col>
                    <xdr:colOff>342900</xdr:colOff>
                    <xdr:row>27</xdr:row>
                    <xdr:rowOff>121920</xdr:rowOff>
                  </from>
                  <to>
                    <xdr:col>7</xdr:col>
                    <xdr:colOff>251460</xdr:colOff>
                    <xdr:row>29</xdr:row>
                    <xdr:rowOff>137160</xdr:rowOff>
                  </to>
                </anchor>
              </controlPr>
            </control>
          </mc:Choice>
        </mc:AlternateContent>
        <mc:AlternateContent xmlns:mc="http://schemas.openxmlformats.org/markup-compatibility/2006">
          <mc:Choice Requires="x14">
            <control shapeId="8194" r:id="rId9" name="Button 2">
              <controlPr defaultSize="0" print="0" autoFill="0" autoPict="0" macro="[0]!GotoGeometry">
                <anchor moveWithCells="1" sizeWithCells="1">
                  <from>
                    <xdr:col>2</xdr:col>
                    <xdr:colOff>419100</xdr:colOff>
                    <xdr:row>47</xdr:row>
                    <xdr:rowOff>121920</xdr:rowOff>
                  </from>
                  <to>
                    <xdr:col>4</xdr:col>
                    <xdr:colOff>327660</xdr:colOff>
                    <xdr:row>49</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CF0BF-64F3-43BE-A901-5624CB4D3812}">
  <sheetPr codeName="Sheet2"/>
  <dimension ref="A1:J20"/>
  <sheetViews>
    <sheetView showGridLines="0" workbookViewId="0">
      <selection activeCell="I14" sqref="I14"/>
    </sheetView>
  </sheetViews>
  <sheetFormatPr defaultRowHeight="14.4"/>
  <sheetData>
    <row r="1" spans="1:9">
      <c r="A1" t="s">
        <v>128</v>
      </c>
    </row>
    <row r="4" spans="1:9">
      <c r="I4" s="60" t="s">
        <v>140</v>
      </c>
    </row>
    <row r="5" spans="1:9">
      <c r="I5" t="s">
        <v>143</v>
      </c>
    </row>
    <row r="6" spans="1:9">
      <c r="I6" t="s">
        <v>141</v>
      </c>
    </row>
    <row r="8" spans="1:9">
      <c r="I8" s="61" t="s">
        <v>142</v>
      </c>
    </row>
    <row r="9" spans="1:9">
      <c r="I9" t="s">
        <v>144</v>
      </c>
    </row>
    <row r="10" spans="1:9">
      <c r="I10" t="s">
        <v>145</v>
      </c>
    </row>
    <row r="11" spans="1:9">
      <c r="I11" t="s">
        <v>146</v>
      </c>
    </row>
    <row r="20" spans="10:10">
      <c r="J20"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otoOLS">
                <anchor moveWithCells="1" sizeWithCells="1">
                  <from>
                    <xdr:col>9</xdr:col>
                    <xdr:colOff>525780</xdr:colOff>
                    <xdr:row>13</xdr:row>
                    <xdr:rowOff>114300</xdr:rowOff>
                  </from>
                  <to>
                    <xdr:col>11</xdr:col>
                    <xdr:colOff>434340</xdr:colOff>
                    <xdr:row>15</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A6012-2945-425E-AD02-98AFF15ECCC3}">
  <sheetPr codeName="Sheet10"/>
  <dimension ref="A1:O28"/>
  <sheetViews>
    <sheetView showGridLines="0" workbookViewId="0">
      <selection activeCell="I14" sqref="I14"/>
    </sheetView>
  </sheetViews>
  <sheetFormatPr defaultRowHeight="14.4"/>
  <cols>
    <col min="1" max="1" width="9.6640625" customWidth="1"/>
  </cols>
  <sheetData>
    <row r="1" spans="1:15">
      <c r="A1" s="62" t="s">
        <v>147</v>
      </c>
      <c r="B1" t="s">
        <v>3</v>
      </c>
      <c r="C1" t="s">
        <v>4</v>
      </c>
      <c r="E1" t="s">
        <v>15</v>
      </c>
      <c r="F1" t="s">
        <v>14</v>
      </c>
      <c r="H1">
        <v>0</v>
      </c>
      <c r="I1" t="s">
        <v>14</v>
      </c>
      <c r="J1" t="s">
        <v>18</v>
      </c>
      <c r="K1" t="s">
        <v>16</v>
      </c>
      <c r="L1" t="s">
        <v>17</v>
      </c>
      <c r="N1" t="s">
        <v>150</v>
      </c>
    </row>
    <row r="2" spans="1:15">
      <c r="A2" s="58"/>
      <c r="B2">
        <v>1</v>
      </c>
      <c r="C2">
        <v>2</v>
      </c>
      <c r="E2" s="64">
        <f t="array" ref="E2:F6">LINEST(C2:C6,B2:B6,1,1)</f>
        <v>0.19999999999999996</v>
      </c>
      <c r="F2">
        <v>2.2400000000000002</v>
      </c>
      <c r="H2">
        <v>0.5</v>
      </c>
      <c r="I2" t="s">
        <v>15</v>
      </c>
      <c r="J2">
        <f>$H$1+$H$2*B2</f>
        <v>0.5</v>
      </c>
      <c r="K2">
        <f>C2-J2</f>
        <v>1.5</v>
      </c>
      <c r="L2">
        <f>K2^2</f>
        <v>2.25</v>
      </c>
      <c r="N2" s="59" t="s">
        <v>151</v>
      </c>
    </row>
    <row r="3" spans="1:15">
      <c r="A3" s="46"/>
      <c r="B3">
        <v>2</v>
      </c>
      <c r="C3">
        <v>2.1</v>
      </c>
      <c r="E3">
        <v>0.45062918976323163</v>
      </c>
      <c r="F3">
        <v>1.4945679420265019</v>
      </c>
      <c r="J3">
        <f>$H$1+$H$2*B3</f>
        <v>1</v>
      </c>
      <c r="K3">
        <f>C3-J3</f>
        <v>1.1000000000000001</v>
      </c>
      <c r="L3">
        <f t="shared" ref="L3:L6" si="0">K3^2</f>
        <v>1.2100000000000002</v>
      </c>
      <c r="N3" t="s">
        <v>131</v>
      </c>
    </row>
    <row r="4" spans="1:15">
      <c r="A4" s="46"/>
      <c r="B4">
        <v>3</v>
      </c>
      <c r="C4">
        <v>5</v>
      </c>
      <c r="E4">
        <v>6.1614294516327842E-2</v>
      </c>
      <c r="F4">
        <v>1.4250146198080447</v>
      </c>
      <c r="J4">
        <f>$H$1+$H$2*B4</f>
        <v>1.5</v>
      </c>
      <c r="K4">
        <f>C4-J4</f>
        <v>3.5</v>
      </c>
      <c r="L4">
        <f t="shared" si="0"/>
        <v>12.25</v>
      </c>
      <c r="N4" t="s">
        <v>132</v>
      </c>
    </row>
    <row r="5" spans="1:15">
      <c r="B5">
        <v>4</v>
      </c>
      <c r="C5">
        <v>2.1</v>
      </c>
      <c r="E5">
        <v>0.19697964543663843</v>
      </c>
      <c r="F5">
        <v>3</v>
      </c>
      <c r="J5">
        <f>$H$1+$H$2*B5</f>
        <v>2</v>
      </c>
      <c r="K5">
        <f>C5-J5</f>
        <v>0.10000000000000009</v>
      </c>
      <c r="L5">
        <f t="shared" si="0"/>
        <v>1.0000000000000018E-2</v>
      </c>
      <c r="N5" t="s">
        <v>133</v>
      </c>
    </row>
    <row r="6" spans="1:15" ht="15" thickBot="1">
      <c r="B6">
        <v>5</v>
      </c>
      <c r="C6">
        <v>3</v>
      </c>
      <c r="E6">
        <v>0.40000000000000036</v>
      </c>
      <c r="F6">
        <v>6.0919999999999996</v>
      </c>
      <c r="G6" t="s">
        <v>170</v>
      </c>
      <c r="J6">
        <f>$H$1+$H$2*B6</f>
        <v>2.5</v>
      </c>
      <c r="K6">
        <f>C6-J6</f>
        <v>0.5</v>
      </c>
      <c r="L6" s="3">
        <f t="shared" si="0"/>
        <v>0.25</v>
      </c>
      <c r="N6" s="59" t="s">
        <v>149</v>
      </c>
    </row>
    <row r="7" spans="1:15" ht="15" thickTop="1">
      <c r="L7" s="2">
        <f>SUM(L2:L6)</f>
        <v>15.97</v>
      </c>
      <c r="M7" t="s">
        <v>167</v>
      </c>
      <c r="N7" t="s">
        <v>134</v>
      </c>
    </row>
    <row r="8" spans="1:15">
      <c r="A8" t="s">
        <v>129</v>
      </c>
      <c r="N8" t="s">
        <v>135</v>
      </c>
    </row>
    <row r="9" spans="1:15">
      <c r="B9" t="s">
        <v>5</v>
      </c>
      <c r="C9" t="s">
        <v>3</v>
      </c>
      <c r="D9" t="s">
        <v>4</v>
      </c>
      <c r="N9" s="59" t="s">
        <v>136</v>
      </c>
    </row>
    <row r="10" spans="1:15">
      <c r="B10">
        <v>1</v>
      </c>
      <c r="C10">
        <f>B2</f>
        <v>1</v>
      </c>
      <c r="D10">
        <f>C2</f>
        <v>2</v>
      </c>
      <c r="N10" t="s">
        <v>138</v>
      </c>
    </row>
    <row r="11" spans="1:15">
      <c r="B11">
        <v>1</v>
      </c>
      <c r="C11">
        <f t="shared" ref="C11:D14" si="1">B3</f>
        <v>2</v>
      </c>
      <c r="D11">
        <f t="shared" si="1"/>
        <v>2.1</v>
      </c>
    </row>
    <row r="12" spans="1:15">
      <c r="B12">
        <v>1</v>
      </c>
      <c r="C12">
        <f t="shared" si="1"/>
        <v>3</v>
      </c>
      <c r="D12">
        <f t="shared" si="1"/>
        <v>5</v>
      </c>
      <c r="O12" s="59" t="s">
        <v>148</v>
      </c>
    </row>
    <row r="13" spans="1:15">
      <c r="B13">
        <v>1</v>
      </c>
      <c r="C13">
        <f t="shared" si="1"/>
        <v>4</v>
      </c>
      <c r="D13">
        <f t="shared" si="1"/>
        <v>2.1</v>
      </c>
    </row>
    <row r="14" spans="1:15">
      <c r="B14">
        <v>1</v>
      </c>
      <c r="C14">
        <f t="shared" si="1"/>
        <v>5</v>
      </c>
      <c r="D14">
        <f t="shared" si="1"/>
        <v>3</v>
      </c>
    </row>
    <row r="16" spans="1:15">
      <c r="B16" t="s">
        <v>6</v>
      </c>
    </row>
    <row r="17" spans="2:6">
      <c r="B17">
        <f t="array" ref="B17:C18">MMULT(TRANSPOSE(B10:C14),B10:C14)</f>
        <v>5</v>
      </c>
      <c r="C17">
        <v>15</v>
      </c>
    </row>
    <row r="18" spans="2:6">
      <c r="B18">
        <v>15</v>
      </c>
      <c r="C18">
        <v>55</v>
      </c>
    </row>
    <row r="19" spans="2:6" ht="16.2">
      <c r="B19" t="s">
        <v>7</v>
      </c>
    </row>
    <row r="20" spans="2:6">
      <c r="B20">
        <f t="array" ref="B20:C21">MINVERSE(B17:C18)</f>
        <v>1.1000000000000005</v>
      </c>
      <c r="C20">
        <v>-0.3000000000000001</v>
      </c>
    </row>
    <row r="21" spans="2:6">
      <c r="B21">
        <v>-0.3000000000000001</v>
      </c>
      <c r="C21">
        <v>0.10000000000000003</v>
      </c>
    </row>
    <row r="23" spans="2:6" ht="16.2">
      <c r="B23" t="s">
        <v>8</v>
      </c>
    </row>
    <row r="24" spans="2:6">
      <c r="B24">
        <f t="array" ref="B24:F25">MMULT(B20:C21,TRANSPOSE(B10:C14))</f>
        <v>0.80000000000000049</v>
      </c>
      <c r="C24">
        <v>0.50000000000000033</v>
      </c>
      <c r="D24">
        <v>0.20000000000000018</v>
      </c>
      <c r="E24">
        <v>-9.9999999999999867E-2</v>
      </c>
      <c r="F24">
        <v>-0.39999999999999991</v>
      </c>
    </row>
    <row r="25" spans="2:6">
      <c r="B25">
        <v>-0.20000000000000007</v>
      </c>
      <c r="C25">
        <v>-0.10000000000000003</v>
      </c>
      <c r="D25">
        <v>0</v>
      </c>
      <c r="E25">
        <v>0.10000000000000003</v>
      </c>
      <c r="F25">
        <v>0.20000000000000012</v>
      </c>
    </row>
    <row r="26" spans="2:6" ht="16.2">
      <c r="B26" t="s">
        <v>9</v>
      </c>
    </row>
    <row r="27" spans="2:6">
      <c r="B27">
        <f t="array" ref="B27:B28">MMULT(B24:F25,D10:D14)</f>
        <v>2.2400000000000033</v>
      </c>
      <c r="C27" t="s">
        <v>14</v>
      </c>
    </row>
    <row r="28" spans="2:6">
      <c r="B28" s="64">
        <v>0.20000000000000018</v>
      </c>
      <c r="C28" t="s">
        <v>15</v>
      </c>
      <c r="D28" t="s">
        <v>130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NextScreenOLS">
                <anchor moveWithCells="1" sizeWithCells="1">
                  <from>
                    <xdr:col>15</xdr:col>
                    <xdr:colOff>472440</xdr:colOff>
                    <xdr:row>17</xdr:row>
                    <xdr:rowOff>99060</xdr:rowOff>
                  </from>
                  <to>
                    <xdr:col>17</xdr:col>
                    <xdr:colOff>381000</xdr:colOff>
                    <xdr:row>19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4F6E4-7B35-4D6B-AA05-9F4605635A0C}">
  <sheetPr codeName="Sheet11"/>
  <dimension ref="A1:S28"/>
  <sheetViews>
    <sheetView showGridLines="0" workbookViewId="0">
      <selection activeCell="I14" sqref="I14"/>
    </sheetView>
  </sheetViews>
  <sheetFormatPr defaultRowHeight="14.4"/>
  <cols>
    <col min="1" max="1" width="11.6640625" customWidth="1"/>
    <col min="16" max="16" width="11" bestFit="1" customWidth="1"/>
  </cols>
  <sheetData>
    <row r="1" spans="1:19">
      <c r="A1" s="62" t="s">
        <v>171</v>
      </c>
      <c r="B1" t="s">
        <v>3</v>
      </c>
      <c r="C1" t="s">
        <v>4</v>
      </c>
      <c r="E1" t="s">
        <v>15</v>
      </c>
      <c r="F1" t="s">
        <v>14</v>
      </c>
      <c r="H1">
        <v>2.2399923496177387</v>
      </c>
      <c r="I1" t="s">
        <v>14</v>
      </c>
      <c r="J1" t="s">
        <v>18</v>
      </c>
      <c r="K1" t="s">
        <v>16</v>
      </c>
      <c r="L1" t="s">
        <v>17</v>
      </c>
      <c r="N1">
        <v>0.5</v>
      </c>
      <c r="O1" t="s">
        <v>19</v>
      </c>
      <c r="P1" t="s">
        <v>20</v>
      </c>
      <c r="Q1" t="s">
        <v>21</v>
      </c>
      <c r="R1" t="s">
        <v>22</v>
      </c>
    </row>
    <row r="2" spans="1:19">
      <c r="A2" s="58"/>
      <c r="B2">
        <v>1</v>
      </c>
      <c r="C2">
        <v>2</v>
      </c>
      <c r="E2" s="64">
        <f t="array" ref="E2:F6">LINEST(C2:C6,B2:B6,1,1)</f>
        <v>0.19999999999999996</v>
      </c>
      <c r="F2">
        <v>2.2400000000000002</v>
      </c>
      <c r="H2" s="64">
        <v>0.2000020429087801</v>
      </c>
      <c r="I2" t="s">
        <v>15</v>
      </c>
      <c r="J2">
        <f>$H$1+$H$2*B2</f>
        <v>2.4399943925265188</v>
      </c>
      <c r="K2">
        <f>C2-J2</f>
        <v>-0.43999439252651884</v>
      </c>
      <c r="L2">
        <f>K2^2</f>
        <v>0.19359506545478034</v>
      </c>
      <c r="N2" s="63">
        <v>0.5</v>
      </c>
      <c r="O2" t="s">
        <v>23</v>
      </c>
      <c r="P2">
        <f>$N$1+$N$2*B2</f>
        <v>1</v>
      </c>
      <c r="Q2">
        <f>(C2-P2)/(SQRT(1+$N$2^2))</f>
        <v>0.89442719099991586</v>
      </c>
      <c r="R2">
        <f>Q2^2</f>
        <v>0.79999999999999993</v>
      </c>
    </row>
    <row r="3" spans="1:19">
      <c r="A3" s="46"/>
      <c r="B3">
        <v>2</v>
      </c>
      <c r="C3">
        <v>2.1</v>
      </c>
      <c r="E3">
        <v>0.45062918976323163</v>
      </c>
      <c r="F3">
        <v>1.4945679420265019</v>
      </c>
      <c r="J3">
        <f>$H$1+$H$2*B3</f>
        <v>2.6399964354352989</v>
      </c>
      <c r="K3">
        <f>C3-J3</f>
        <v>-0.53999643543529885</v>
      </c>
      <c r="L3">
        <f t="shared" ref="L3:L6" si="0">K3^2</f>
        <v>0.29159615028282887</v>
      </c>
      <c r="P3">
        <f t="shared" ref="P3:P6" si="1">$N$1+$N$2*B3</f>
        <v>1.5</v>
      </c>
      <c r="Q3">
        <f t="shared" ref="Q3:Q6" si="2">(C3-P3)/(SQRT(1+$N$2^2))</f>
        <v>0.53665631459994956</v>
      </c>
      <c r="R3">
        <f t="shared" ref="R3:R6" si="3">Q3^2</f>
        <v>0.28800000000000003</v>
      </c>
    </row>
    <row r="4" spans="1:19">
      <c r="A4" s="46"/>
      <c r="B4">
        <v>3</v>
      </c>
      <c r="C4">
        <v>5</v>
      </c>
      <c r="E4">
        <v>6.1614294516327842E-2</v>
      </c>
      <c r="F4">
        <v>1.4250146198080447</v>
      </c>
      <c r="J4">
        <f>$H$1+$H$2*B4</f>
        <v>2.839998478344079</v>
      </c>
      <c r="K4">
        <f>C4-J4</f>
        <v>2.160001521655921</v>
      </c>
      <c r="L4">
        <f t="shared" si="0"/>
        <v>4.6656065735558938</v>
      </c>
      <c r="P4">
        <f t="shared" si="1"/>
        <v>2</v>
      </c>
      <c r="Q4">
        <f t="shared" si="2"/>
        <v>2.6832815729997477</v>
      </c>
      <c r="R4">
        <f t="shared" si="3"/>
        <v>7.2</v>
      </c>
    </row>
    <row r="5" spans="1:19">
      <c r="B5">
        <v>4</v>
      </c>
      <c r="C5">
        <v>2.1</v>
      </c>
      <c r="E5">
        <v>0.19697964543663843</v>
      </c>
      <c r="F5">
        <v>3</v>
      </c>
      <c r="J5">
        <f>$H$1+$H$2*B5</f>
        <v>3.0400005212528591</v>
      </c>
      <c r="K5">
        <f>C5-J5</f>
        <v>-0.94000052125285904</v>
      </c>
      <c r="L5">
        <f t="shared" si="0"/>
        <v>0.88360097995564668</v>
      </c>
      <c r="P5">
        <f t="shared" si="1"/>
        <v>2.5</v>
      </c>
      <c r="Q5">
        <f t="shared" si="2"/>
        <v>-0.35777087639996624</v>
      </c>
      <c r="R5">
        <f t="shared" si="3"/>
        <v>0.12799999999999992</v>
      </c>
    </row>
    <row r="6" spans="1:19" ht="15" thickBot="1">
      <c r="B6">
        <v>5</v>
      </c>
      <c r="C6">
        <v>3</v>
      </c>
      <c r="E6">
        <v>0.40000000000000036</v>
      </c>
      <c r="F6">
        <v>6.0919999999999996</v>
      </c>
      <c r="G6" t="s">
        <v>170</v>
      </c>
      <c r="J6">
        <f>$H$1+$H$2*B6</f>
        <v>3.2400025641616392</v>
      </c>
      <c r="K6">
        <f>C6-J6</f>
        <v>-0.24000256416163923</v>
      </c>
      <c r="L6" s="3">
        <f t="shared" si="0"/>
        <v>5.7601230804161754E-2</v>
      </c>
      <c r="P6">
        <f t="shared" si="1"/>
        <v>3</v>
      </c>
      <c r="Q6">
        <f t="shared" si="2"/>
        <v>0</v>
      </c>
      <c r="R6" s="3">
        <f t="shared" si="3"/>
        <v>0</v>
      </c>
    </row>
    <row r="7" spans="1:19" ht="15" thickTop="1">
      <c r="L7" s="2">
        <f>SUM(L2:L6)</f>
        <v>6.0920000000533117</v>
      </c>
      <c r="M7" t="s">
        <v>167</v>
      </c>
      <c r="R7" s="2">
        <f>SUM(R2:R6)</f>
        <v>8.4160000000000004</v>
      </c>
      <c r="S7" t="s">
        <v>167</v>
      </c>
    </row>
    <row r="8" spans="1:19">
      <c r="A8" t="s">
        <v>129</v>
      </c>
      <c r="N8" t="s">
        <v>139</v>
      </c>
    </row>
    <row r="9" spans="1:19">
      <c r="B9" t="s">
        <v>5</v>
      </c>
      <c r="C9" t="s">
        <v>3</v>
      </c>
      <c r="D9" t="s">
        <v>4</v>
      </c>
      <c r="N9" s="59" t="s">
        <v>152</v>
      </c>
    </row>
    <row r="10" spans="1:19">
      <c r="B10">
        <v>1</v>
      </c>
      <c r="C10">
        <f>B2</f>
        <v>1</v>
      </c>
      <c r="D10">
        <f>C2</f>
        <v>2</v>
      </c>
      <c r="N10" t="s">
        <v>153</v>
      </c>
    </row>
    <row r="11" spans="1:19">
      <c r="B11">
        <v>1</v>
      </c>
      <c r="C11">
        <f t="shared" ref="C11:D14" si="4">B3</f>
        <v>2</v>
      </c>
      <c r="D11">
        <f t="shared" si="4"/>
        <v>2.1</v>
      </c>
      <c r="N11" t="s">
        <v>154</v>
      </c>
    </row>
    <row r="12" spans="1:19">
      <c r="B12">
        <v>1</v>
      </c>
      <c r="C12">
        <f t="shared" si="4"/>
        <v>3</v>
      </c>
      <c r="D12">
        <f t="shared" si="4"/>
        <v>5</v>
      </c>
      <c r="N12" t="s">
        <v>155</v>
      </c>
    </row>
    <row r="13" spans="1:19">
      <c r="B13">
        <v>1</v>
      </c>
      <c r="C13">
        <f t="shared" si="4"/>
        <v>4</v>
      </c>
      <c r="D13">
        <f t="shared" si="4"/>
        <v>2.1</v>
      </c>
      <c r="N13" s="59" t="s">
        <v>156</v>
      </c>
    </row>
    <row r="14" spans="1:19">
      <c r="B14">
        <v>1</v>
      </c>
      <c r="C14">
        <f t="shared" si="4"/>
        <v>5</v>
      </c>
      <c r="D14">
        <f t="shared" si="4"/>
        <v>3</v>
      </c>
      <c r="N14" s="59"/>
    </row>
    <row r="15" spans="1:19">
      <c r="N15" s="59"/>
    </row>
    <row r="16" spans="1:19">
      <c r="B16" t="s">
        <v>6</v>
      </c>
      <c r="O16" s="59" t="s">
        <v>157</v>
      </c>
    </row>
    <row r="17" spans="2:6">
      <c r="B17">
        <f t="array" ref="B17:C18">MMULT(TRANSPOSE(B10:C14),B10:C14)</f>
        <v>5</v>
      </c>
      <c r="C17">
        <v>15</v>
      </c>
    </row>
    <row r="18" spans="2:6">
      <c r="B18">
        <v>15</v>
      </c>
      <c r="C18">
        <v>55</v>
      </c>
    </row>
    <row r="19" spans="2:6" ht="16.2">
      <c r="B19" t="s">
        <v>7</v>
      </c>
    </row>
    <row r="20" spans="2:6">
      <c r="B20">
        <f t="array" ref="B20:C21">MINVERSE(B17:C18)</f>
        <v>1.1000000000000005</v>
      </c>
      <c r="C20">
        <v>-0.3000000000000001</v>
      </c>
    </row>
    <row r="21" spans="2:6">
      <c r="B21">
        <v>-0.3000000000000001</v>
      </c>
      <c r="C21">
        <v>0.10000000000000003</v>
      </c>
    </row>
    <row r="23" spans="2:6" ht="16.2">
      <c r="B23" t="s">
        <v>8</v>
      </c>
    </row>
    <row r="24" spans="2:6">
      <c r="B24">
        <f t="array" ref="B24:F25">MMULT(B20:C21,TRANSPOSE(B10:C14))</f>
        <v>0.80000000000000049</v>
      </c>
      <c r="C24">
        <v>0.50000000000000033</v>
      </c>
      <c r="D24">
        <v>0.20000000000000018</v>
      </c>
      <c r="E24">
        <v>-9.9999999999999867E-2</v>
      </c>
      <c r="F24">
        <v>-0.39999999999999991</v>
      </c>
    </row>
    <row r="25" spans="2:6">
      <c r="B25">
        <v>-0.20000000000000007</v>
      </c>
      <c r="C25">
        <v>-0.10000000000000003</v>
      </c>
      <c r="D25">
        <v>0</v>
      </c>
      <c r="E25">
        <v>0.10000000000000003</v>
      </c>
      <c r="F25">
        <v>0.20000000000000012</v>
      </c>
    </row>
    <row r="26" spans="2:6" ht="16.2">
      <c r="B26" t="s">
        <v>9</v>
      </c>
    </row>
    <row r="27" spans="2:6">
      <c r="B27">
        <f t="array" ref="B27:B28">MMULT(B24:F25,D10:D14)</f>
        <v>2.2400000000000033</v>
      </c>
      <c r="C27" t="s">
        <v>14</v>
      </c>
    </row>
    <row r="28" spans="2:6">
      <c r="B28" s="64">
        <v>0.20000000000000018</v>
      </c>
      <c r="C28" t="s">
        <v>15</v>
      </c>
      <c r="D28" t="s">
        <v>130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NextScreenOrtho">
                <anchor moveWithCells="1" sizeWithCells="1">
                  <from>
                    <xdr:col>14</xdr:col>
                    <xdr:colOff>335280</xdr:colOff>
                    <xdr:row>20</xdr:row>
                    <xdr:rowOff>76200</xdr:rowOff>
                  </from>
                  <to>
                    <xdr:col>16</xdr:col>
                    <xdr:colOff>99060</xdr:colOff>
                    <xdr:row>22</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7D1ED-08DA-4CCB-AF98-51CADA71AB8B}">
  <sheetPr codeName="Sheet9"/>
  <dimension ref="A1:B29"/>
  <sheetViews>
    <sheetView showGridLines="0" topLeftCell="A15" workbookViewId="0">
      <selection activeCell="A29" sqref="A29"/>
    </sheetView>
  </sheetViews>
  <sheetFormatPr defaultRowHeight="14.4"/>
  <sheetData>
    <row r="1" spans="1:2">
      <c r="A1" s="48">
        <v>45902</v>
      </c>
    </row>
    <row r="2" spans="1:2">
      <c r="A2" t="s">
        <v>50</v>
      </c>
    </row>
    <row r="4" spans="1:2">
      <c r="A4" t="s">
        <v>51</v>
      </c>
    </row>
    <row r="5" spans="1:2">
      <c r="B5" t="s">
        <v>52</v>
      </c>
    </row>
    <row r="7" spans="1:2">
      <c r="A7" t="s">
        <v>53</v>
      </c>
    </row>
    <row r="8" spans="1:2">
      <c r="B8" t="s">
        <v>57</v>
      </c>
    </row>
    <row r="9" spans="1:2">
      <c r="B9" t="s">
        <v>58</v>
      </c>
    </row>
    <row r="10" spans="1:2">
      <c r="B10" t="s">
        <v>81</v>
      </c>
    </row>
    <row r="11" spans="1:2">
      <c r="B11" t="s">
        <v>78</v>
      </c>
    </row>
    <row r="13" spans="1:2">
      <c r="A13" t="s">
        <v>79</v>
      </c>
    </row>
    <row r="14" spans="1:2">
      <c r="B14" t="s">
        <v>60</v>
      </c>
    </row>
    <row r="15" spans="1:2">
      <c r="B15" t="s">
        <v>70</v>
      </c>
    </row>
    <row r="16" spans="1:2">
      <c r="A16" t="s">
        <v>61</v>
      </c>
    </row>
    <row r="18" spans="1:1">
      <c r="A18" s="49">
        <v>45911</v>
      </c>
    </row>
    <row r="19" spans="1:1">
      <c r="A19" t="s">
        <v>68</v>
      </c>
    </row>
    <row r="20" spans="1:1">
      <c r="A20" t="s">
        <v>80</v>
      </c>
    </row>
    <row r="22" spans="1:1">
      <c r="A22" t="s">
        <v>69</v>
      </c>
    </row>
    <row r="24" spans="1:1">
      <c r="A24" t="s">
        <v>82</v>
      </c>
    </row>
    <row r="26" spans="1:1">
      <c r="A26" t="s">
        <v>83</v>
      </c>
    </row>
    <row r="27" spans="1:1">
      <c r="A27" t="s">
        <v>77</v>
      </c>
    </row>
    <row r="29" spans="1:1">
      <c r="A29" t="s">
        <v>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25FD0-8DC1-4195-B180-02AE17969E71}">
  <sheetPr codeName="Sheet3"/>
  <dimension ref="A1:L36"/>
  <sheetViews>
    <sheetView workbookViewId="0">
      <selection activeCell="I9" sqref="I9"/>
    </sheetView>
  </sheetViews>
  <sheetFormatPr defaultRowHeight="14.4"/>
  <sheetData>
    <row r="1" spans="2:12">
      <c r="B1" t="s">
        <v>3</v>
      </c>
      <c r="C1" t="s">
        <v>4</v>
      </c>
      <c r="E1">
        <f t="array" ref="E1:F5">LINEST(C2:C6,B2:B6,1,1)</f>
        <v>9.3695665584804342</v>
      </c>
      <c r="F1">
        <v>19.474780694340012</v>
      </c>
      <c r="H1">
        <v>19.474817374102013</v>
      </c>
      <c r="I1" t="s">
        <v>14</v>
      </c>
      <c r="J1" t="s">
        <v>18</v>
      </c>
      <c r="K1" t="s">
        <v>16</v>
      </c>
      <c r="L1" t="s">
        <v>17</v>
      </c>
    </row>
    <row r="2" spans="2:12">
      <c r="B2">
        <v>1</v>
      </c>
      <c r="C2">
        <v>29.256106234167866</v>
      </c>
      <c r="E2">
        <v>2.7332815618059483</v>
      </c>
      <c r="F2">
        <v>9.0652693869069321</v>
      </c>
      <c r="H2">
        <v>9.3695554488582733</v>
      </c>
      <c r="I2" t="s">
        <v>15</v>
      </c>
      <c r="J2">
        <f>$H$1+$H$2*B2</f>
        <v>28.844372822960288</v>
      </c>
      <c r="K2">
        <f>C2-J2</f>
        <v>0.41173341120757811</v>
      </c>
      <c r="L2">
        <f>K2^2</f>
        <v>0.16952440190462861</v>
      </c>
    </row>
    <row r="3" spans="2:12">
      <c r="B3">
        <v>2</v>
      </c>
      <c r="C3">
        <v>32.478159422990274</v>
      </c>
      <c r="E3">
        <v>0.79662225344899384</v>
      </c>
      <c r="F3">
        <v>8.6433952218490866</v>
      </c>
      <c r="J3">
        <f t="shared" ref="J3:J6" si="0">$H$1+$H$2*B3</f>
        <v>38.21392827181856</v>
      </c>
      <c r="K3">
        <f t="shared" ref="K3:K6" si="1">C3-J3</f>
        <v>-5.7357688488282861</v>
      </c>
      <c r="L3">
        <f t="shared" ref="L3:L6" si="2">K3^2</f>
        <v>32.899044287188964</v>
      </c>
    </row>
    <row r="4" spans="2:12">
      <c r="B4">
        <v>3</v>
      </c>
      <c r="C4">
        <v>59.116984945150399</v>
      </c>
      <c r="E4">
        <v>11.750876390734394</v>
      </c>
      <c r="F4">
        <v>3</v>
      </c>
      <c r="J4">
        <f t="shared" si="0"/>
        <v>47.583483720676838</v>
      </c>
      <c r="K4">
        <f t="shared" si="1"/>
        <v>11.533501224473561</v>
      </c>
      <c r="L4">
        <f t="shared" si="2"/>
        <v>133.02165049493314</v>
      </c>
    </row>
    <row r="5" spans="2:12">
      <c r="B5">
        <v>4</v>
      </c>
      <c r="C5">
        <v>49.446265017065684</v>
      </c>
      <c r="E5">
        <v>877.88777493794942</v>
      </c>
      <c r="F5">
        <v>224.12484288325089</v>
      </c>
      <c r="J5">
        <f t="shared" si="0"/>
        <v>56.953039169535103</v>
      </c>
      <c r="K5">
        <f t="shared" si="1"/>
        <v>-7.5067741524694185</v>
      </c>
      <c r="L5">
        <f t="shared" si="2"/>
        <v>56.351658176182958</v>
      </c>
    </row>
    <row r="6" spans="2:12" ht="15" thickBot="1">
      <c r="B6">
        <v>5</v>
      </c>
      <c r="C6">
        <v>67.619886229532341</v>
      </c>
      <c r="J6">
        <f t="shared" si="0"/>
        <v>66.322594618393381</v>
      </c>
      <c r="K6">
        <f t="shared" si="1"/>
        <v>1.2972916111389594</v>
      </c>
      <c r="L6" s="3">
        <f t="shared" si="2"/>
        <v>1.6829655243315171</v>
      </c>
    </row>
    <row r="7" spans="2:12" ht="15" thickTop="1">
      <c r="C7" s="1" t="s">
        <v>13</v>
      </c>
      <c r="L7" s="2">
        <f>SUM(L2:L6)</f>
        <v>224.12484288454121</v>
      </c>
    </row>
    <row r="8" spans="2:12">
      <c r="B8">
        <f>AVERAGE(B2:B6)</f>
        <v>3</v>
      </c>
      <c r="C8">
        <f>AVERAGE(C2:C6)</f>
        <v>47.583480369781313</v>
      </c>
    </row>
    <row r="9" spans="2:12">
      <c r="B9" t="s">
        <v>2</v>
      </c>
    </row>
    <row r="10" spans="2:12">
      <c r="B10" t="s">
        <v>0</v>
      </c>
      <c r="C10" t="s">
        <v>1</v>
      </c>
      <c r="E10">
        <f t="array" ref="E10:F14">LINEST(C11:C15,B11:B15,1,1)</f>
        <v>9.3695665584804342</v>
      </c>
      <c r="F10">
        <v>0</v>
      </c>
    </row>
    <row r="11" spans="2:12">
      <c r="B11">
        <f>B2-B$8</f>
        <v>-2</v>
      </c>
      <c r="C11">
        <f>C2-C$8</f>
        <v>-18.327374135613447</v>
      </c>
      <c r="E11">
        <v>2.7332815618059483</v>
      </c>
      <c r="F11">
        <v>3.8654438544902865</v>
      </c>
    </row>
    <row r="12" spans="2:12">
      <c r="B12">
        <f t="shared" ref="B12:C15" si="3">B3-B$8</f>
        <v>-1</v>
      </c>
      <c r="C12">
        <f t="shared" si="3"/>
        <v>-15.105320946791039</v>
      </c>
      <c r="E12">
        <v>0.79662225344899384</v>
      </c>
      <c r="F12">
        <v>8.6433952218490866</v>
      </c>
    </row>
    <row r="13" spans="2:12">
      <c r="B13">
        <f t="shared" si="3"/>
        <v>0</v>
      </c>
      <c r="C13">
        <f t="shared" si="3"/>
        <v>11.533504575369086</v>
      </c>
      <c r="E13">
        <v>11.750876390734394</v>
      </c>
      <c r="F13">
        <v>3</v>
      </c>
    </row>
    <row r="14" spans="2:12">
      <c r="B14">
        <f t="shared" si="3"/>
        <v>1</v>
      </c>
      <c r="C14">
        <f t="shared" si="3"/>
        <v>1.8627846472843714</v>
      </c>
      <c r="E14">
        <v>877.88777493794942</v>
      </c>
      <c r="F14">
        <v>224.12484288325089</v>
      </c>
    </row>
    <row r="15" spans="2:12">
      <c r="B15">
        <f t="shared" si="3"/>
        <v>2</v>
      </c>
      <c r="C15">
        <f t="shared" si="3"/>
        <v>20.036405859751028</v>
      </c>
      <c r="E15" t="s">
        <v>11</v>
      </c>
    </row>
    <row r="16" spans="2:12">
      <c r="E16">
        <f>C8-E10*B8</f>
        <v>19.474780694340012</v>
      </c>
      <c r="F16" t="s">
        <v>10</v>
      </c>
    </row>
    <row r="17" spans="1:5">
      <c r="A17" t="s">
        <v>5</v>
      </c>
      <c r="B17" t="s">
        <v>3</v>
      </c>
      <c r="C17" t="s">
        <v>4</v>
      </c>
    </row>
    <row r="18" spans="1:5">
      <c r="A18">
        <v>1</v>
      </c>
      <c r="B18">
        <f>B2</f>
        <v>1</v>
      </c>
      <c r="C18">
        <f>C2</f>
        <v>29.256106234167866</v>
      </c>
    </row>
    <row r="19" spans="1:5">
      <c r="A19">
        <v>1</v>
      </c>
      <c r="B19">
        <f t="shared" ref="B19:C22" si="4">B3</f>
        <v>2</v>
      </c>
      <c r="C19">
        <f t="shared" si="4"/>
        <v>32.478159422990274</v>
      </c>
    </row>
    <row r="20" spans="1:5">
      <c r="A20">
        <v>1</v>
      </c>
      <c r="B20">
        <f t="shared" si="4"/>
        <v>3</v>
      </c>
      <c r="C20">
        <f t="shared" si="4"/>
        <v>59.116984945150399</v>
      </c>
    </row>
    <row r="21" spans="1:5">
      <c r="A21">
        <v>1</v>
      </c>
      <c r="B21">
        <f t="shared" si="4"/>
        <v>4</v>
      </c>
      <c r="C21">
        <f t="shared" si="4"/>
        <v>49.446265017065684</v>
      </c>
    </row>
    <row r="22" spans="1:5">
      <c r="A22">
        <v>1</v>
      </c>
      <c r="B22">
        <f t="shared" si="4"/>
        <v>5</v>
      </c>
      <c r="C22">
        <f t="shared" si="4"/>
        <v>67.619886229532341</v>
      </c>
    </row>
    <row r="24" spans="1:5">
      <c r="A24" t="s">
        <v>6</v>
      </c>
    </row>
    <row r="25" spans="1:5">
      <c r="A25">
        <f t="array" ref="A25:B26">MMULT(TRANSPOSE(A18:B22),A18:B22)</f>
        <v>5</v>
      </c>
      <c r="B25">
        <v>15</v>
      </c>
    </row>
    <row r="26" spans="1:5">
      <c r="A26">
        <v>15</v>
      </c>
      <c r="B26">
        <v>55</v>
      </c>
    </row>
    <row r="27" spans="1:5" ht="16.2">
      <c r="A27" t="s">
        <v>7</v>
      </c>
    </row>
    <row r="28" spans="1:5">
      <c r="A28">
        <f t="array" ref="A28:B29">MINVERSE(A25:B26)</f>
        <v>1.1000000000000005</v>
      </c>
      <c r="B28">
        <v>-0.3000000000000001</v>
      </c>
    </row>
    <row r="29" spans="1:5">
      <c r="A29">
        <v>-0.3000000000000001</v>
      </c>
      <c r="B29">
        <v>0.10000000000000003</v>
      </c>
    </row>
    <row r="31" spans="1:5" ht="16.2">
      <c r="A31" t="s">
        <v>8</v>
      </c>
    </row>
    <row r="32" spans="1:5">
      <c r="A32">
        <f t="array" ref="A32:E33">MMULT(A28:B29,TRANSPOSE(A18:B22))</f>
        <v>0.80000000000000049</v>
      </c>
      <c r="B32">
        <v>0.50000000000000033</v>
      </c>
      <c r="C32">
        <v>0.20000000000000018</v>
      </c>
      <c r="D32">
        <v>-9.9999999999999867E-2</v>
      </c>
      <c r="E32">
        <v>-0.39999999999999991</v>
      </c>
    </row>
    <row r="33" spans="1:5">
      <c r="A33">
        <v>-0.20000000000000007</v>
      </c>
      <c r="B33">
        <v>-0.10000000000000003</v>
      </c>
      <c r="C33">
        <v>0</v>
      </c>
      <c r="D33">
        <v>0.10000000000000003</v>
      </c>
      <c r="E33">
        <v>0.20000000000000012</v>
      </c>
    </row>
    <row r="34" spans="1:5" ht="16.2">
      <c r="A34" t="s">
        <v>9</v>
      </c>
    </row>
    <row r="35" spans="1:5">
      <c r="A35">
        <f t="array" ref="A35:A36">MMULT(A32:E33,C18:C22)</f>
        <v>19.474780694340041</v>
      </c>
    </row>
    <row r="36" spans="1:5">
      <c r="A36">
        <v>9.3695665584804431</v>
      </c>
      <c r="B36" t="s">
        <v>10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D2B06-ABFD-4ED5-A9C9-A3406B3824E3}">
  <sheetPr codeName="Sheet4"/>
  <dimension ref="A1:AE52"/>
  <sheetViews>
    <sheetView topLeftCell="N1" workbookViewId="0">
      <selection activeCell="AA16" sqref="AA16"/>
    </sheetView>
  </sheetViews>
  <sheetFormatPr defaultRowHeight="14.4"/>
  <cols>
    <col min="16" max="16" width="12" bestFit="1" customWidth="1"/>
    <col min="17" max="18" width="8.33203125" customWidth="1"/>
  </cols>
  <sheetData>
    <row r="1" spans="2:31">
      <c r="B1" t="s">
        <v>3</v>
      </c>
      <c r="C1" t="s">
        <v>4</v>
      </c>
      <c r="E1">
        <f t="array" ref="E1:F5">LINEST(C2:C6,B2:B6,1,1)</f>
        <v>0.5706943782303332</v>
      </c>
      <c r="F1">
        <v>2.8112974337403154</v>
      </c>
      <c r="H1">
        <v>19.474817374102013</v>
      </c>
      <c r="I1" t="s">
        <v>14</v>
      </c>
      <c r="J1" t="s">
        <v>18</v>
      </c>
      <c r="K1" t="s">
        <v>16</v>
      </c>
      <c r="L1" t="s">
        <v>17</v>
      </c>
      <c r="N1">
        <v>1.7449855592468633</v>
      </c>
      <c r="O1" t="s">
        <v>19</v>
      </c>
      <c r="P1" t="s">
        <v>20</v>
      </c>
      <c r="Q1" t="s">
        <v>21</v>
      </c>
      <c r="R1" t="s">
        <v>22</v>
      </c>
      <c r="T1" t="s">
        <v>20</v>
      </c>
      <c r="U1" t="s">
        <v>21</v>
      </c>
      <c r="V1" t="s">
        <v>22</v>
      </c>
      <c r="X1" t="s">
        <v>26</v>
      </c>
      <c r="Y1" t="s">
        <v>27</v>
      </c>
      <c r="Z1" t="s">
        <v>28</v>
      </c>
      <c r="AA1" t="s">
        <v>29</v>
      </c>
      <c r="AC1" t="s">
        <v>85</v>
      </c>
      <c r="AD1" t="s">
        <v>86</v>
      </c>
    </row>
    <row r="2" spans="2:31">
      <c r="B2">
        <v>1</v>
      </c>
      <c r="C2">
        <v>3.8003255384492616</v>
      </c>
      <c r="E2">
        <v>0.44220557534323501</v>
      </c>
      <c r="F2">
        <v>1.4666299736167456</v>
      </c>
      <c r="H2">
        <v>9.3695554488582733</v>
      </c>
      <c r="I2" t="s">
        <v>15</v>
      </c>
      <c r="J2">
        <f>$H$1+$H$2*B2</f>
        <v>28.844372822960288</v>
      </c>
      <c r="K2">
        <f>C2-J2</f>
        <v>-25.044047284511027</v>
      </c>
      <c r="L2">
        <f>K2^2</f>
        <v>627.2043043888242</v>
      </c>
      <c r="N2">
        <v>0.92613347987541939</v>
      </c>
      <c r="O2" t="s">
        <v>23</v>
      </c>
      <c r="P2">
        <f>$N$1+$N$2*B2</f>
        <v>2.6711190391222828</v>
      </c>
      <c r="Q2">
        <f>(C2-P2)/(SQRT(1+$N$2^2))</f>
        <v>0.82848159356111872</v>
      </c>
      <c r="R2">
        <f>Q2^2</f>
        <v>0.68638175086957076</v>
      </c>
      <c r="T2">
        <f>$N$1+$N$2*B2</f>
        <v>2.6711190391222828</v>
      </c>
      <c r="U2">
        <f>(C2-T2)/(SQRT(1+$N$2^2))</f>
        <v>0.82848159356111872</v>
      </c>
      <c r="V2">
        <f>U2^2</f>
        <v>0.68638175086957076</v>
      </c>
      <c r="X2">
        <f>(B2-$B$8)*(B2-$B$8)</f>
        <v>4</v>
      </c>
      <c r="Y2">
        <f>(B2-$B$8)*(C2-$C$8)</f>
        <v>1.4461100599641066</v>
      </c>
      <c r="Z2">
        <f>(C2-$C$8)*(B2-$B$8)</f>
        <v>1.4461100599641066</v>
      </c>
      <c r="AA2">
        <f>(C2-$C$8)*(C2-$C$8)</f>
        <v>0.52280857638234801</v>
      </c>
      <c r="AC2">
        <f>B2-B$8</f>
        <v>-2</v>
      </c>
      <c r="AD2">
        <f>C2-C$8</f>
        <v>-0.72305502998205329</v>
      </c>
    </row>
    <row r="3" spans="2:31">
      <c r="B3">
        <v>2</v>
      </c>
      <c r="C3">
        <v>2.2811293826353611</v>
      </c>
      <c r="E3">
        <v>0.35698956798260123</v>
      </c>
      <c r="F3">
        <v>1.398376812109817</v>
      </c>
      <c r="J3">
        <f t="shared" ref="J3:J6" si="0">$H$1+$H$2*B3</f>
        <v>38.21392827181856</v>
      </c>
      <c r="K3">
        <f t="shared" ref="K3:K6" si="1">C3-J3</f>
        <v>-35.932798889183196</v>
      </c>
      <c r="L3">
        <f t="shared" ref="L3:L6" si="2">K3^2</f>
        <v>1291.1660360104852</v>
      </c>
      <c r="P3">
        <f t="shared" ref="P3:P6" si="3">$N$1+$N$2*B3</f>
        <v>3.5972525189977018</v>
      </c>
      <c r="Q3">
        <f t="shared" ref="Q3:Q6" si="4">(C3-P3)/(SQRT(1+$N$2^2))</f>
        <v>-0.96561948056977343</v>
      </c>
      <c r="R3">
        <f t="shared" ref="R3:R6" si="5">Q3^2</f>
        <v>0.93242098125583905</v>
      </c>
      <c r="T3">
        <f t="shared" ref="T3:T6" si="6">$N$1+$N$2*B3</f>
        <v>3.5972525189977018</v>
      </c>
      <c r="U3">
        <f t="shared" ref="U3:U6" si="7">(C3-T3)/(SQRT(1+$N$2^2))</f>
        <v>-0.96561948056977343</v>
      </c>
      <c r="V3">
        <f t="shared" ref="V3:V6" si="8">U3^2</f>
        <v>0.93242098125583905</v>
      </c>
      <c r="X3">
        <f t="shared" ref="X3:X6" si="9">(B3-$B$8)*(B3-$B$8)</f>
        <v>1</v>
      </c>
      <c r="Y3">
        <f t="shared" ref="Y3:Y6" si="10">(B3-$B$8)*(C3-$C$8)</f>
        <v>2.2422511857959537</v>
      </c>
      <c r="Z3">
        <f t="shared" ref="Z3:Z6" si="11">(C3-$C$8)*(B3-$B$8)</f>
        <v>2.2422511857959537</v>
      </c>
      <c r="AA3">
        <f t="shared" ref="AA3:AA6" si="12">(C3-$C$8)*(C3-$C$8)</f>
        <v>5.027690380203361</v>
      </c>
      <c r="AC3">
        <f t="shared" ref="AC3:AC6" si="13">B3-B$8</f>
        <v>-1</v>
      </c>
      <c r="AD3">
        <f t="shared" ref="AD3:AD6" si="14">C3-C$8</f>
        <v>-2.2422511857959537</v>
      </c>
    </row>
    <row r="4" spans="2:31">
      <c r="B4">
        <v>3</v>
      </c>
      <c r="C4">
        <v>6.1648248697214969</v>
      </c>
      <c r="E4">
        <v>1.6655541661862574</v>
      </c>
      <c r="F4">
        <v>3</v>
      </c>
      <c r="J4">
        <f t="shared" si="0"/>
        <v>47.583483720676838</v>
      </c>
      <c r="K4">
        <f t="shared" si="1"/>
        <v>-41.418658850955339</v>
      </c>
      <c r="L4">
        <f t="shared" si="2"/>
        <v>1715.5053010118211</v>
      </c>
      <c r="P4">
        <f t="shared" si="3"/>
        <v>4.5233859988731213</v>
      </c>
      <c r="Q4">
        <f t="shared" si="4"/>
        <v>1.2042986754540856</v>
      </c>
      <c r="R4">
        <f t="shared" si="5"/>
        <v>1.450335299700465</v>
      </c>
      <c r="T4">
        <f t="shared" si="6"/>
        <v>4.5233859988731213</v>
      </c>
      <c r="U4">
        <f t="shared" si="7"/>
        <v>1.2042986754540856</v>
      </c>
      <c r="V4">
        <f t="shared" si="8"/>
        <v>1.450335299700465</v>
      </c>
      <c r="X4">
        <f t="shared" si="9"/>
        <v>0</v>
      </c>
      <c r="Y4">
        <f t="shared" si="10"/>
        <v>0</v>
      </c>
      <c r="Z4">
        <f t="shared" si="11"/>
        <v>0</v>
      </c>
      <c r="AA4">
        <f t="shared" si="12"/>
        <v>2.6943393942380141</v>
      </c>
      <c r="AC4">
        <f t="shared" si="13"/>
        <v>0</v>
      </c>
      <c r="AD4">
        <f t="shared" si="14"/>
        <v>1.641444301290182</v>
      </c>
    </row>
    <row r="5" spans="2:31">
      <c r="B5">
        <v>4</v>
      </c>
      <c r="C5">
        <v>5.1525218608636898</v>
      </c>
      <c r="E5">
        <v>3.2569207334370684</v>
      </c>
      <c r="F5">
        <v>5.8663731259392442</v>
      </c>
      <c r="J5">
        <f t="shared" si="0"/>
        <v>56.953039169535103</v>
      </c>
      <c r="K5">
        <f t="shared" si="1"/>
        <v>-51.800517308671417</v>
      </c>
      <c r="L5">
        <f t="shared" si="2"/>
        <v>2683.293593445967</v>
      </c>
      <c r="P5">
        <f t="shared" si="3"/>
        <v>5.4495194787485408</v>
      </c>
      <c r="Q5">
        <f t="shared" si="4"/>
        <v>-0.21790262444978015</v>
      </c>
      <c r="R5">
        <f t="shared" si="5"/>
        <v>4.7481553742101924E-2</v>
      </c>
      <c r="T5">
        <f t="shared" si="6"/>
        <v>5.4495194787485408</v>
      </c>
      <c r="U5">
        <f t="shared" si="7"/>
        <v>-0.21790262444978015</v>
      </c>
      <c r="V5">
        <f t="shared" si="8"/>
        <v>4.7481553742101924E-2</v>
      </c>
      <c r="X5">
        <f t="shared" si="9"/>
        <v>1</v>
      </c>
      <c r="Y5">
        <f t="shared" si="10"/>
        <v>0.62914129243237493</v>
      </c>
      <c r="Z5">
        <f t="shared" si="11"/>
        <v>0.62914129243237493</v>
      </c>
      <c r="AA5">
        <f t="shared" si="12"/>
        <v>0.39581876584347914</v>
      </c>
      <c r="AC5">
        <f t="shared" si="13"/>
        <v>1</v>
      </c>
      <c r="AD5">
        <f t="shared" si="14"/>
        <v>0.62914129243237493</v>
      </c>
    </row>
    <row r="6" spans="2:31" ht="15" thickBot="1">
      <c r="B6">
        <v>5</v>
      </c>
      <c r="C6">
        <v>5.2181011904867631</v>
      </c>
      <c r="J6">
        <f t="shared" si="0"/>
        <v>66.322594618393381</v>
      </c>
      <c r="K6">
        <f t="shared" si="1"/>
        <v>-61.104493427906618</v>
      </c>
      <c r="L6" s="3">
        <f t="shared" si="2"/>
        <v>3733.7591170810833</v>
      </c>
      <c r="P6">
        <f t="shared" si="3"/>
        <v>6.3756529586239594</v>
      </c>
      <c r="Q6">
        <f t="shared" si="4"/>
        <v>-0.84927808515747749</v>
      </c>
      <c r="R6" s="3">
        <f t="shared" si="5"/>
        <v>0.72127326592875163</v>
      </c>
      <c r="T6">
        <f t="shared" si="6"/>
        <v>6.3756529586239594</v>
      </c>
      <c r="U6">
        <f t="shared" si="7"/>
        <v>-0.84927808515747749</v>
      </c>
      <c r="V6" s="3">
        <f t="shared" si="8"/>
        <v>0.72127326592875163</v>
      </c>
      <c r="X6">
        <f t="shared" si="9"/>
        <v>4</v>
      </c>
      <c r="Y6">
        <f t="shared" si="10"/>
        <v>1.3894412441108965</v>
      </c>
      <c r="Z6">
        <f t="shared" si="11"/>
        <v>1.3894412441108965</v>
      </c>
      <c r="AA6">
        <f t="shared" si="12"/>
        <v>0.482636742709109</v>
      </c>
      <c r="AC6">
        <f t="shared" si="13"/>
        <v>2</v>
      </c>
      <c r="AD6">
        <f t="shared" si="14"/>
        <v>0.69472062205544827</v>
      </c>
    </row>
    <row r="7" spans="2:31" ht="15" thickTop="1">
      <c r="C7" s="1" t="s">
        <v>13</v>
      </c>
      <c r="L7" s="2">
        <f>SUM(L2:L6)</f>
        <v>10050.928351938181</v>
      </c>
      <c r="R7" s="2">
        <f>SUM(R2:R6)</f>
        <v>3.8378928514967283</v>
      </c>
      <c r="V7" s="2">
        <f>SUM(V2:V6)</f>
        <v>3.8378928514967283</v>
      </c>
      <c r="X7">
        <f>SUM(X2:X6)</f>
        <v>10</v>
      </c>
      <c r="Y7">
        <f t="shared" ref="Y7:AA7" si="15">SUM(Y2:Y6)</f>
        <v>5.7069437823033322</v>
      </c>
      <c r="Z7">
        <f t="shared" si="15"/>
        <v>5.7069437823033322</v>
      </c>
      <c r="AA7">
        <f t="shared" si="15"/>
        <v>9.1232938593763127</v>
      </c>
      <c r="AC7" t="s">
        <v>87</v>
      </c>
    </row>
    <row r="8" spans="2:31">
      <c r="B8">
        <f>AVERAGE(B2:B6)</f>
        <v>3</v>
      </c>
      <c r="C8">
        <f>AVERAGE(C2:C6)</f>
        <v>4.5233805684313149</v>
      </c>
      <c r="D8" t="s">
        <v>25</v>
      </c>
      <c r="X8">
        <f>X7/4</f>
        <v>2.5</v>
      </c>
      <c r="Y8">
        <f t="shared" ref="Y8:AA8" si="16">Y7/4</f>
        <v>1.4267359455758331</v>
      </c>
      <c r="Z8">
        <f t="shared" si="16"/>
        <v>1.4267359455758331</v>
      </c>
      <c r="AA8">
        <f t="shared" si="16"/>
        <v>2.2808234648440782</v>
      </c>
      <c r="AC8">
        <f t="array" ref="AC8:AD9">MMULT(TRANSPOSE(AC2:AD6),AC2:AD6)</f>
        <v>10</v>
      </c>
      <c r="AD8">
        <v>5.7069437823033322</v>
      </c>
    </row>
    <row r="9" spans="2:31">
      <c r="B9" t="s">
        <v>2</v>
      </c>
      <c r="AC9">
        <v>5.7069437823033322</v>
      </c>
      <c r="AD9">
        <v>9.1232938593763127</v>
      </c>
    </row>
    <row r="10" spans="2:31">
      <c r="B10" t="s">
        <v>0</v>
      </c>
      <c r="C10" t="s">
        <v>1</v>
      </c>
      <c r="E10">
        <f t="array" ref="E10:F14">LINEST(C11:C15,B11:B15,1,1)</f>
        <v>0.5706943782303332</v>
      </c>
      <c r="F10">
        <v>-3.5527136788005011E-16</v>
      </c>
      <c r="Y10" t="s">
        <v>48</v>
      </c>
      <c r="AC10" t="s">
        <v>88</v>
      </c>
    </row>
    <row r="11" spans="2:31">
      <c r="B11">
        <f>B2-B$8</f>
        <v>-2</v>
      </c>
      <c r="C11">
        <f>C2-C$8</f>
        <v>-0.72305502998205329</v>
      </c>
      <c r="E11">
        <v>0.44220557534323501</v>
      </c>
      <c r="F11">
        <v>0.62537312200740036</v>
      </c>
      <c r="Y11">
        <f>X8</f>
        <v>2.5</v>
      </c>
      <c r="Z11">
        <f>Y8</f>
        <v>1.4267359455758331</v>
      </c>
      <c r="AC11">
        <f>AC8/4</f>
        <v>2.5</v>
      </c>
      <c r="AD11">
        <f>AD8/4</f>
        <v>1.4267359455758331</v>
      </c>
    </row>
    <row r="12" spans="2:31">
      <c r="B12">
        <f t="shared" ref="B12:C15" si="17">B3-B$8</f>
        <v>-1</v>
      </c>
      <c r="C12">
        <f t="shared" si="17"/>
        <v>-2.2422511857959537</v>
      </c>
      <c r="E12">
        <v>0.35698956798260112</v>
      </c>
      <c r="F12">
        <v>1.398376812109817</v>
      </c>
      <c r="Y12">
        <f>Z8</f>
        <v>1.4267359455758331</v>
      </c>
      <c r="Z12">
        <f>AA8</f>
        <v>2.2808234648440782</v>
      </c>
      <c r="AC12">
        <f>AC9/4</f>
        <v>1.4267359455758331</v>
      </c>
      <c r="AD12">
        <f>AD9/4</f>
        <v>2.2808234648440782</v>
      </c>
      <c r="AE12" t="s">
        <v>10</v>
      </c>
    </row>
    <row r="13" spans="2:31">
      <c r="B13">
        <f t="shared" si="17"/>
        <v>0</v>
      </c>
      <c r="C13">
        <f t="shared" si="17"/>
        <v>1.641444301290182</v>
      </c>
      <c r="E13">
        <v>1.6655541661862563</v>
      </c>
      <c r="F13">
        <v>3</v>
      </c>
      <c r="X13" t="s">
        <v>49</v>
      </c>
    </row>
    <row r="14" spans="2:31">
      <c r="B14">
        <f t="shared" si="17"/>
        <v>1</v>
      </c>
      <c r="C14">
        <f t="shared" si="17"/>
        <v>0.62914129243237493</v>
      </c>
      <c r="E14">
        <v>3.2569207334370667</v>
      </c>
      <c r="F14">
        <v>5.8663731259392442</v>
      </c>
      <c r="Q14">
        <f>SQRT(1+X16^2)</f>
        <v>1.4142135623730951</v>
      </c>
      <c r="R14" t="s">
        <v>93</v>
      </c>
      <c r="X14" cm="1">
        <f t="array" ref="X14:Y14">MatEigenvector_max(Y11:Z12)</f>
        <v>1</v>
      </c>
      <c r="Y14">
        <v>0.92613511006666682</v>
      </c>
      <c r="AC14">
        <f>SQRT(AC11)</f>
        <v>1.5811388300841898</v>
      </c>
      <c r="AD14" t="s">
        <v>89</v>
      </c>
    </row>
    <row r="15" spans="2:31">
      <c r="B15">
        <f t="shared" si="17"/>
        <v>2</v>
      </c>
      <c r="C15">
        <f t="shared" si="17"/>
        <v>0.69472062205544827</v>
      </c>
      <c r="E15" t="s">
        <v>11</v>
      </c>
      <c r="Q15">
        <f>K4/Q14</f>
        <v>-29.287414541162736</v>
      </c>
      <c r="R15" t="s">
        <v>94</v>
      </c>
      <c r="AC15">
        <f>_xlfn.STDEV.S(B2:B6)</f>
        <v>1.5811388300841898</v>
      </c>
      <c r="AD15" t="s">
        <v>90</v>
      </c>
    </row>
    <row r="16" spans="2:31">
      <c r="E16">
        <f>C8-E10*B8</f>
        <v>2.8112974337403154</v>
      </c>
      <c r="F16" t="s">
        <v>10</v>
      </c>
      <c r="X16">
        <f>1/X14</f>
        <v>1</v>
      </c>
      <c r="Y16" t="s">
        <v>31</v>
      </c>
      <c r="AA16" s="46" t="s">
        <v>91</v>
      </c>
    </row>
    <row r="17" spans="1:28">
      <c r="A17" t="s">
        <v>5</v>
      </c>
      <c r="B17" t="s">
        <v>3</v>
      </c>
      <c r="C17" t="s">
        <v>4</v>
      </c>
      <c r="Q17" t="s">
        <v>54</v>
      </c>
      <c r="AB17" t="s">
        <v>31</v>
      </c>
    </row>
    <row r="18" spans="1:28">
      <c r="A18">
        <v>1</v>
      </c>
      <c r="B18">
        <f>B2</f>
        <v>1</v>
      </c>
      <c r="C18">
        <f>C2</f>
        <v>3.8003255384492616</v>
      </c>
      <c r="Q18" t="s">
        <v>55</v>
      </c>
      <c r="X18">
        <f>C8-X16*B8</f>
        <v>1.5233805684313149</v>
      </c>
      <c r="Y18" t="s">
        <v>31</v>
      </c>
      <c r="AB18" t="s">
        <v>31</v>
      </c>
    </row>
    <row r="19" spans="1:28">
      <c r="A19">
        <v>1</v>
      </c>
      <c r="B19">
        <f t="shared" ref="B19:C22" si="18">B3</f>
        <v>2</v>
      </c>
      <c r="C19">
        <f t="shared" si="18"/>
        <v>2.2811293826353611</v>
      </c>
      <c r="Q19" t="s">
        <v>56</v>
      </c>
    </row>
    <row r="20" spans="1:28">
      <c r="A20">
        <v>1</v>
      </c>
      <c r="B20">
        <f t="shared" si="18"/>
        <v>3</v>
      </c>
      <c r="C20">
        <f t="shared" si="18"/>
        <v>6.1648248697214969</v>
      </c>
    </row>
    <row r="21" spans="1:28">
      <c r="A21">
        <v>1</v>
      </c>
      <c r="B21">
        <f t="shared" si="18"/>
        <v>4</v>
      </c>
      <c r="C21">
        <f t="shared" si="18"/>
        <v>5.1525218608636898</v>
      </c>
    </row>
    <row r="22" spans="1:28">
      <c r="A22">
        <v>1</v>
      </c>
      <c r="B22">
        <f t="shared" si="18"/>
        <v>5</v>
      </c>
      <c r="C22">
        <f t="shared" si="18"/>
        <v>5.2181011904867631</v>
      </c>
      <c r="Y22" t="s">
        <v>59</v>
      </c>
    </row>
    <row r="23" spans="1:28">
      <c r="Y23" t="s">
        <v>92</v>
      </c>
    </row>
    <row r="24" spans="1:28">
      <c r="A24" t="s">
        <v>6</v>
      </c>
    </row>
    <row r="25" spans="1:28">
      <c r="A25">
        <f t="array" ref="A25:B26">MMULT(TRANSPOSE(A18:B22),A18:B22)</f>
        <v>5</v>
      </c>
      <c r="B25">
        <v>15</v>
      </c>
    </row>
    <row r="26" spans="1:28">
      <c r="A26">
        <v>15</v>
      </c>
      <c r="B26">
        <v>55</v>
      </c>
      <c r="E26" t="s">
        <v>30</v>
      </c>
    </row>
    <row r="27" spans="1:28" ht="16.2">
      <c r="A27" t="s">
        <v>7</v>
      </c>
      <c r="E27" t="s">
        <v>24</v>
      </c>
    </row>
    <row r="28" spans="1:28">
      <c r="A28">
        <f t="array" ref="A28:B29">MINVERSE(A25:B26)</f>
        <v>1.1000000000000005</v>
      </c>
      <c r="B28">
        <v>-0.3000000000000001</v>
      </c>
      <c r="E28">
        <f>$F$12^2*A28</f>
        <v>2.1510034795110569</v>
      </c>
      <c r="F28">
        <f>$F$12^2*B28</f>
        <v>-0.58663731259392449</v>
      </c>
    </row>
    <row r="29" spans="1:28">
      <c r="A29">
        <v>-0.3000000000000001</v>
      </c>
      <c r="B29">
        <v>0.10000000000000003</v>
      </c>
      <c r="E29">
        <f>$F$12^2*A29</f>
        <v>-0.58663731259392449</v>
      </c>
      <c r="F29">
        <f>$F$12^2*B29</f>
        <v>0.1955457708646415</v>
      </c>
      <c r="G29">
        <f>SQRT(F29)</f>
        <v>0.44220557534323501</v>
      </c>
      <c r="H29" t="s">
        <v>10</v>
      </c>
    </row>
    <row r="31" spans="1:28" ht="16.2">
      <c r="A31" t="s">
        <v>8</v>
      </c>
    </row>
    <row r="32" spans="1:28">
      <c r="A32">
        <f t="array" ref="A32:E33">MMULT(A28:B29,TRANSPOSE(A18:B22))</f>
        <v>0.80000000000000049</v>
      </c>
      <c r="B32">
        <v>0.50000000000000033</v>
      </c>
      <c r="C32">
        <v>0.20000000000000018</v>
      </c>
      <c r="D32">
        <v>-9.9999999999999867E-2</v>
      </c>
      <c r="E32">
        <v>-0.39999999999999991</v>
      </c>
    </row>
    <row r="33" spans="1:17">
      <c r="A33">
        <v>-0.20000000000000007</v>
      </c>
      <c r="B33">
        <v>-0.10000000000000003</v>
      </c>
      <c r="C33">
        <v>0</v>
      </c>
      <c r="D33">
        <v>0.10000000000000003</v>
      </c>
      <c r="E33">
        <v>0.20000000000000012</v>
      </c>
    </row>
    <row r="34" spans="1:17" ht="16.2">
      <c r="A34" t="s">
        <v>9</v>
      </c>
    </row>
    <row r="35" spans="1:17">
      <c r="A35">
        <f t="array" ref="A35:A36">MMULT(A32:E33,C18:C22)</f>
        <v>2.8112974337403194</v>
      </c>
    </row>
    <row r="36" spans="1:17">
      <c r="A36">
        <v>0.57069437823033353</v>
      </c>
      <c r="B36" t="s">
        <v>10</v>
      </c>
    </row>
    <row r="47" spans="1:17">
      <c r="Q47" t="s">
        <v>95</v>
      </c>
    </row>
    <row r="48" spans="1:17">
      <c r="Q48" t="s">
        <v>96</v>
      </c>
    </row>
    <row r="49" spans="17:17">
      <c r="Q49" t="s">
        <v>97</v>
      </c>
    </row>
    <row r="50" spans="17:17">
      <c r="Q50" t="s">
        <v>98</v>
      </c>
    </row>
    <row r="51" spans="17:17">
      <c r="Q51" t="s">
        <v>99</v>
      </c>
    </row>
    <row r="52" spans="17:17">
      <c r="Q52" t="s">
        <v>100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4704B-FAEA-4D64-9847-86FF533AB86C}">
  <sheetPr codeName="Sheet6"/>
  <dimension ref="A1:BN103"/>
  <sheetViews>
    <sheetView showGridLines="0" workbookViewId="0">
      <selection activeCell="M6" sqref="M6"/>
    </sheetView>
  </sheetViews>
  <sheetFormatPr defaultColWidth="10" defaultRowHeight="15.6"/>
  <cols>
    <col min="1" max="1" width="8.88671875" style="17" customWidth="1"/>
    <col min="2" max="2" width="11.77734375" style="6" customWidth="1"/>
    <col min="3" max="3" width="11.77734375" style="7" customWidth="1"/>
    <col min="4" max="4" width="8.44140625" style="8" customWidth="1"/>
    <col min="5" max="5" width="8.44140625" style="9" customWidth="1"/>
    <col min="6" max="6" width="12.88671875" style="10" customWidth="1"/>
    <col min="7" max="7" width="10" style="9"/>
    <col min="8" max="8" width="7.33203125" style="9" customWidth="1"/>
    <col min="9" max="14" width="11.21875" style="9" customWidth="1"/>
    <col min="15" max="17" width="10" style="9"/>
    <col min="18" max="19" width="10" style="8"/>
    <col min="20" max="20" width="15.77734375" style="8" customWidth="1"/>
    <col min="21" max="22" width="12.44140625" style="8" customWidth="1"/>
    <col min="23" max="54" width="10" style="8"/>
    <col min="55" max="256" width="10" style="9"/>
    <col min="257" max="257" width="8.88671875" style="9" customWidth="1"/>
    <col min="258" max="259" width="11.77734375" style="9" customWidth="1"/>
    <col min="260" max="261" width="8.44140625" style="9" customWidth="1"/>
    <col min="262" max="262" width="12.88671875" style="9" customWidth="1"/>
    <col min="263" max="263" width="10" style="9"/>
    <col min="264" max="264" width="7.33203125" style="9" customWidth="1"/>
    <col min="265" max="270" width="11.21875" style="9" customWidth="1"/>
    <col min="271" max="275" width="10" style="9"/>
    <col min="276" max="276" width="15.77734375" style="9" customWidth="1"/>
    <col min="277" max="278" width="12.44140625" style="9" customWidth="1"/>
    <col min="279" max="512" width="10" style="9"/>
    <col min="513" max="513" width="8.88671875" style="9" customWidth="1"/>
    <col min="514" max="515" width="11.77734375" style="9" customWidth="1"/>
    <col min="516" max="517" width="8.44140625" style="9" customWidth="1"/>
    <col min="518" max="518" width="12.88671875" style="9" customWidth="1"/>
    <col min="519" max="519" width="10" style="9"/>
    <col min="520" max="520" width="7.33203125" style="9" customWidth="1"/>
    <col min="521" max="526" width="11.21875" style="9" customWidth="1"/>
    <col min="527" max="531" width="10" style="9"/>
    <col min="532" max="532" width="15.77734375" style="9" customWidth="1"/>
    <col min="533" max="534" width="12.44140625" style="9" customWidth="1"/>
    <col min="535" max="768" width="10" style="9"/>
    <col min="769" max="769" width="8.88671875" style="9" customWidth="1"/>
    <col min="770" max="771" width="11.77734375" style="9" customWidth="1"/>
    <col min="772" max="773" width="8.44140625" style="9" customWidth="1"/>
    <col min="774" max="774" width="12.88671875" style="9" customWidth="1"/>
    <col min="775" max="775" width="10" style="9"/>
    <col min="776" max="776" width="7.33203125" style="9" customWidth="1"/>
    <col min="777" max="782" width="11.21875" style="9" customWidth="1"/>
    <col min="783" max="787" width="10" style="9"/>
    <col min="788" max="788" width="15.77734375" style="9" customWidth="1"/>
    <col min="789" max="790" width="12.44140625" style="9" customWidth="1"/>
    <col min="791" max="1024" width="10" style="9"/>
    <col min="1025" max="1025" width="8.88671875" style="9" customWidth="1"/>
    <col min="1026" max="1027" width="11.77734375" style="9" customWidth="1"/>
    <col min="1028" max="1029" width="8.44140625" style="9" customWidth="1"/>
    <col min="1030" max="1030" width="12.88671875" style="9" customWidth="1"/>
    <col min="1031" max="1031" width="10" style="9"/>
    <col min="1032" max="1032" width="7.33203125" style="9" customWidth="1"/>
    <col min="1033" max="1038" width="11.21875" style="9" customWidth="1"/>
    <col min="1039" max="1043" width="10" style="9"/>
    <col min="1044" max="1044" width="15.77734375" style="9" customWidth="1"/>
    <col min="1045" max="1046" width="12.44140625" style="9" customWidth="1"/>
    <col min="1047" max="1280" width="10" style="9"/>
    <col min="1281" max="1281" width="8.88671875" style="9" customWidth="1"/>
    <col min="1282" max="1283" width="11.77734375" style="9" customWidth="1"/>
    <col min="1284" max="1285" width="8.44140625" style="9" customWidth="1"/>
    <col min="1286" max="1286" width="12.88671875" style="9" customWidth="1"/>
    <col min="1287" max="1287" width="10" style="9"/>
    <col min="1288" max="1288" width="7.33203125" style="9" customWidth="1"/>
    <col min="1289" max="1294" width="11.21875" style="9" customWidth="1"/>
    <col min="1295" max="1299" width="10" style="9"/>
    <col min="1300" max="1300" width="15.77734375" style="9" customWidth="1"/>
    <col min="1301" max="1302" width="12.44140625" style="9" customWidth="1"/>
    <col min="1303" max="1536" width="10" style="9"/>
    <col min="1537" max="1537" width="8.88671875" style="9" customWidth="1"/>
    <col min="1538" max="1539" width="11.77734375" style="9" customWidth="1"/>
    <col min="1540" max="1541" width="8.44140625" style="9" customWidth="1"/>
    <col min="1542" max="1542" width="12.88671875" style="9" customWidth="1"/>
    <col min="1543" max="1543" width="10" style="9"/>
    <col min="1544" max="1544" width="7.33203125" style="9" customWidth="1"/>
    <col min="1545" max="1550" width="11.21875" style="9" customWidth="1"/>
    <col min="1551" max="1555" width="10" style="9"/>
    <col min="1556" max="1556" width="15.77734375" style="9" customWidth="1"/>
    <col min="1557" max="1558" width="12.44140625" style="9" customWidth="1"/>
    <col min="1559" max="1792" width="10" style="9"/>
    <col min="1793" max="1793" width="8.88671875" style="9" customWidth="1"/>
    <col min="1794" max="1795" width="11.77734375" style="9" customWidth="1"/>
    <col min="1796" max="1797" width="8.44140625" style="9" customWidth="1"/>
    <col min="1798" max="1798" width="12.88671875" style="9" customWidth="1"/>
    <col min="1799" max="1799" width="10" style="9"/>
    <col min="1800" max="1800" width="7.33203125" style="9" customWidth="1"/>
    <col min="1801" max="1806" width="11.21875" style="9" customWidth="1"/>
    <col min="1807" max="1811" width="10" style="9"/>
    <col min="1812" max="1812" width="15.77734375" style="9" customWidth="1"/>
    <col min="1813" max="1814" width="12.44140625" style="9" customWidth="1"/>
    <col min="1815" max="2048" width="10" style="9"/>
    <col min="2049" max="2049" width="8.88671875" style="9" customWidth="1"/>
    <col min="2050" max="2051" width="11.77734375" style="9" customWidth="1"/>
    <col min="2052" max="2053" width="8.44140625" style="9" customWidth="1"/>
    <col min="2054" max="2054" width="12.88671875" style="9" customWidth="1"/>
    <col min="2055" max="2055" width="10" style="9"/>
    <col min="2056" max="2056" width="7.33203125" style="9" customWidth="1"/>
    <col min="2057" max="2062" width="11.21875" style="9" customWidth="1"/>
    <col min="2063" max="2067" width="10" style="9"/>
    <col min="2068" max="2068" width="15.77734375" style="9" customWidth="1"/>
    <col min="2069" max="2070" width="12.44140625" style="9" customWidth="1"/>
    <col min="2071" max="2304" width="10" style="9"/>
    <col min="2305" max="2305" width="8.88671875" style="9" customWidth="1"/>
    <col min="2306" max="2307" width="11.77734375" style="9" customWidth="1"/>
    <col min="2308" max="2309" width="8.44140625" style="9" customWidth="1"/>
    <col min="2310" max="2310" width="12.88671875" style="9" customWidth="1"/>
    <col min="2311" max="2311" width="10" style="9"/>
    <col min="2312" max="2312" width="7.33203125" style="9" customWidth="1"/>
    <col min="2313" max="2318" width="11.21875" style="9" customWidth="1"/>
    <col min="2319" max="2323" width="10" style="9"/>
    <col min="2324" max="2324" width="15.77734375" style="9" customWidth="1"/>
    <col min="2325" max="2326" width="12.44140625" style="9" customWidth="1"/>
    <col min="2327" max="2560" width="10" style="9"/>
    <col min="2561" max="2561" width="8.88671875" style="9" customWidth="1"/>
    <col min="2562" max="2563" width="11.77734375" style="9" customWidth="1"/>
    <col min="2564" max="2565" width="8.44140625" style="9" customWidth="1"/>
    <col min="2566" max="2566" width="12.88671875" style="9" customWidth="1"/>
    <col min="2567" max="2567" width="10" style="9"/>
    <col min="2568" max="2568" width="7.33203125" style="9" customWidth="1"/>
    <col min="2569" max="2574" width="11.21875" style="9" customWidth="1"/>
    <col min="2575" max="2579" width="10" style="9"/>
    <col min="2580" max="2580" width="15.77734375" style="9" customWidth="1"/>
    <col min="2581" max="2582" width="12.44140625" style="9" customWidth="1"/>
    <col min="2583" max="2816" width="10" style="9"/>
    <col min="2817" max="2817" width="8.88671875" style="9" customWidth="1"/>
    <col min="2818" max="2819" width="11.77734375" style="9" customWidth="1"/>
    <col min="2820" max="2821" width="8.44140625" style="9" customWidth="1"/>
    <col min="2822" max="2822" width="12.88671875" style="9" customWidth="1"/>
    <col min="2823" max="2823" width="10" style="9"/>
    <col min="2824" max="2824" width="7.33203125" style="9" customWidth="1"/>
    <col min="2825" max="2830" width="11.21875" style="9" customWidth="1"/>
    <col min="2831" max="2835" width="10" style="9"/>
    <col min="2836" max="2836" width="15.77734375" style="9" customWidth="1"/>
    <col min="2837" max="2838" width="12.44140625" style="9" customWidth="1"/>
    <col min="2839" max="3072" width="10" style="9"/>
    <col min="3073" max="3073" width="8.88671875" style="9" customWidth="1"/>
    <col min="3074" max="3075" width="11.77734375" style="9" customWidth="1"/>
    <col min="3076" max="3077" width="8.44140625" style="9" customWidth="1"/>
    <col min="3078" max="3078" width="12.88671875" style="9" customWidth="1"/>
    <col min="3079" max="3079" width="10" style="9"/>
    <col min="3080" max="3080" width="7.33203125" style="9" customWidth="1"/>
    <col min="3081" max="3086" width="11.21875" style="9" customWidth="1"/>
    <col min="3087" max="3091" width="10" style="9"/>
    <col min="3092" max="3092" width="15.77734375" style="9" customWidth="1"/>
    <col min="3093" max="3094" width="12.44140625" style="9" customWidth="1"/>
    <col min="3095" max="3328" width="10" style="9"/>
    <col min="3329" max="3329" width="8.88671875" style="9" customWidth="1"/>
    <col min="3330" max="3331" width="11.77734375" style="9" customWidth="1"/>
    <col min="3332" max="3333" width="8.44140625" style="9" customWidth="1"/>
    <col min="3334" max="3334" width="12.88671875" style="9" customWidth="1"/>
    <col min="3335" max="3335" width="10" style="9"/>
    <col min="3336" max="3336" width="7.33203125" style="9" customWidth="1"/>
    <col min="3337" max="3342" width="11.21875" style="9" customWidth="1"/>
    <col min="3343" max="3347" width="10" style="9"/>
    <col min="3348" max="3348" width="15.77734375" style="9" customWidth="1"/>
    <col min="3349" max="3350" width="12.44140625" style="9" customWidth="1"/>
    <col min="3351" max="3584" width="10" style="9"/>
    <col min="3585" max="3585" width="8.88671875" style="9" customWidth="1"/>
    <col min="3586" max="3587" width="11.77734375" style="9" customWidth="1"/>
    <col min="3588" max="3589" width="8.44140625" style="9" customWidth="1"/>
    <col min="3590" max="3590" width="12.88671875" style="9" customWidth="1"/>
    <col min="3591" max="3591" width="10" style="9"/>
    <col min="3592" max="3592" width="7.33203125" style="9" customWidth="1"/>
    <col min="3593" max="3598" width="11.21875" style="9" customWidth="1"/>
    <col min="3599" max="3603" width="10" style="9"/>
    <col min="3604" max="3604" width="15.77734375" style="9" customWidth="1"/>
    <col min="3605" max="3606" width="12.44140625" style="9" customWidth="1"/>
    <col min="3607" max="3840" width="10" style="9"/>
    <col min="3841" max="3841" width="8.88671875" style="9" customWidth="1"/>
    <col min="3842" max="3843" width="11.77734375" style="9" customWidth="1"/>
    <col min="3844" max="3845" width="8.44140625" style="9" customWidth="1"/>
    <col min="3846" max="3846" width="12.88671875" style="9" customWidth="1"/>
    <col min="3847" max="3847" width="10" style="9"/>
    <col min="3848" max="3848" width="7.33203125" style="9" customWidth="1"/>
    <col min="3849" max="3854" width="11.21875" style="9" customWidth="1"/>
    <col min="3855" max="3859" width="10" style="9"/>
    <col min="3860" max="3860" width="15.77734375" style="9" customWidth="1"/>
    <col min="3861" max="3862" width="12.44140625" style="9" customWidth="1"/>
    <col min="3863" max="4096" width="10" style="9"/>
    <col min="4097" max="4097" width="8.88671875" style="9" customWidth="1"/>
    <col min="4098" max="4099" width="11.77734375" style="9" customWidth="1"/>
    <col min="4100" max="4101" width="8.44140625" style="9" customWidth="1"/>
    <col min="4102" max="4102" width="12.88671875" style="9" customWidth="1"/>
    <col min="4103" max="4103" width="10" style="9"/>
    <col min="4104" max="4104" width="7.33203125" style="9" customWidth="1"/>
    <col min="4105" max="4110" width="11.21875" style="9" customWidth="1"/>
    <col min="4111" max="4115" width="10" style="9"/>
    <col min="4116" max="4116" width="15.77734375" style="9" customWidth="1"/>
    <col min="4117" max="4118" width="12.44140625" style="9" customWidth="1"/>
    <col min="4119" max="4352" width="10" style="9"/>
    <col min="4353" max="4353" width="8.88671875" style="9" customWidth="1"/>
    <col min="4354" max="4355" width="11.77734375" style="9" customWidth="1"/>
    <col min="4356" max="4357" width="8.44140625" style="9" customWidth="1"/>
    <col min="4358" max="4358" width="12.88671875" style="9" customWidth="1"/>
    <col min="4359" max="4359" width="10" style="9"/>
    <col min="4360" max="4360" width="7.33203125" style="9" customWidth="1"/>
    <col min="4361" max="4366" width="11.21875" style="9" customWidth="1"/>
    <col min="4367" max="4371" width="10" style="9"/>
    <col min="4372" max="4372" width="15.77734375" style="9" customWidth="1"/>
    <col min="4373" max="4374" width="12.44140625" style="9" customWidth="1"/>
    <col min="4375" max="4608" width="10" style="9"/>
    <col min="4609" max="4609" width="8.88671875" style="9" customWidth="1"/>
    <col min="4610" max="4611" width="11.77734375" style="9" customWidth="1"/>
    <col min="4612" max="4613" width="8.44140625" style="9" customWidth="1"/>
    <col min="4614" max="4614" width="12.88671875" style="9" customWidth="1"/>
    <col min="4615" max="4615" width="10" style="9"/>
    <col min="4616" max="4616" width="7.33203125" style="9" customWidth="1"/>
    <col min="4617" max="4622" width="11.21875" style="9" customWidth="1"/>
    <col min="4623" max="4627" width="10" style="9"/>
    <col min="4628" max="4628" width="15.77734375" style="9" customWidth="1"/>
    <col min="4629" max="4630" width="12.44140625" style="9" customWidth="1"/>
    <col min="4631" max="4864" width="10" style="9"/>
    <col min="4865" max="4865" width="8.88671875" style="9" customWidth="1"/>
    <col min="4866" max="4867" width="11.77734375" style="9" customWidth="1"/>
    <col min="4868" max="4869" width="8.44140625" style="9" customWidth="1"/>
    <col min="4870" max="4870" width="12.88671875" style="9" customWidth="1"/>
    <col min="4871" max="4871" width="10" style="9"/>
    <col min="4872" max="4872" width="7.33203125" style="9" customWidth="1"/>
    <col min="4873" max="4878" width="11.21875" style="9" customWidth="1"/>
    <col min="4879" max="4883" width="10" style="9"/>
    <col min="4884" max="4884" width="15.77734375" style="9" customWidth="1"/>
    <col min="4885" max="4886" width="12.44140625" style="9" customWidth="1"/>
    <col min="4887" max="5120" width="10" style="9"/>
    <col min="5121" max="5121" width="8.88671875" style="9" customWidth="1"/>
    <col min="5122" max="5123" width="11.77734375" style="9" customWidth="1"/>
    <col min="5124" max="5125" width="8.44140625" style="9" customWidth="1"/>
    <col min="5126" max="5126" width="12.88671875" style="9" customWidth="1"/>
    <col min="5127" max="5127" width="10" style="9"/>
    <col min="5128" max="5128" width="7.33203125" style="9" customWidth="1"/>
    <col min="5129" max="5134" width="11.21875" style="9" customWidth="1"/>
    <col min="5135" max="5139" width="10" style="9"/>
    <col min="5140" max="5140" width="15.77734375" style="9" customWidth="1"/>
    <col min="5141" max="5142" width="12.44140625" style="9" customWidth="1"/>
    <col min="5143" max="5376" width="10" style="9"/>
    <col min="5377" max="5377" width="8.88671875" style="9" customWidth="1"/>
    <col min="5378" max="5379" width="11.77734375" style="9" customWidth="1"/>
    <col min="5380" max="5381" width="8.44140625" style="9" customWidth="1"/>
    <col min="5382" max="5382" width="12.88671875" style="9" customWidth="1"/>
    <col min="5383" max="5383" width="10" style="9"/>
    <col min="5384" max="5384" width="7.33203125" style="9" customWidth="1"/>
    <col min="5385" max="5390" width="11.21875" style="9" customWidth="1"/>
    <col min="5391" max="5395" width="10" style="9"/>
    <col min="5396" max="5396" width="15.77734375" style="9" customWidth="1"/>
    <col min="5397" max="5398" width="12.44140625" style="9" customWidth="1"/>
    <col min="5399" max="5632" width="10" style="9"/>
    <col min="5633" max="5633" width="8.88671875" style="9" customWidth="1"/>
    <col min="5634" max="5635" width="11.77734375" style="9" customWidth="1"/>
    <col min="5636" max="5637" width="8.44140625" style="9" customWidth="1"/>
    <col min="5638" max="5638" width="12.88671875" style="9" customWidth="1"/>
    <col min="5639" max="5639" width="10" style="9"/>
    <col min="5640" max="5640" width="7.33203125" style="9" customWidth="1"/>
    <col min="5641" max="5646" width="11.21875" style="9" customWidth="1"/>
    <col min="5647" max="5651" width="10" style="9"/>
    <col min="5652" max="5652" width="15.77734375" style="9" customWidth="1"/>
    <col min="5653" max="5654" width="12.44140625" style="9" customWidth="1"/>
    <col min="5655" max="5888" width="10" style="9"/>
    <col min="5889" max="5889" width="8.88671875" style="9" customWidth="1"/>
    <col min="5890" max="5891" width="11.77734375" style="9" customWidth="1"/>
    <col min="5892" max="5893" width="8.44140625" style="9" customWidth="1"/>
    <col min="5894" max="5894" width="12.88671875" style="9" customWidth="1"/>
    <col min="5895" max="5895" width="10" style="9"/>
    <col min="5896" max="5896" width="7.33203125" style="9" customWidth="1"/>
    <col min="5897" max="5902" width="11.21875" style="9" customWidth="1"/>
    <col min="5903" max="5907" width="10" style="9"/>
    <col min="5908" max="5908" width="15.77734375" style="9" customWidth="1"/>
    <col min="5909" max="5910" width="12.44140625" style="9" customWidth="1"/>
    <col min="5911" max="6144" width="10" style="9"/>
    <col min="6145" max="6145" width="8.88671875" style="9" customWidth="1"/>
    <col min="6146" max="6147" width="11.77734375" style="9" customWidth="1"/>
    <col min="6148" max="6149" width="8.44140625" style="9" customWidth="1"/>
    <col min="6150" max="6150" width="12.88671875" style="9" customWidth="1"/>
    <col min="6151" max="6151" width="10" style="9"/>
    <col min="6152" max="6152" width="7.33203125" style="9" customWidth="1"/>
    <col min="6153" max="6158" width="11.21875" style="9" customWidth="1"/>
    <col min="6159" max="6163" width="10" style="9"/>
    <col min="6164" max="6164" width="15.77734375" style="9" customWidth="1"/>
    <col min="6165" max="6166" width="12.44140625" style="9" customWidth="1"/>
    <col min="6167" max="6400" width="10" style="9"/>
    <col min="6401" max="6401" width="8.88671875" style="9" customWidth="1"/>
    <col min="6402" max="6403" width="11.77734375" style="9" customWidth="1"/>
    <col min="6404" max="6405" width="8.44140625" style="9" customWidth="1"/>
    <col min="6406" max="6406" width="12.88671875" style="9" customWidth="1"/>
    <col min="6407" max="6407" width="10" style="9"/>
    <col min="6408" max="6408" width="7.33203125" style="9" customWidth="1"/>
    <col min="6409" max="6414" width="11.21875" style="9" customWidth="1"/>
    <col min="6415" max="6419" width="10" style="9"/>
    <col min="6420" max="6420" width="15.77734375" style="9" customWidth="1"/>
    <col min="6421" max="6422" width="12.44140625" style="9" customWidth="1"/>
    <col min="6423" max="6656" width="10" style="9"/>
    <col min="6657" max="6657" width="8.88671875" style="9" customWidth="1"/>
    <col min="6658" max="6659" width="11.77734375" style="9" customWidth="1"/>
    <col min="6660" max="6661" width="8.44140625" style="9" customWidth="1"/>
    <col min="6662" max="6662" width="12.88671875" style="9" customWidth="1"/>
    <col min="6663" max="6663" width="10" style="9"/>
    <col min="6664" max="6664" width="7.33203125" style="9" customWidth="1"/>
    <col min="6665" max="6670" width="11.21875" style="9" customWidth="1"/>
    <col min="6671" max="6675" width="10" style="9"/>
    <col min="6676" max="6676" width="15.77734375" style="9" customWidth="1"/>
    <col min="6677" max="6678" width="12.44140625" style="9" customWidth="1"/>
    <col min="6679" max="6912" width="10" style="9"/>
    <col min="6913" max="6913" width="8.88671875" style="9" customWidth="1"/>
    <col min="6914" max="6915" width="11.77734375" style="9" customWidth="1"/>
    <col min="6916" max="6917" width="8.44140625" style="9" customWidth="1"/>
    <col min="6918" max="6918" width="12.88671875" style="9" customWidth="1"/>
    <col min="6919" max="6919" width="10" style="9"/>
    <col min="6920" max="6920" width="7.33203125" style="9" customWidth="1"/>
    <col min="6921" max="6926" width="11.21875" style="9" customWidth="1"/>
    <col min="6927" max="6931" width="10" style="9"/>
    <col min="6932" max="6932" width="15.77734375" style="9" customWidth="1"/>
    <col min="6933" max="6934" width="12.44140625" style="9" customWidth="1"/>
    <col min="6935" max="7168" width="10" style="9"/>
    <col min="7169" max="7169" width="8.88671875" style="9" customWidth="1"/>
    <col min="7170" max="7171" width="11.77734375" style="9" customWidth="1"/>
    <col min="7172" max="7173" width="8.44140625" style="9" customWidth="1"/>
    <col min="7174" max="7174" width="12.88671875" style="9" customWidth="1"/>
    <col min="7175" max="7175" width="10" style="9"/>
    <col min="7176" max="7176" width="7.33203125" style="9" customWidth="1"/>
    <col min="7177" max="7182" width="11.21875" style="9" customWidth="1"/>
    <col min="7183" max="7187" width="10" style="9"/>
    <col min="7188" max="7188" width="15.77734375" style="9" customWidth="1"/>
    <col min="7189" max="7190" width="12.44140625" style="9" customWidth="1"/>
    <col min="7191" max="7424" width="10" style="9"/>
    <col min="7425" max="7425" width="8.88671875" style="9" customWidth="1"/>
    <col min="7426" max="7427" width="11.77734375" style="9" customWidth="1"/>
    <col min="7428" max="7429" width="8.44140625" style="9" customWidth="1"/>
    <col min="7430" max="7430" width="12.88671875" style="9" customWidth="1"/>
    <col min="7431" max="7431" width="10" style="9"/>
    <col min="7432" max="7432" width="7.33203125" style="9" customWidth="1"/>
    <col min="7433" max="7438" width="11.21875" style="9" customWidth="1"/>
    <col min="7439" max="7443" width="10" style="9"/>
    <col min="7444" max="7444" width="15.77734375" style="9" customWidth="1"/>
    <col min="7445" max="7446" width="12.44140625" style="9" customWidth="1"/>
    <col min="7447" max="7680" width="10" style="9"/>
    <col min="7681" max="7681" width="8.88671875" style="9" customWidth="1"/>
    <col min="7682" max="7683" width="11.77734375" style="9" customWidth="1"/>
    <col min="7684" max="7685" width="8.44140625" style="9" customWidth="1"/>
    <col min="7686" max="7686" width="12.88671875" style="9" customWidth="1"/>
    <col min="7687" max="7687" width="10" style="9"/>
    <col min="7688" max="7688" width="7.33203125" style="9" customWidth="1"/>
    <col min="7689" max="7694" width="11.21875" style="9" customWidth="1"/>
    <col min="7695" max="7699" width="10" style="9"/>
    <col min="7700" max="7700" width="15.77734375" style="9" customWidth="1"/>
    <col min="7701" max="7702" width="12.44140625" style="9" customWidth="1"/>
    <col min="7703" max="7936" width="10" style="9"/>
    <col min="7937" max="7937" width="8.88671875" style="9" customWidth="1"/>
    <col min="7938" max="7939" width="11.77734375" style="9" customWidth="1"/>
    <col min="7940" max="7941" width="8.44140625" style="9" customWidth="1"/>
    <col min="7942" max="7942" width="12.88671875" style="9" customWidth="1"/>
    <col min="7943" max="7943" width="10" style="9"/>
    <col min="7944" max="7944" width="7.33203125" style="9" customWidth="1"/>
    <col min="7945" max="7950" width="11.21875" style="9" customWidth="1"/>
    <col min="7951" max="7955" width="10" style="9"/>
    <col min="7956" max="7956" width="15.77734375" style="9" customWidth="1"/>
    <col min="7957" max="7958" width="12.44140625" style="9" customWidth="1"/>
    <col min="7959" max="8192" width="10" style="9"/>
    <col min="8193" max="8193" width="8.88671875" style="9" customWidth="1"/>
    <col min="8194" max="8195" width="11.77734375" style="9" customWidth="1"/>
    <col min="8196" max="8197" width="8.44140625" style="9" customWidth="1"/>
    <col min="8198" max="8198" width="12.88671875" style="9" customWidth="1"/>
    <col min="8199" max="8199" width="10" style="9"/>
    <col min="8200" max="8200" width="7.33203125" style="9" customWidth="1"/>
    <col min="8201" max="8206" width="11.21875" style="9" customWidth="1"/>
    <col min="8207" max="8211" width="10" style="9"/>
    <col min="8212" max="8212" width="15.77734375" style="9" customWidth="1"/>
    <col min="8213" max="8214" width="12.44140625" style="9" customWidth="1"/>
    <col min="8215" max="8448" width="10" style="9"/>
    <col min="8449" max="8449" width="8.88671875" style="9" customWidth="1"/>
    <col min="8450" max="8451" width="11.77734375" style="9" customWidth="1"/>
    <col min="8452" max="8453" width="8.44140625" style="9" customWidth="1"/>
    <col min="8454" max="8454" width="12.88671875" style="9" customWidth="1"/>
    <col min="8455" max="8455" width="10" style="9"/>
    <col min="8456" max="8456" width="7.33203125" style="9" customWidth="1"/>
    <col min="8457" max="8462" width="11.21875" style="9" customWidth="1"/>
    <col min="8463" max="8467" width="10" style="9"/>
    <col min="8468" max="8468" width="15.77734375" style="9" customWidth="1"/>
    <col min="8469" max="8470" width="12.44140625" style="9" customWidth="1"/>
    <col min="8471" max="8704" width="10" style="9"/>
    <col min="8705" max="8705" width="8.88671875" style="9" customWidth="1"/>
    <col min="8706" max="8707" width="11.77734375" style="9" customWidth="1"/>
    <col min="8708" max="8709" width="8.44140625" style="9" customWidth="1"/>
    <col min="8710" max="8710" width="12.88671875" style="9" customWidth="1"/>
    <col min="8711" max="8711" width="10" style="9"/>
    <col min="8712" max="8712" width="7.33203125" style="9" customWidth="1"/>
    <col min="8713" max="8718" width="11.21875" style="9" customWidth="1"/>
    <col min="8719" max="8723" width="10" style="9"/>
    <col min="8724" max="8724" width="15.77734375" style="9" customWidth="1"/>
    <col min="8725" max="8726" width="12.44140625" style="9" customWidth="1"/>
    <col min="8727" max="8960" width="10" style="9"/>
    <col min="8961" max="8961" width="8.88671875" style="9" customWidth="1"/>
    <col min="8962" max="8963" width="11.77734375" style="9" customWidth="1"/>
    <col min="8964" max="8965" width="8.44140625" style="9" customWidth="1"/>
    <col min="8966" max="8966" width="12.88671875" style="9" customWidth="1"/>
    <col min="8967" max="8967" width="10" style="9"/>
    <col min="8968" max="8968" width="7.33203125" style="9" customWidth="1"/>
    <col min="8969" max="8974" width="11.21875" style="9" customWidth="1"/>
    <col min="8975" max="8979" width="10" style="9"/>
    <col min="8980" max="8980" width="15.77734375" style="9" customWidth="1"/>
    <col min="8981" max="8982" width="12.44140625" style="9" customWidth="1"/>
    <col min="8983" max="9216" width="10" style="9"/>
    <col min="9217" max="9217" width="8.88671875" style="9" customWidth="1"/>
    <col min="9218" max="9219" width="11.77734375" style="9" customWidth="1"/>
    <col min="9220" max="9221" width="8.44140625" style="9" customWidth="1"/>
    <col min="9222" max="9222" width="12.88671875" style="9" customWidth="1"/>
    <col min="9223" max="9223" width="10" style="9"/>
    <col min="9224" max="9224" width="7.33203125" style="9" customWidth="1"/>
    <col min="9225" max="9230" width="11.21875" style="9" customWidth="1"/>
    <col min="9231" max="9235" width="10" style="9"/>
    <col min="9236" max="9236" width="15.77734375" style="9" customWidth="1"/>
    <col min="9237" max="9238" width="12.44140625" style="9" customWidth="1"/>
    <col min="9239" max="9472" width="10" style="9"/>
    <col min="9473" max="9473" width="8.88671875" style="9" customWidth="1"/>
    <col min="9474" max="9475" width="11.77734375" style="9" customWidth="1"/>
    <col min="9476" max="9477" width="8.44140625" style="9" customWidth="1"/>
    <col min="9478" max="9478" width="12.88671875" style="9" customWidth="1"/>
    <col min="9479" max="9479" width="10" style="9"/>
    <col min="9480" max="9480" width="7.33203125" style="9" customWidth="1"/>
    <col min="9481" max="9486" width="11.21875" style="9" customWidth="1"/>
    <col min="9487" max="9491" width="10" style="9"/>
    <col min="9492" max="9492" width="15.77734375" style="9" customWidth="1"/>
    <col min="9493" max="9494" width="12.44140625" style="9" customWidth="1"/>
    <col min="9495" max="9728" width="10" style="9"/>
    <col min="9729" max="9729" width="8.88671875" style="9" customWidth="1"/>
    <col min="9730" max="9731" width="11.77734375" style="9" customWidth="1"/>
    <col min="9732" max="9733" width="8.44140625" style="9" customWidth="1"/>
    <col min="9734" max="9734" width="12.88671875" style="9" customWidth="1"/>
    <col min="9735" max="9735" width="10" style="9"/>
    <col min="9736" max="9736" width="7.33203125" style="9" customWidth="1"/>
    <col min="9737" max="9742" width="11.21875" style="9" customWidth="1"/>
    <col min="9743" max="9747" width="10" style="9"/>
    <col min="9748" max="9748" width="15.77734375" style="9" customWidth="1"/>
    <col min="9749" max="9750" width="12.44140625" style="9" customWidth="1"/>
    <col min="9751" max="9984" width="10" style="9"/>
    <col min="9985" max="9985" width="8.88671875" style="9" customWidth="1"/>
    <col min="9986" max="9987" width="11.77734375" style="9" customWidth="1"/>
    <col min="9988" max="9989" width="8.44140625" style="9" customWidth="1"/>
    <col min="9990" max="9990" width="12.88671875" style="9" customWidth="1"/>
    <col min="9991" max="9991" width="10" style="9"/>
    <col min="9992" max="9992" width="7.33203125" style="9" customWidth="1"/>
    <col min="9993" max="9998" width="11.21875" style="9" customWidth="1"/>
    <col min="9999" max="10003" width="10" style="9"/>
    <col min="10004" max="10004" width="15.77734375" style="9" customWidth="1"/>
    <col min="10005" max="10006" width="12.44140625" style="9" customWidth="1"/>
    <col min="10007" max="10240" width="10" style="9"/>
    <col min="10241" max="10241" width="8.88671875" style="9" customWidth="1"/>
    <col min="10242" max="10243" width="11.77734375" style="9" customWidth="1"/>
    <col min="10244" max="10245" width="8.44140625" style="9" customWidth="1"/>
    <col min="10246" max="10246" width="12.88671875" style="9" customWidth="1"/>
    <col min="10247" max="10247" width="10" style="9"/>
    <col min="10248" max="10248" width="7.33203125" style="9" customWidth="1"/>
    <col min="10249" max="10254" width="11.21875" style="9" customWidth="1"/>
    <col min="10255" max="10259" width="10" style="9"/>
    <col min="10260" max="10260" width="15.77734375" style="9" customWidth="1"/>
    <col min="10261" max="10262" width="12.44140625" style="9" customWidth="1"/>
    <col min="10263" max="10496" width="10" style="9"/>
    <col min="10497" max="10497" width="8.88671875" style="9" customWidth="1"/>
    <col min="10498" max="10499" width="11.77734375" style="9" customWidth="1"/>
    <col min="10500" max="10501" width="8.44140625" style="9" customWidth="1"/>
    <col min="10502" max="10502" width="12.88671875" style="9" customWidth="1"/>
    <col min="10503" max="10503" width="10" style="9"/>
    <col min="10504" max="10504" width="7.33203125" style="9" customWidth="1"/>
    <col min="10505" max="10510" width="11.21875" style="9" customWidth="1"/>
    <col min="10511" max="10515" width="10" style="9"/>
    <col min="10516" max="10516" width="15.77734375" style="9" customWidth="1"/>
    <col min="10517" max="10518" width="12.44140625" style="9" customWidth="1"/>
    <col min="10519" max="10752" width="10" style="9"/>
    <col min="10753" max="10753" width="8.88671875" style="9" customWidth="1"/>
    <col min="10754" max="10755" width="11.77734375" style="9" customWidth="1"/>
    <col min="10756" max="10757" width="8.44140625" style="9" customWidth="1"/>
    <col min="10758" max="10758" width="12.88671875" style="9" customWidth="1"/>
    <col min="10759" max="10759" width="10" style="9"/>
    <col min="10760" max="10760" width="7.33203125" style="9" customWidth="1"/>
    <col min="10761" max="10766" width="11.21875" style="9" customWidth="1"/>
    <col min="10767" max="10771" width="10" style="9"/>
    <col min="10772" max="10772" width="15.77734375" style="9" customWidth="1"/>
    <col min="10773" max="10774" width="12.44140625" style="9" customWidth="1"/>
    <col min="10775" max="11008" width="10" style="9"/>
    <col min="11009" max="11009" width="8.88671875" style="9" customWidth="1"/>
    <col min="11010" max="11011" width="11.77734375" style="9" customWidth="1"/>
    <col min="11012" max="11013" width="8.44140625" style="9" customWidth="1"/>
    <col min="11014" max="11014" width="12.88671875" style="9" customWidth="1"/>
    <col min="11015" max="11015" width="10" style="9"/>
    <col min="11016" max="11016" width="7.33203125" style="9" customWidth="1"/>
    <col min="11017" max="11022" width="11.21875" style="9" customWidth="1"/>
    <col min="11023" max="11027" width="10" style="9"/>
    <col min="11028" max="11028" width="15.77734375" style="9" customWidth="1"/>
    <col min="11029" max="11030" width="12.44140625" style="9" customWidth="1"/>
    <col min="11031" max="11264" width="10" style="9"/>
    <col min="11265" max="11265" width="8.88671875" style="9" customWidth="1"/>
    <col min="11266" max="11267" width="11.77734375" style="9" customWidth="1"/>
    <col min="11268" max="11269" width="8.44140625" style="9" customWidth="1"/>
    <col min="11270" max="11270" width="12.88671875" style="9" customWidth="1"/>
    <col min="11271" max="11271" width="10" style="9"/>
    <col min="11272" max="11272" width="7.33203125" style="9" customWidth="1"/>
    <col min="11273" max="11278" width="11.21875" style="9" customWidth="1"/>
    <col min="11279" max="11283" width="10" style="9"/>
    <col min="11284" max="11284" width="15.77734375" style="9" customWidth="1"/>
    <col min="11285" max="11286" width="12.44140625" style="9" customWidth="1"/>
    <col min="11287" max="11520" width="10" style="9"/>
    <col min="11521" max="11521" width="8.88671875" style="9" customWidth="1"/>
    <col min="11522" max="11523" width="11.77734375" style="9" customWidth="1"/>
    <col min="11524" max="11525" width="8.44140625" style="9" customWidth="1"/>
    <col min="11526" max="11526" width="12.88671875" style="9" customWidth="1"/>
    <col min="11527" max="11527" width="10" style="9"/>
    <col min="11528" max="11528" width="7.33203125" style="9" customWidth="1"/>
    <col min="11529" max="11534" width="11.21875" style="9" customWidth="1"/>
    <col min="11535" max="11539" width="10" style="9"/>
    <col min="11540" max="11540" width="15.77734375" style="9" customWidth="1"/>
    <col min="11541" max="11542" width="12.44140625" style="9" customWidth="1"/>
    <col min="11543" max="11776" width="10" style="9"/>
    <col min="11777" max="11777" width="8.88671875" style="9" customWidth="1"/>
    <col min="11778" max="11779" width="11.77734375" style="9" customWidth="1"/>
    <col min="11780" max="11781" width="8.44140625" style="9" customWidth="1"/>
    <col min="11782" max="11782" width="12.88671875" style="9" customWidth="1"/>
    <col min="11783" max="11783" width="10" style="9"/>
    <col min="11784" max="11784" width="7.33203125" style="9" customWidth="1"/>
    <col min="11785" max="11790" width="11.21875" style="9" customWidth="1"/>
    <col min="11791" max="11795" width="10" style="9"/>
    <col min="11796" max="11796" width="15.77734375" style="9" customWidth="1"/>
    <col min="11797" max="11798" width="12.44140625" style="9" customWidth="1"/>
    <col min="11799" max="12032" width="10" style="9"/>
    <col min="12033" max="12033" width="8.88671875" style="9" customWidth="1"/>
    <col min="12034" max="12035" width="11.77734375" style="9" customWidth="1"/>
    <col min="12036" max="12037" width="8.44140625" style="9" customWidth="1"/>
    <col min="12038" max="12038" width="12.88671875" style="9" customWidth="1"/>
    <col min="12039" max="12039" width="10" style="9"/>
    <col min="12040" max="12040" width="7.33203125" style="9" customWidth="1"/>
    <col min="12041" max="12046" width="11.21875" style="9" customWidth="1"/>
    <col min="12047" max="12051" width="10" style="9"/>
    <col min="12052" max="12052" width="15.77734375" style="9" customWidth="1"/>
    <col min="12053" max="12054" width="12.44140625" style="9" customWidth="1"/>
    <col min="12055" max="12288" width="10" style="9"/>
    <col min="12289" max="12289" width="8.88671875" style="9" customWidth="1"/>
    <col min="12290" max="12291" width="11.77734375" style="9" customWidth="1"/>
    <col min="12292" max="12293" width="8.44140625" style="9" customWidth="1"/>
    <col min="12294" max="12294" width="12.88671875" style="9" customWidth="1"/>
    <col min="12295" max="12295" width="10" style="9"/>
    <col min="12296" max="12296" width="7.33203125" style="9" customWidth="1"/>
    <col min="12297" max="12302" width="11.21875" style="9" customWidth="1"/>
    <col min="12303" max="12307" width="10" style="9"/>
    <col min="12308" max="12308" width="15.77734375" style="9" customWidth="1"/>
    <col min="12309" max="12310" width="12.44140625" style="9" customWidth="1"/>
    <col min="12311" max="12544" width="10" style="9"/>
    <col min="12545" max="12545" width="8.88671875" style="9" customWidth="1"/>
    <col min="12546" max="12547" width="11.77734375" style="9" customWidth="1"/>
    <col min="12548" max="12549" width="8.44140625" style="9" customWidth="1"/>
    <col min="12550" max="12550" width="12.88671875" style="9" customWidth="1"/>
    <col min="12551" max="12551" width="10" style="9"/>
    <col min="12552" max="12552" width="7.33203125" style="9" customWidth="1"/>
    <col min="12553" max="12558" width="11.21875" style="9" customWidth="1"/>
    <col min="12559" max="12563" width="10" style="9"/>
    <col min="12564" max="12564" width="15.77734375" style="9" customWidth="1"/>
    <col min="12565" max="12566" width="12.44140625" style="9" customWidth="1"/>
    <col min="12567" max="12800" width="10" style="9"/>
    <col min="12801" max="12801" width="8.88671875" style="9" customWidth="1"/>
    <col min="12802" max="12803" width="11.77734375" style="9" customWidth="1"/>
    <col min="12804" max="12805" width="8.44140625" style="9" customWidth="1"/>
    <col min="12806" max="12806" width="12.88671875" style="9" customWidth="1"/>
    <col min="12807" max="12807" width="10" style="9"/>
    <col min="12808" max="12808" width="7.33203125" style="9" customWidth="1"/>
    <col min="12809" max="12814" width="11.21875" style="9" customWidth="1"/>
    <col min="12815" max="12819" width="10" style="9"/>
    <col min="12820" max="12820" width="15.77734375" style="9" customWidth="1"/>
    <col min="12821" max="12822" width="12.44140625" style="9" customWidth="1"/>
    <col min="12823" max="13056" width="10" style="9"/>
    <col min="13057" max="13057" width="8.88671875" style="9" customWidth="1"/>
    <col min="13058" max="13059" width="11.77734375" style="9" customWidth="1"/>
    <col min="13060" max="13061" width="8.44140625" style="9" customWidth="1"/>
    <col min="13062" max="13062" width="12.88671875" style="9" customWidth="1"/>
    <col min="13063" max="13063" width="10" style="9"/>
    <col min="13064" max="13064" width="7.33203125" style="9" customWidth="1"/>
    <col min="13065" max="13070" width="11.21875" style="9" customWidth="1"/>
    <col min="13071" max="13075" width="10" style="9"/>
    <col min="13076" max="13076" width="15.77734375" style="9" customWidth="1"/>
    <col min="13077" max="13078" width="12.44140625" style="9" customWidth="1"/>
    <col min="13079" max="13312" width="10" style="9"/>
    <col min="13313" max="13313" width="8.88671875" style="9" customWidth="1"/>
    <col min="13314" max="13315" width="11.77734375" style="9" customWidth="1"/>
    <col min="13316" max="13317" width="8.44140625" style="9" customWidth="1"/>
    <col min="13318" max="13318" width="12.88671875" style="9" customWidth="1"/>
    <col min="13319" max="13319" width="10" style="9"/>
    <col min="13320" max="13320" width="7.33203125" style="9" customWidth="1"/>
    <col min="13321" max="13326" width="11.21875" style="9" customWidth="1"/>
    <col min="13327" max="13331" width="10" style="9"/>
    <col min="13332" max="13332" width="15.77734375" style="9" customWidth="1"/>
    <col min="13333" max="13334" width="12.44140625" style="9" customWidth="1"/>
    <col min="13335" max="13568" width="10" style="9"/>
    <col min="13569" max="13569" width="8.88671875" style="9" customWidth="1"/>
    <col min="13570" max="13571" width="11.77734375" style="9" customWidth="1"/>
    <col min="13572" max="13573" width="8.44140625" style="9" customWidth="1"/>
    <col min="13574" max="13574" width="12.88671875" style="9" customWidth="1"/>
    <col min="13575" max="13575" width="10" style="9"/>
    <col min="13576" max="13576" width="7.33203125" style="9" customWidth="1"/>
    <col min="13577" max="13582" width="11.21875" style="9" customWidth="1"/>
    <col min="13583" max="13587" width="10" style="9"/>
    <col min="13588" max="13588" width="15.77734375" style="9" customWidth="1"/>
    <col min="13589" max="13590" width="12.44140625" style="9" customWidth="1"/>
    <col min="13591" max="13824" width="10" style="9"/>
    <col min="13825" max="13825" width="8.88671875" style="9" customWidth="1"/>
    <col min="13826" max="13827" width="11.77734375" style="9" customWidth="1"/>
    <col min="13828" max="13829" width="8.44140625" style="9" customWidth="1"/>
    <col min="13830" max="13830" width="12.88671875" style="9" customWidth="1"/>
    <col min="13831" max="13831" width="10" style="9"/>
    <col min="13832" max="13832" width="7.33203125" style="9" customWidth="1"/>
    <col min="13833" max="13838" width="11.21875" style="9" customWidth="1"/>
    <col min="13839" max="13843" width="10" style="9"/>
    <col min="13844" max="13844" width="15.77734375" style="9" customWidth="1"/>
    <col min="13845" max="13846" width="12.44140625" style="9" customWidth="1"/>
    <col min="13847" max="14080" width="10" style="9"/>
    <col min="14081" max="14081" width="8.88671875" style="9" customWidth="1"/>
    <col min="14082" max="14083" width="11.77734375" style="9" customWidth="1"/>
    <col min="14084" max="14085" width="8.44140625" style="9" customWidth="1"/>
    <col min="14086" max="14086" width="12.88671875" style="9" customWidth="1"/>
    <col min="14087" max="14087" width="10" style="9"/>
    <col min="14088" max="14088" width="7.33203125" style="9" customWidth="1"/>
    <col min="14089" max="14094" width="11.21875" style="9" customWidth="1"/>
    <col min="14095" max="14099" width="10" style="9"/>
    <col min="14100" max="14100" width="15.77734375" style="9" customWidth="1"/>
    <col min="14101" max="14102" width="12.44140625" style="9" customWidth="1"/>
    <col min="14103" max="14336" width="10" style="9"/>
    <col min="14337" max="14337" width="8.88671875" style="9" customWidth="1"/>
    <col min="14338" max="14339" width="11.77734375" style="9" customWidth="1"/>
    <col min="14340" max="14341" width="8.44140625" style="9" customWidth="1"/>
    <col min="14342" max="14342" width="12.88671875" style="9" customWidth="1"/>
    <col min="14343" max="14343" width="10" style="9"/>
    <col min="14344" max="14344" width="7.33203125" style="9" customWidth="1"/>
    <col min="14345" max="14350" width="11.21875" style="9" customWidth="1"/>
    <col min="14351" max="14355" width="10" style="9"/>
    <col min="14356" max="14356" width="15.77734375" style="9" customWidth="1"/>
    <col min="14357" max="14358" width="12.44140625" style="9" customWidth="1"/>
    <col min="14359" max="14592" width="10" style="9"/>
    <col min="14593" max="14593" width="8.88671875" style="9" customWidth="1"/>
    <col min="14594" max="14595" width="11.77734375" style="9" customWidth="1"/>
    <col min="14596" max="14597" width="8.44140625" style="9" customWidth="1"/>
    <col min="14598" max="14598" width="12.88671875" style="9" customWidth="1"/>
    <col min="14599" max="14599" width="10" style="9"/>
    <col min="14600" max="14600" width="7.33203125" style="9" customWidth="1"/>
    <col min="14601" max="14606" width="11.21875" style="9" customWidth="1"/>
    <col min="14607" max="14611" width="10" style="9"/>
    <col min="14612" max="14612" width="15.77734375" style="9" customWidth="1"/>
    <col min="14613" max="14614" width="12.44140625" style="9" customWidth="1"/>
    <col min="14615" max="14848" width="10" style="9"/>
    <col min="14849" max="14849" width="8.88671875" style="9" customWidth="1"/>
    <col min="14850" max="14851" width="11.77734375" style="9" customWidth="1"/>
    <col min="14852" max="14853" width="8.44140625" style="9" customWidth="1"/>
    <col min="14854" max="14854" width="12.88671875" style="9" customWidth="1"/>
    <col min="14855" max="14855" width="10" style="9"/>
    <col min="14856" max="14856" width="7.33203125" style="9" customWidth="1"/>
    <col min="14857" max="14862" width="11.21875" style="9" customWidth="1"/>
    <col min="14863" max="14867" width="10" style="9"/>
    <col min="14868" max="14868" width="15.77734375" style="9" customWidth="1"/>
    <col min="14869" max="14870" width="12.44140625" style="9" customWidth="1"/>
    <col min="14871" max="15104" width="10" style="9"/>
    <col min="15105" max="15105" width="8.88671875" style="9" customWidth="1"/>
    <col min="15106" max="15107" width="11.77734375" style="9" customWidth="1"/>
    <col min="15108" max="15109" width="8.44140625" style="9" customWidth="1"/>
    <col min="15110" max="15110" width="12.88671875" style="9" customWidth="1"/>
    <col min="15111" max="15111" width="10" style="9"/>
    <col min="15112" max="15112" width="7.33203125" style="9" customWidth="1"/>
    <col min="15113" max="15118" width="11.21875" style="9" customWidth="1"/>
    <col min="15119" max="15123" width="10" style="9"/>
    <col min="15124" max="15124" width="15.77734375" style="9" customWidth="1"/>
    <col min="15125" max="15126" width="12.44140625" style="9" customWidth="1"/>
    <col min="15127" max="15360" width="10" style="9"/>
    <col min="15361" max="15361" width="8.88671875" style="9" customWidth="1"/>
    <col min="15362" max="15363" width="11.77734375" style="9" customWidth="1"/>
    <col min="15364" max="15365" width="8.44140625" style="9" customWidth="1"/>
    <col min="15366" max="15366" width="12.88671875" style="9" customWidth="1"/>
    <col min="15367" max="15367" width="10" style="9"/>
    <col min="15368" max="15368" width="7.33203125" style="9" customWidth="1"/>
    <col min="15369" max="15374" width="11.21875" style="9" customWidth="1"/>
    <col min="15375" max="15379" width="10" style="9"/>
    <col min="15380" max="15380" width="15.77734375" style="9" customWidth="1"/>
    <col min="15381" max="15382" width="12.44140625" style="9" customWidth="1"/>
    <col min="15383" max="15616" width="10" style="9"/>
    <col min="15617" max="15617" width="8.88671875" style="9" customWidth="1"/>
    <col min="15618" max="15619" width="11.77734375" style="9" customWidth="1"/>
    <col min="15620" max="15621" width="8.44140625" style="9" customWidth="1"/>
    <col min="15622" max="15622" width="12.88671875" style="9" customWidth="1"/>
    <col min="15623" max="15623" width="10" style="9"/>
    <col min="15624" max="15624" width="7.33203125" style="9" customWidth="1"/>
    <col min="15625" max="15630" width="11.21875" style="9" customWidth="1"/>
    <col min="15631" max="15635" width="10" style="9"/>
    <col min="15636" max="15636" width="15.77734375" style="9" customWidth="1"/>
    <col min="15637" max="15638" width="12.44140625" style="9" customWidth="1"/>
    <col min="15639" max="15872" width="10" style="9"/>
    <col min="15873" max="15873" width="8.88671875" style="9" customWidth="1"/>
    <col min="15874" max="15875" width="11.77734375" style="9" customWidth="1"/>
    <col min="15876" max="15877" width="8.44140625" style="9" customWidth="1"/>
    <col min="15878" max="15878" width="12.88671875" style="9" customWidth="1"/>
    <col min="15879" max="15879" width="10" style="9"/>
    <col min="15880" max="15880" width="7.33203125" style="9" customWidth="1"/>
    <col min="15881" max="15886" width="11.21875" style="9" customWidth="1"/>
    <col min="15887" max="15891" width="10" style="9"/>
    <col min="15892" max="15892" width="15.77734375" style="9" customWidth="1"/>
    <col min="15893" max="15894" width="12.44140625" style="9" customWidth="1"/>
    <col min="15895" max="16128" width="10" style="9"/>
    <col min="16129" max="16129" width="8.88671875" style="9" customWidth="1"/>
    <col min="16130" max="16131" width="11.77734375" style="9" customWidth="1"/>
    <col min="16132" max="16133" width="8.44140625" style="9" customWidth="1"/>
    <col min="16134" max="16134" width="12.88671875" style="9" customWidth="1"/>
    <col min="16135" max="16135" width="10" style="9"/>
    <col min="16136" max="16136" width="7.33203125" style="9" customWidth="1"/>
    <col min="16137" max="16142" width="11.21875" style="9" customWidth="1"/>
    <col min="16143" max="16147" width="10" style="9"/>
    <col min="16148" max="16148" width="15.77734375" style="9" customWidth="1"/>
    <col min="16149" max="16150" width="12.44140625" style="9" customWidth="1"/>
    <col min="16151" max="16384" width="10" style="9"/>
  </cols>
  <sheetData>
    <row r="1" spans="1:66" ht="31.2" thickBot="1">
      <c r="A1" s="5" t="s">
        <v>35</v>
      </c>
      <c r="I1" s="8"/>
      <c r="J1" s="8"/>
      <c r="K1" s="8"/>
      <c r="L1" s="8"/>
      <c r="M1" s="8"/>
      <c r="N1" s="8"/>
      <c r="O1" s="8"/>
      <c r="Q1" s="8"/>
      <c r="AH1" s="11"/>
      <c r="AI1" s="11"/>
      <c r="AJ1" s="11"/>
      <c r="AK1" s="11"/>
      <c r="AL1" s="11" t="s">
        <v>46</v>
      </c>
      <c r="AM1" s="11" t="s">
        <v>47</v>
      </c>
      <c r="AN1" s="11"/>
      <c r="BC1" s="8"/>
      <c r="BD1" s="8"/>
      <c r="BE1" s="8"/>
      <c r="BF1" s="8"/>
      <c r="BG1" s="8"/>
      <c r="BH1" s="8"/>
      <c r="BI1" s="8"/>
      <c r="BJ1" s="8"/>
      <c r="BK1" s="8"/>
      <c r="BL1" s="8"/>
      <c r="BM1" s="8"/>
      <c r="BN1" s="8"/>
    </row>
    <row r="2" spans="1:66" s="15" customFormat="1" ht="39.75" customHeight="1" thickBot="1">
      <c r="A2" s="12" t="s">
        <v>36</v>
      </c>
      <c r="B2" s="13" t="s">
        <v>46</v>
      </c>
      <c r="C2" s="14" t="s">
        <v>47</v>
      </c>
      <c r="D2" s="8"/>
      <c r="F2" s="67" t="s">
        <v>37</v>
      </c>
      <c r="G2" s="68"/>
      <c r="I2" s="16"/>
      <c r="J2" s="16"/>
      <c r="K2" s="16"/>
      <c r="L2" s="16"/>
      <c r="M2" s="16"/>
      <c r="N2" s="16"/>
      <c r="O2" s="16"/>
      <c r="Q2" s="16"/>
      <c r="R2" s="8"/>
      <c r="S2" s="8"/>
      <c r="T2" s="8"/>
      <c r="U2" s="8"/>
      <c r="V2" s="8"/>
      <c r="W2" s="16"/>
      <c r="X2" s="16"/>
      <c r="Y2" s="8"/>
      <c r="Z2" s="8"/>
      <c r="AA2" s="8"/>
      <c r="AB2" s="8"/>
      <c r="AC2" s="8"/>
      <c r="AD2" s="8"/>
      <c r="AE2" s="8"/>
      <c r="AF2" s="8"/>
      <c r="AG2" s="8"/>
      <c r="AH2" s="11">
        <v>-3500</v>
      </c>
      <c r="AI2" s="11"/>
      <c r="AJ2" s="11"/>
      <c r="AK2" s="11">
        <v>-3500</v>
      </c>
      <c r="AL2" s="11">
        <v>0</v>
      </c>
      <c r="AM2" s="11">
        <v>0</v>
      </c>
      <c r="AN2" s="11"/>
      <c r="AO2" s="8"/>
      <c r="AP2" s="8"/>
      <c r="AQ2" s="8"/>
      <c r="AR2" s="8"/>
      <c r="AS2" s="8"/>
      <c r="AT2" s="8"/>
      <c r="AU2" s="8"/>
      <c r="AV2" s="8"/>
      <c r="AW2" s="8"/>
      <c r="AX2" s="8"/>
      <c r="AY2" s="8"/>
      <c r="AZ2" s="8"/>
      <c r="BA2" s="8"/>
      <c r="BB2" s="8"/>
      <c r="BC2" s="16"/>
      <c r="BD2" s="16"/>
      <c r="BE2" s="16"/>
      <c r="BF2" s="16"/>
      <c r="BG2" s="16"/>
      <c r="BH2" s="16"/>
      <c r="BI2" s="16"/>
      <c r="BJ2" s="16"/>
      <c r="BK2" s="16"/>
      <c r="BL2" s="16"/>
      <c r="BM2" s="16"/>
      <c r="BN2" s="16"/>
    </row>
    <row r="3" spans="1:66" ht="16.2" thickBot="1">
      <c r="A3" s="17">
        <v>1</v>
      </c>
      <c r="B3" s="18">
        <v>10.512698537630493</v>
      </c>
      <c r="C3" s="19">
        <v>19.247484254602174</v>
      </c>
      <c r="F3" s="20">
        <v>1000</v>
      </c>
      <c r="G3" s="21" t="s">
        <v>38</v>
      </c>
      <c r="AH3" s="11">
        <v>-3400</v>
      </c>
      <c r="AI3" s="11"/>
      <c r="AJ3" s="11"/>
      <c r="AK3" s="11">
        <v>-3500</v>
      </c>
      <c r="AL3" s="11">
        <v>0</v>
      </c>
      <c r="AM3" s="11">
        <v>1</v>
      </c>
      <c r="AN3" s="11"/>
      <c r="BC3" s="8"/>
      <c r="BD3" s="8"/>
      <c r="BE3" s="8"/>
      <c r="BF3" s="8"/>
      <c r="BG3" s="8"/>
      <c r="BH3" s="8"/>
      <c r="BI3" s="8"/>
      <c r="BJ3" s="8"/>
      <c r="BK3" s="8"/>
      <c r="BL3" s="8"/>
      <c r="BM3" s="8"/>
      <c r="BN3" s="8"/>
    </row>
    <row r="4" spans="1:66" ht="16.2" thickBot="1">
      <c r="A4" s="17">
        <v>2</v>
      </c>
      <c r="B4" s="18">
        <v>7.478853624422201</v>
      </c>
      <c r="C4" s="19">
        <v>9.1924835844561414</v>
      </c>
      <c r="F4" s="22">
        <v>0.99999960511922836</v>
      </c>
      <c r="G4" s="23" t="s">
        <v>39</v>
      </c>
      <c r="I4" s="69" t="s">
        <v>46</v>
      </c>
      <c r="J4" s="70"/>
      <c r="K4" s="71" t="s">
        <v>47</v>
      </c>
      <c r="L4" s="72"/>
      <c r="M4" s="73" t="s">
        <v>40</v>
      </c>
      <c r="N4" s="74"/>
      <c r="P4" s="24"/>
      <c r="AH4" s="11">
        <v>-3300</v>
      </c>
      <c r="AI4" s="11"/>
      <c r="AJ4" s="11"/>
      <c r="AK4" s="11">
        <v>-3400</v>
      </c>
      <c r="AL4" s="11">
        <v>0</v>
      </c>
      <c r="AM4" s="11">
        <v>1</v>
      </c>
      <c r="AN4" s="11"/>
      <c r="BC4" s="8"/>
      <c r="BD4" s="8"/>
      <c r="BE4" s="8"/>
      <c r="BF4" s="8"/>
      <c r="BG4" s="8"/>
      <c r="BH4" s="8"/>
      <c r="BI4" s="8"/>
      <c r="BJ4" s="8"/>
      <c r="BK4" s="8"/>
      <c r="BL4" s="8"/>
      <c r="BM4" s="8"/>
      <c r="BN4" s="8"/>
    </row>
    <row r="5" spans="1:66">
      <c r="A5" s="17">
        <v>3</v>
      </c>
      <c r="B5" s="18">
        <v>11.850260058594886</v>
      </c>
      <c r="C5" s="19">
        <v>22.267933084409691</v>
      </c>
      <c r="I5" s="25" t="s">
        <v>41</v>
      </c>
      <c r="J5" s="26">
        <v>9.9751535679350276</v>
      </c>
      <c r="K5" s="27" t="s">
        <v>41</v>
      </c>
      <c r="L5" s="28">
        <v>14.357400103379327</v>
      </c>
      <c r="M5" s="29" t="s">
        <v>67</v>
      </c>
      <c r="N5" s="30"/>
      <c r="P5" s="24"/>
      <c r="AH5" s="11">
        <v>-3200</v>
      </c>
      <c r="AI5" s="11"/>
      <c r="AJ5" s="11"/>
      <c r="AK5" s="11">
        <v>-3400</v>
      </c>
      <c r="AL5" s="11">
        <v>0</v>
      </c>
      <c r="AM5" s="11">
        <v>0</v>
      </c>
      <c r="AN5" s="11"/>
      <c r="BC5" s="8"/>
      <c r="BD5" s="8"/>
      <c r="BE5" s="8"/>
      <c r="BF5" s="8"/>
      <c r="BG5" s="8"/>
      <c r="BH5" s="8"/>
      <c r="BI5" s="8"/>
      <c r="BJ5" s="8"/>
      <c r="BK5" s="8"/>
      <c r="BL5" s="8"/>
      <c r="BM5" s="8"/>
      <c r="BN5" s="8"/>
    </row>
    <row r="6" spans="1:66">
      <c r="A6" s="17">
        <v>4</v>
      </c>
      <c r="B6" s="18">
        <v>17.311836472144087</v>
      </c>
      <c r="C6" s="19">
        <v>23.552977304754759</v>
      </c>
      <c r="I6" s="25" t="s">
        <v>42</v>
      </c>
      <c r="J6" s="31">
        <v>4.7197902434018442</v>
      </c>
      <c r="K6" s="27" t="s">
        <v>42</v>
      </c>
      <c r="L6" s="32">
        <v>113.76112356959388</v>
      </c>
      <c r="M6" s="33"/>
      <c r="N6" s="34"/>
      <c r="AH6" s="11">
        <v>-3100</v>
      </c>
      <c r="AI6" s="11"/>
      <c r="AJ6" s="11"/>
      <c r="AK6" s="11">
        <v>-3300</v>
      </c>
      <c r="AL6" s="11">
        <v>0</v>
      </c>
      <c r="AM6" s="11">
        <v>0</v>
      </c>
      <c r="AN6" s="11"/>
      <c r="BC6" s="8"/>
      <c r="BD6" s="8"/>
      <c r="BE6" s="8"/>
      <c r="BF6" s="8"/>
      <c r="BG6" s="8"/>
      <c r="BH6" s="8"/>
      <c r="BI6" s="8"/>
      <c r="BJ6" s="8"/>
      <c r="BK6" s="8"/>
      <c r="BL6" s="8"/>
      <c r="BM6" s="8"/>
      <c r="BN6" s="8"/>
    </row>
    <row r="7" spans="1:66">
      <c r="A7" s="17">
        <v>5</v>
      </c>
      <c r="B7" s="18">
        <v>8.361196836917216</v>
      </c>
      <c r="C7" s="19">
        <v>22.804372897584724</v>
      </c>
      <c r="F7" s="35"/>
      <c r="I7" s="25" t="s">
        <v>43</v>
      </c>
      <c r="J7" s="26">
        <v>25.743244245060882</v>
      </c>
      <c r="K7" s="27" t="s">
        <v>43</v>
      </c>
      <c r="L7" s="28">
        <v>267.54376296888745</v>
      </c>
      <c r="N7" s="36"/>
      <c r="AH7" s="11">
        <v>-3000</v>
      </c>
      <c r="AI7" s="11"/>
      <c r="AJ7" s="11"/>
      <c r="AK7" s="11">
        <v>-3300</v>
      </c>
      <c r="AL7" s="11">
        <v>0</v>
      </c>
      <c r="AM7" s="11">
        <v>0</v>
      </c>
      <c r="AN7" s="11"/>
      <c r="BC7" s="8"/>
      <c r="BD7" s="8"/>
      <c r="BE7" s="8"/>
      <c r="BF7" s="8"/>
      <c r="BG7" s="8"/>
      <c r="BH7" s="8"/>
      <c r="BI7" s="8"/>
      <c r="BJ7" s="8"/>
      <c r="BK7" s="8"/>
      <c r="BL7" s="8"/>
      <c r="BM7" s="8"/>
      <c r="BN7" s="8"/>
    </row>
    <row r="8" spans="1:66" ht="16.2" thickBot="1">
      <c r="A8" s="17">
        <v>6</v>
      </c>
      <c r="B8" s="18">
        <v>6.296273689582474</v>
      </c>
      <c r="C8" s="19">
        <v>19.473440206760458</v>
      </c>
      <c r="F8" s="35"/>
      <c r="I8" s="37" t="s">
        <v>44</v>
      </c>
      <c r="J8" s="38">
        <v>-4.5453699027034435</v>
      </c>
      <c r="K8" s="39" t="s">
        <v>44</v>
      </c>
      <c r="L8" s="40">
        <v>-3499.4400623821134</v>
      </c>
      <c r="M8" s="41"/>
      <c r="N8" s="42"/>
      <c r="AH8" s="11">
        <v>-2900</v>
      </c>
      <c r="AI8" s="11"/>
      <c r="AJ8" s="11"/>
      <c r="AK8" s="11">
        <v>-3200</v>
      </c>
      <c r="AL8" s="11">
        <v>0</v>
      </c>
      <c r="AM8" s="11">
        <v>0</v>
      </c>
      <c r="AN8" s="11"/>
      <c r="BC8" s="8"/>
      <c r="BD8" s="8"/>
      <c r="BE8" s="8"/>
      <c r="BF8" s="8"/>
      <c r="BG8" s="8"/>
      <c r="BH8" s="8"/>
      <c r="BI8" s="8"/>
      <c r="BJ8" s="8"/>
      <c r="BK8" s="8"/>
      <c r="BL8" s="8"/>
      <c r="BM8" s="8"/>
      <c r="BN8" s="8"/>
    </row>
    <row r="9" spans="1:66">
      <c r="A9" s="17">
        <v>7</v>
      </c>
      <c r="B9" s="18">
        <v>6.3040524698162423</v>
      </c>
      <c r="C9" s="19">
        <v>8.5436909709405757</v>
      </c>
      <c r="F9" s="35"/>
      <c r="J9" s="8"/>
      <c r="AH9" s="11">
        <v>-2800</v>
      </c>
      <c r="AI9" s="11"/>
      <c r="AJ9" s="11"/>
      <c r="AK9" s="11">
        <v>-3200</v>
      </c>
      <c r="AL9" s="11">
        <v>0</v>
      </c>
      <c r="AM9" s="11">
        <v>0</v>
      </c>
      <c r="AN9" s="11"/>
      <c r="BC9" s="8"/>
      <c r="BD9" s="8"/>
      <c r="BE9" s="8"/>
      <c r="BF9" s="8"/>
      <c r="BG9" s="8"/>
      <c r="BH9" s="8"/>
      <c r="BI9" s="8"/>
      <c r="BJ9" s="8"/>
      <c r="BK9" s="8"/>
      <c r="BL9" s="8"/>
      <c r="BM9" s="8"/>
      <c r="BN9" s="8"/>
    </row>
    <row r="10" spans="1:66">
      <c r="A10" s="17">
        <v>8</v>
      </c>
      <c r="B10" s="18">
        <v>12.366332045471655</v>
      </c>
      <c r="C10" s="19">
        <v>13.545003833735979</v>
      </c>
      <c r="F10" s="35"/>
      <c r="J10" s="8"/>
      <c r="P10" s="24"/>
      <c r="AH10" s="11">
        <v>-2700</v>
      </c>
      <c r="AI10" s="11"/>
      <c r="AJ10" s="11"/>
      <c r="AK10" s="11">
        <v>-3100</v>
      </c>
      <c r="AL10" s="11">
        <v>0</v>
      </c>
      <c r="AM10" s="11">
        <v>0</v>
      </c>
      <c r="AN10" s="11"/>
      <c r="BC10" s="8"/>
      <c r="BD10" s="8"/>
      <c r="BE10" s="8"/>
      <c r="BF10" s="8"/>
      <c r="BG10" s="8"/>
      <c r="BH10" s="8"/>
      <c r="BI10" s="8"/>
      <c r="BJ10" s="8"/>
      <c r="BK10" s="8"/>
      <c r="BL10" s="8"/>
      <c r="BM10" s="8"/>
      <c r="BN10" s="8"/>
    </row>
    <row r="11" spans="1:66">
      <c r="A11" s="17">
        <v>9</v>
      </c>
      <c r="B11" s="18">
        <v>13.179435881773859</v>
      </c>
      <c r="C11" s="19">
        <v>17.112803116372564</v>
      </c>
      <c r="J11" s="8"/>
      <c r="P11" s="24"/>
      <c r="AH11" s="11">
        <v>-2600</v>
      </c>
      <c r="AI11" s="11"/>
      <c r="AJ11" s="11"/>
      <c r="AK11" s="11">
        <v>-3100</v>
      </c>
      <c r="AL11" s="11">
        <v>0</v>
      </c>
      <c r="AM11" s="11">
        <v>0</v>
      </c>
      <c r="AN11" s="11"/>
      <c r="BC11" s="8"/>
      <c r="BD11" s="8"/>
      <c r="BE11" s="8"/>
      <c r="BF11" s="8"/>
      <c r="BG11" s="8"/>
      <c r="BH11" s="8"/>
      <c r="BI11" s="8"/>
      <c r="BJ11" s="8"/>
      <c r="BK11" s="8"/>
      <c r="BL11" s="8"/>
      <c r="BM11" s="8"/>
      <c r="BN11" s="8"/>
    </row>
    <row r="12" spans="1:66">
      <c r="A12" s="17">
        <v>10</v>
      </c>
      <c r="B12" s="18">
        <v>12.86237916223468</v>
      </c>
      <c r="C12" s="19">
        <v>14.972545180961939</v>
      </c>
      <c r="P12" s="24"/>
      <c r="AH12" s="11">
        <v>-2500</v>
      </c>
      <c r="AI12" s="11"/>
      <c r="AJ12" s="11"/>
      <c r="AK12" s="11">
        <v>-3000</v>
      </c>
      <c r="AL12" s="11">
        <v>0</v>
      </c>
      <c r="AM12" s="11">
        <v>0</v>
      </c>
      <c r="AN12" s="11"/>
      <c r="BC12" s="8"/>
      <c r="BD12" s="8"/>
      <c r="BE12" s="8"/>
      <c r="BF12" s="8"/>
      <c r="BG12" s="8"/>
      <c r="BH12" s="8"/>
      <c r="BI12" s="8"/>
      <c r="BJ12" s="8"/>
      <c r="BK12" s="8"/>
      <c r="BL12" s="8"/>
      <c r="BM12" s="8"/>
      <c r="BN12" s="8"/>
    </row>
    <row r="13" spans="1:66">
      <c r="A13" s="17">
        <v>11</v>
      </c>
      <c r="B13" s="18">
        <v>14.491209454821421</v>
      </c>
      <c r="C13" s="19">
        <v>17.643929781159624</v>
      </c>
      <c r="AH13" s="11">
        <v>-2400</v>
      </c>
      <c r="AI13" s="11"/>
      <c r="AJ13" s="11"/>
      <c r="AK13" s="11">
        <v>-3000</v>
      </c>
      <c r="AL13" s="11">
        <v>0</v>
      </c>
      <c r="AM13" s="11">
        <v>0</v>
      </c>
      <c r="AN13" s="11"/>
      <c r="BC13" s="8"/>
      <c r="BD13" s="8"/>
      <c r="BE13" s="8"/>
      <c r="BF13" s="8"/>
      <c r="BG13" s="8"/>
      <c r="BH13" s="8"/>
      <c r="BI13" s="8"/>
      <c r="BJ13" s="8"/>
      <c r="BK13" s="8"/>
      <c r="BL13" s="8"/>
      <c r="BM13" s="8"/>
      <c r="BN13" s="8"/>
    </row>
    <row r="14" spans="1:66">
      <c r="A14" s="17">
        <v>12</v>
      </c>
      <c r="B14" s="18">
        <v>10.696291890585316</v>
      </c>
      <c r="C14" s="19">
        <v>14.537315894055045</v>
      </c>
      <c r="E14" s="43"/>
      <c r="AH14" s="11">
        <v>-2300</v>
      </c>
      <c r="AI14" s="11"/>
      <c r="AJ14" s="11"/>
      <c r="AK14" s="11">
        <v>-2900</v>
      </c>
      <c r="AL14" s="11">
        <v>0</v>
      </c>
      <c r="AM14" s="11">
        <v>0</v>
      </c>
      <c r="AN14" s="11"/>
      <c r="BC14" s="8"/>
      <c r="BD14" s="8"/>
      <c r="BE14" s="8"/>
      <c r="BF14" s="8"/>
      <c r="BG14" s="8"/>
      <c r="BH14" s="8"/>
      <c r="BI14" s="8"/>
      <c r="BJ14" s="8"/>
      <c r="BK14" s="8"/>
      <c r="BL14" s="8"/>
      <c r="BM14" s="8"/>
      <c r="BN14" s="8"/>
    </row>
    <row r="15" spans="1:66">
      <c r="A15" s="17">
        <v>13</v>
      </c>
      <c r="B15" s="18">
        <v>8.4130915785706328</v>
      </c>
      <c r="C15" s="19">
        <v>8.9523545835576464</v>
      </c>
      <c r="E15" s="43"/>
      <c r="AH15" s="11">
        <v>-2200</v>
      </c>
      <c r="AI15" s="11"/>
      <c r="AJ15" s="11"/>
      <c r="AK15" s="11">
        <v>-2900</v>
      </c>
      <c r="AL15" s="11">
        <v>0</v>
      </c>
      <c r="AM15" s="11">
        <v>0</v>
      </c>
      <c r="AN15" s="11"/>
      <c r="BC15" s="8"/>
      <c r="BD15" s="8"/>
      <c r="BE15" s="8"/>
      <c r="BF15" s="8"/>
      <c r="BG15" s="8"/>
      <c r="BH15" s="8"/>
      <c r="BI15" s="8"/>
      <c r="BJ15" s="8"/>
      <c r="BK15" s="8"/>
      <c r="BL15" s="8"/>
      <c r="BM15" s="8"/>
      <c r="BN15" s="8"/>
    </row>
    <row r="16" spans="1:66">
      <c r="A16" s="17">
        <v>14</v>
      </c>
      <c r="B16" s="18">
        <v>14.501679465636039</v>
      </c>
      <c r="C16" s="19">
        <v>16.73498189059692</v>
      </c>
      <c r="E16" s="43"/>
      <c r="AH16" s="11">
        <v>-2100</v>
      </c>
      <c r="AI16" s="11"/>
      <c r="AJ16" s="11"/>
      <c r="AK16" s="11">
        <v>-2800</v>
      </c>
      <c r="AL16" s="11">
        <v>0</v>
      </c>
      <c r="AM16" s="11">
        <v>0</v>
      </c>
      <c r="AN16" s="11"/>
      <c r="BC16" s="8"/>
      <c r="BD16" s="8"/>
      <c r="BE16" s="8"/>
      <c r="BF16" s="8"/>
      <c r="BG16" s="8"/>
      <c r="BH16" s="8"/>
      <c r="BI16" s="8"/>
      <c r="BJ16" s="8"/>
      <c r="BK16" s="8"/>
      <c r="BL16" s="8"/>
      <c r="BM16" s="8"/>
      <c r="BN16" s="8"/>
    </row>
    <row r="17" spans="1:66">
      <c r="A17" s="17">
        <v>15</v>
      </c>
      <c r="B17" s="18">
        <v>5.652574307303194</v>
      </c>
      <c r="C17" s="19">
        <v>21.46310259626944</v>
      </c>
      <c r="AH17" s="11">
        <v>-2000</v>
      </c>
      <c r="AI17" s="11"/>
      <c r="AJ17" s="11"/>
      <c r="AK17" s="11">
        <v>-2800</v>
      </c>
      <c r="AL17" s="11">
        <v>0</v>
      </c>
      <c r="AM17" s="11">
        <v>0</v>
      </c>
      <c r="AN17" s="11"/>
      <c r="BC17" s="8"/>
      <c r="BD17" s="8"/>
      <c r="BE17" s="8"/>
      <c r="BF17" s="8"/>
      <c r="BG17" s="8"/>
      <c r="BH17" s="8"/>
      <c r="BI17" s="8"/>
      <c r="BJ17" s="8"/>
      <c r="BK17" s="8"/>
      <c r="BL17" s="8"/>
      <c r="BM17" s="8"/>
      <c r="BN17" s="8"/>
    </row>
    <row r="18" spans="1:66">
      <c r="A18" s="17">
        <v>16</v>
      </c>
      <c r="B18" s="18">
        <v>9.805598584303695</v>
      </c>
      <c r="C18" s="19">
        <v>17.224917153953843</v>
      </c>
      <c r="AH18" s="11">
        <v>-1900</v>
      </c>
      <c r="AI18" s="11"/>
      <c r="AJ18" s="11"/>
      <c r="AK18" s="11">
        <v>-2700</v>
      </c>
      <c r="AL18" s="11">
        <v>0</v>
      </c>
      <c r="AM18" s="11">
        <v>0</v>
      </c>
      <c r="AN18" s="11"/>
      <c r="BC18" s="8"/>
      <c r="BD18" s="8"/>
      <c r="BE18" s="8"/>
      <c r="BF18" s="8"/>
      <c r="BG18" s="8"/>
      <c r="BH18" s="8"/>
      <c r="BI18" s="8"/>
      <c r="BJ18" s="8"/>
      <c r="BK18" s="8"/>
      <c r="BL18" s="8"/>
      <c r="BM18" s="8"/>
      <c r="BN18" s="8"/>
    </row>
    <row r="19" spans="1:66">
      <c r="A19" s="17">
        <v>17</v>
      </c>
      <c r="B19" s="18">
        <v>2.5160084477049907</v>
      </c>
      <c r="C19" s="19">
        <v>29.742100507888861</v>
      </c>
      <c r="F19" s="44">
        <v>1</v>
      </c>
      <c r="AH19" s="11">
        <v>-1800</v>
      </c>
      <c r="AI19" s="11"/>
      <c r="AJ19" s="11"/>
      <c r="AK19" s="11">
        <v>-2700</v>
      </c>
      <c r="AL19" s="11">
        <v>0</v>
      </c>
      <c r="AM19" s="11">
        <v>0</v>
      </c>
      <c r="AN19" s="11"/>
      <c r="BC19" s="8"/>
      <c r="BD19" s="8"/>
      <c r="BE19" s="8"/>
      <c r="BF19" s="8"/>
      <c r="BG19" s="8"/>
      <c r="BH19" s="8"/>
      <c r="BI19" s="8"/>
      <c r="BJ19" s="8"/>
      <c r="BK19" s="8"/>
      <c r="BL19" s="8"/>
      <c r="BM19" s="8"/>
      <c r="BN19" s="8"/>
    </row>
    <row r="20" spans="1:66">
      <c r="A20" s="17">
        <v>18</v>
      </c>
      <c r="B20" s="18">
        <v>12.088915699587037</v>
      </c>
      <c r="C20" s="19">
        <v>12.311046570481608</v>
      </c>
      <c r="AH20" s="11">
        <v>-1700</v>
      </c>
      <c r="AI20" s="11"/>
      <c r="AJ20" s="11"/>
      <c r="AK20" s="11">
        <v>-2600</v>
      </c>
      <c r="AL20" s="11">
        <v>0</v>
      </c>
      <c r="AM20" s="11">
        <v>0</v>
      </c>
      <c r="AN20" s="11"/>
      <c r="BC20" s="8"/>
      <c r="BD20" s="8"/>
      <c r="BE20" s="8"/>
      <c r="BF20" s="8"/>
      <c r="BG20" s="8"/>
      <c r="BH20" s="8"/>
      <c r="BI20" s="8"/>
      <c r="BJ20" s="8"/>
      <c r="BK20" s="8"/>
      <c r="BL20" s="8"/>
      <c r="BM20" s="8"/>
      <c r="BN20" s="8"/>
    </row>
    <row r="21" spans="1:66">
      <c r="A21" s="17">
        <v>19</v>
      </c>
      <c r="B21" s="18">
        <v>13.665141654991547</v>
      </c>
      <c r="C21" s="19">
        <v>15.694398167757624</v>
      </c>
      <c r="AH21" s="11">
        <v>-1600</v>
      </c>
      <c r="AI21" s="11"/>
      <c r="AJ21" s="11"/>
      <c r="AK21" s="11">
        <v>-2600</v>
      </c>
      <c r="AL21" s="11">
        <v>0</v>
      </c>
      <c r="AM21" s="11">
        <v>0</v>
      </c>
      <c r="AN21" s="11"/>
      <c r="BC21" s="8"/>
      <c r="BD21" s="8"/>
      <c r="BE21" s="8"/>
      <c r="BF21" s="8"/>
      <c r="BG21" s="8"/>
      <c r="BH21" s="8"/>
      <c r="BI21" s="8"/>
      <c r="BJ21" s="8"/>
      <c r="BK21" s="8"/>
      <c r="BL21" s="8"/>
      <c r="BM21" s="8"/>
      <c r="BN21" s="8"/>
    </row>
    <row r="22" spans="1:66">
      <c r="A22" s="17">
        <v>20</v>
      </c>
      <c r="B22" s="18">
        <v>15.340922212861775</v>
      </c>
      <c r="C22" s="19">
        <v>24.059252735160587</v>
      </c>
      <c r="AH22" s="11">
        <v>-1500</v>
      </c>
      <c r="AI22" s="11"/>
      <c r="AJ22" s="11"/>
      <c r="AK22" s="11">
        <v>-2500</v>
      </c>
      <c r="AL22" s="11">
        <v>0</v>
      </c>
      <c r="AM22" s="11">
        <v>0</v>
      </c>
      <c r="AN22" s="11"/>
      <c r="BC22" s="8"/>
      <c r="BD22" s="8"/>
      <c r="BE22" s="8"/>
      <c r="BF22" s="8"/>
      <c r="BG22" s="8"/>
      <c r="BH22" s="8"/>
      <c r="BI22" s="8"/>
      <c r="BJ22" s="8"/>
      <c r="BK22" s="8"/>
      <c r="BL22" s="8"/>
      <c r="BM22" s="8"/>
      <c r="BN22" s="8"/>
    </row>
    <row r="23" spans="1:66">
      <c r="A23" s="17">
        <v>21</v>
      </c>
      <c r="B23" s="18">
        <v>13.141998048050132</v>
      </c>
      <c r="C23" s="19">
        <v>21.257372308354544</v>
      </c>
      <c r="AH23" s="11">
        <v>-1400</v>
      </c>
      <c r="AI23" s="11"/>
      <c r="AJ23" s="11"/>
      <c r="AK23" s="11">
        <v>-2500</v>
      </c>
      <c r="AL23" s="11">
        <v>0</v>
      </c>
      <c r="AM23" s="11">
        <v>0</v>
      </c>
      <c r="AN23" s="11"/>
      <c r="BC23" s="8"/>
      <c r="BD23" s="8"/>
      <c r="BE23" s="8"/>
      <c r="BF23" s="8"/>
      <c r="BG23" s="8"/>
      <c r="BH23" s="8"/>
      <c r="BI23" s="8"/>
      <c r="BJ23" s="8"/>
      <c r="BK23" s="8"/>
      <c r="BL23" s="8"/>
      <c r="BM23" s="8"/>
      <c r="BN23" s="8"/>
    </row>
    <row r="24" spans="1:66">
      <c r="A24" s="17">
        <v>22</v>
      </c>
      <c r="B24" s="18">
        <v>9.8719791096165839</v>
      </c>
      <c r="C24" s="19">
        <v>11.873731429153656</v>
      </c>
      <c r="AH24" s="11">
        <v>-1300</v>
      </c>
      <c r="AI24" s="11"/>
      <c r="AJ24" s="11"/>
      <c r="AK24" s="11">
        <v>-2400</v>
      </c>
      <c r="AL24" s="11">
        <v>0</v>
      </c>
      <c r="AM24" s="11">
        <v>0</v>
      </c>
      <c r="AN24" s="11"/>
      <c r="BC24" s="8"/>
      <c r="BD24" s="8"/>
      <c r="BE24" s="8"/>
      <c r="BF24" s="8"/>
      <c r="BG24" s="8"/>
      <c r="BH24" s="8"/>
      <c r="BI24" s="8"/>
      <c r="BJ24" s="8"/>
      <c r="BK24" s="8"/>
      <c r="BL24" s="8"/>
      <c r="BM24" s="8"/>
      <c r="BN24" s="8"/>
    </row>
    <row r="25" spans="1:66">
      <c r="A25" s="17">
        <v>23</v>
      </c>
      <c r="B25" s="18">
        <v>5.934390143363709</v>
      </c>
      <c r="C25" s="19">
        <v>14.151611477395724</v>
      </c>
      <c r="AH25" s="11">
        <v>-1200</v>
      </c>
      <c r="AI25" s="11"/>
      <c r="AJ25" s="11"/>
      <c r="AK25" s="11">
        <v>-2400</v>
      </c>
      <c r="AL25" s="11">
        <v>0</v>
      </c>
      <c r="AM25" s="11">
        <v>0</v>
      </c>
      <c r="AN25" s="11"/>
      <c r="BC25" s="8"/>
      <c r="BD25" s="8"/>
      <c r="BE25" s="8"/>
      <c r="BF25" s="8"/>
      <c r="BG25" s="8"/>
      <c r="BH25" s="8"/>
      <c r="BI25" s="8"/>
      <c r="BJ25" s="8"/>
      <c r="BK25" s="8"/>
      <c r="BL25" s="8"/>
      <c r="BM25" s="8"/>
      <c r="BN25" s="8"/>
    </row>
    <row r="26" spans="1:66">
      <c r="A26" s="17">
        <v>24</v>
      </c>
      <c r="B26" s="18">
        <v>5.8875452801285473</v>
      </c>
      <c r="C26" s="19">
        <v>18.909445035654972</v>
      </c>
      <c r="AH26" s="11">
        <v>-1100</v>
      </c>
      <c r="AI26" s="11"/>
      <c r="AJ26" s="11"/>
      <c r="AK26" s="11">
        <v>-2300</v>
      </c>
      <c r="AL26" s="11">
        <v>0</v>
      </c>
      <c r="AM26" s="11">
        <v>0</v>
      </c>
      <c r="AN26" s="11"/>
      <c r="BC26" s="8"/>
      <c r="BD26" s="8"/>
      <c r="BE26" s="8"/>
      <c r="BF26" s="8"/>
      <c r="BG26" s="8"/>
      <c r="BH26" s="8"/>
      <c r="BI26" s="8"/>
      <c r="BJ26" s="8"/>
      <c r="BK26" s="8"/>
      <c r="BL26" s="8"/>
      <c r="BM26" s="8"/>
      <c r="BN26" s="8"/>
    </row>
    <row r="27" spans="1:66">
      <c r="A27" s="17">
        <v>25</v>
      </c>
      <c r="B27" s="18">
        <v>10.36183847297985</v>
      </c>
      <c r="C27" s="19">
        <v>19.07472318585085</v>
      </c>
      <c r="AH27" s="11">
        <v>-1000</v>
      </c>
      <c r="AI27" s="11"/>
      <c r="AJ27" s="11"/>
      <c r="AK27" s="11">
        <v>-2300</v>
      </c>
      <c r="AL27" s="11">
        <v>0</v>
      </c>
      <c r="AM27" s="11">
        <v>0</v>
      </c>
      <c r="AN27" s="11"/>
      <c r="BC27" s="8"/>
      <c r="BD27" s="8"/>
      <c r="BE27" s="8"/>
      <c r="BF27" s="8"/>
      <c r="BG27" s="8"/>
      <c r="BH27" s="8"/>
      <c r="BI27" s="8"/>
      <c r="BJ27" s="8"/>
      <c r="BK27" s="8"/>
      <c r="BL27" s="8"/>
      <c r="BM27" s="8"/>
      <c r="BN27" s="8"/>
    </row>
    <row r="28" spans="1:66">
      <c r="A28" s="17">
        <v>26</v>
      </c>
      <c r="B28" s="18">
        <v>12.798179321850409</v>
      </c>
      <c r="C28" s="19">
        <v>14.603822633823098</v>
      </c>
      <c r="AH28" s="11">
        <v>-900</v>
      </c>
      <c r="AI28" s="11"/>
      <c r="AJ28" s="11"/>
      <c r="AK28" s="11">
        <v>-2200</v>
      </c>
      <c r="AL28" s="11">
        <v>0</v>
      </c>
      <c r="AM28" s="11">
        <v>0</v>
      </c>
      <c r="AN28" s="11"/>
      <c r="BC28" s="8"/>
      <c r="BD28" s="8"/>
      <c r="BE28" s="8"/>
      <c r="BF28" s="8"/>
      <c r="BG28" s="8"/>
      <c r="BH28" s="8"/>
      <c r="BI28" s="8"/>
      <c r="BJ28" s="8"/>
      <c r="BK28" s="8"/>
      <c r="BL28" s="8"/>
      <c r="BM28" s="8"/>
      <c r="BN28" s="8"/>
    </row>
    <row r="29" spans="1:66">
      <c r="A29" s="17">
        <v>27</v>
      </c>
      <c r="B29" s="18">
        <v>9.8835296220020794</v>
      </c>
      <c r="C29" s="19">
        <v>10.600732060706298</v>
      </c>
      <c r="AH29" s="11">
        <v>-800</v>
      </c>
      <c r="AI29" s="11"/>
      <c r="AJ29" s="11"/>
      <c r="AK29" s="11">
        <v>-2200</v>
      </c>
      <c r="AL29" s="11">
        <v>0</v>
      </c>
      <c r="AM29" s="11">
        <v>0</v>
      </c>
      <c r="AN29" s="11"/>
      <c r="BC29" s="8"/>
      <c r="BD29" s="8"/>
      <c r="BE29" s="8"/>
      <c r="BF29" s="8"/>
      <c r="BG29" s="8"/>
      <c r="BH29" s="8"/>
      <c r="BI29" s="8"/>
      <c r="BJ29" s="8"/>
      <c r="BK29" s="8"/>
      <c r="BL29" s="8"/>
      <c r="BM29" s="8"/>
      <c r="BN29" s="8"/>
    </row>
    <row r="30" spans="1:66">
      <c r="A30" s="17">
        <v>28</v>
      </c>
      <c r="B30" s="18">
        <v>16.781824277828857</v>
      </c>
      <c r="C30" s="19">
        <v>20.361770069151067</v>
      </c>
      <c r="AH30" s="11">
        <v>-700</v>
      </c>
      <c r="AI30" s="11"/>
      <c r="AJ30" s="11"/>
      <c r="AK30" s="11">
        <v>-2100</v>
      </c>
      <c r="AL30" s="11">
        <v>0</v>
      </c>
      <c r="AM30" s="11">
        <v>0</v>
      </c>
      <c r="AN30" s="11"/>
      <c r="BC30" s="8"/>
      <c r="BD30" s="8"/>
      <c r="BE30" s="8"/>
      <c r="BF30" s="8"/>
      <c r="BG30" s="8"/>
      <c r="BH30" s="8"/>
      <c r="BI30" s="8"/>
      <c r="BJ30" s="8"/>
      <c r="BK30" s="8"/>
      <c r="BL30" s="8"/>
      <c r="BM30" s="8"/>
      <c r="BN30" s="8"/>
    </row>
    <row r="31" spans="1:66">
      <c r="A31" s="17">
        <v>29</v>
      </c>
      <c r="B31" s="18">
        <v>-1.2561298597338675</v>
      </c>
      <c r="C31" s="19">
        <v>-36.394522432818626</v>
      </c>
      <c r="AH31" s="11">
        <v>-600</v>
      </c>
      <c r="AI31" s="11"/>
      <c r="AJ31" s="11"/>
      <c r="AK31" s="11">
        <v>-2100</v>
      </c>
      <c r="AL31" s="11">
        <v>0</v>
      </c>
      <c r="AM31" s="11">
        <v>0</v>
      </c>
      <c r="AN31" s="11"/>
      <c r="BC31" s="8"/>
      <c r="BD31" s="8"/>
      <c r="BE31" s="8"/>
      <c r="BF31" s="8"/>
      <c r="BG31" s="8"/>
      <c r="BH31" s="8"/>
      <c r="BI31" s="8"/>
      <c r="BJ31" s="8"/>
      <c r="BK31" s="8"/>
      <c r="BL31" s="8"/>
      <c r="BM31" s="8"/>
      <c r="BN31" s="8"/>
    </row>
    <row r="32" spans="1:66">
      <c r="A32" s="17">
        <v>30</v>
      </c>
      <c r="B32" s="18">
        <v>8.2569531672347143</v>
      </c>
      <c r="C32" s="19">
        <v>11.266007385501679</v>
      </c>
      <c r="AH32" s="11">
        <v>-500</v>
      </c>
      <c r="AI32" s="11"/>
      <c r="AJ32" s="11"/>
      <c r="AK32" s="11">
        <v>-2000</v>
      </c>
      <c r="AL32" s="11">
        <v>0</v>
      </c>
      <c r="AM32" s="11">
        <v>0</v>
      </c>
      <c r="AN32" s="11"/>
      <c r="BC32" s="8"/>
      <c r="BD32" s="8"/>
      <c r="BE32" s="8"/>
      <c r="BF32" s="8"/>
      <c r="BG32" s="8"/>
      <c r="BH32" s="8"/>
      <c r="BI32" s="8"/>
      <c r="BJ32" s="8"/>
      <c r="BK32" s="8"/>
      <c r="BL32" s="8"/>
      <c r="BM32" s="8"/>
      <c r="BN32" s="8"/>
    </row>
    <row r="33" spans="1:66">
      <c r="A33" s="17">
        <v>31</v>
      </c>
      <c r="B33" s="18">
        <v>12.291314475654946</v>
      </c>
      <c r="C33" s="19">
        <v>17.014712293211939</v>
      </c>
      <c r="AH33" s="11">
        <v>-400</v>
      </c>
      <c r="AI33" s="11"/>
      <c r="AJ33" s="11"/>
      <c r="AK33" s="11">
        <v>-2000</v>
      </c>
      <c r="AL33" s="11">
        <v>0</v>
      </c>
      <c r="AM33" s="11">
        <v>0</v>
      </c>
      <c r="AN33" s="11"/>
      <c r="BC33" s="8"/>
      <c r="BD33" s="8"/>
      <c r="BE33" s="8"/>
      <c r="BF33" s="8"/>
      <c r="BG33" s="8"/>
      <c r="BH33" s="8"/>
      <c r="BI33" s="8"/>
      <c r="BJ33" s="8"/>
      <c r="BK33" s="8"/>
      <c r="BL33" s="8"/>
      <c r="BM33" s="8"/>
      <c r="BN33" s="8"/>
    </row>
    <row r="34" spans="1:66">
      <c r="A34" s="17">
        <v>32</v>
      </c>
      <c r="B34" s="18">
        <v>6.6293091943685107</v>
      </c>
      <c r="C34" s="19">
        <v>30.075518219451272</v>
      </c>
      <c r="AH34" s="11">
        <v>-300</v>
      </c>
      <c r="AI34" s="11"/>
      <c r="AJ34" s="11"/>
      <c r="AK34" s="11">
        <v>-1900</v>
      </c>
      <c r="AL34" s="11">
        <v>0</v>
      </c>
      <c r="AM34" s="11">
        <v>0</v>
      </c>
      <c r="AN34" s="11"/>
      <c r="BC34" s="8"/>
      <c r="BD34" s="8"/>
      <c r="BE34" s="8"/>
      <c r="BF34" s="8"/>
      <c r="BG34" s="8"/>
      <c r="BH34" s="8"/>
      <c r="BI34" s="8"/>
      <c r="BJ34" s="8"/>
      <c r="BK34" s="8"/>
      <c r="BL34" s="8"/>
      <c r="BM34" s="8"/>
      <c r="BN34" s="8"/>
    </row>
    <row r="35" spans="1:66">
      <c r="A35" s="17">
        <v>33</v>
      </c>
      <c r="B35" s="18">
        <v>19.015013177381554</v>
      </c>
      <c r="C35" s="19">
        <v>21.88406263762414</v>
      </c>
      <c r="AH35" s="11">
        <v>-200</v>
      </c>
      <c r="AI35" s="11"/>
      <c r="AJ35" s="11"/>
      <c r="AK35" s="11">
        <v>-1900</v>
      </c>
      <c r="AL35" s="11">
        <v>0</v>
      </c>
      <c r="AM35" s="11">
        <v>0</v>
      </c>
      <c r="AN35" s="11"/>
      <c r="BC35" s="8"/>
      <c r="BD35" s="8"/>
      <c r="BE35" s="8"/>
      <c r="BF35" s="8"/>
      <c r="BG35" s="8"/>
      <c r="BH35" s="8"/>
      <c r="BI35" s="8"/>
      <c r="BJ35" s="8"/>
      <c r="BK35" s="8"/>
      <c r="BL35" s="8"/>
      <c r="BM35" s="8"/>
      <c r="BN35" s="8"/>
    </row>
    <row r="36" spans="1:66">
      <c r="A36" s="17">
        <v>34</v>
      </c>
      <c r="B36" s="18">
        <v>14.197980674543373</v>
      </c>
      <c r="C36" s="19">
        <v>17.870107254098684</v>
      </c>
      <c r="AH36" s="11">
        <v>-100</v>
      </c>
      <c r="AI36" s="11"/>
      <c r="AJ36" s="11"/>
      <c r="AK36" s="11">
        <v>-1800</v>
      </c>
      <c r="AL36" s="11">
        <v>0</v>
      </c>
      <c r="AM36" s="11">
        <v>0</v>
      </c>
      <c r="AN36" s="11"/>
      <c r="BC36" s="8"/>
      <c r="BD36" s="8"/>
      <c r="BE36" s="8"/>
      <c r="BF36" s="8"/>
      <c r="BG36" s="8"/>
      <c r="BH36" s="8"/>
      <c r="BI36" s="8"/>
      <c r="BJ36" s="8"/>
      <c r="BK36" s="8"/>
      <c r="BL36" s="8"/>
      <c r="BM36" s="8"/>
      <c r="BN36" s="8"/>
    </row>
    <row r="37" spans="1:66">
      <c r="A37" s="17">
        <v>35</v>
      </c>
      <c r="B37" s="18">
        <v>5.1904091037417359</v>
      </c>
      <c r="C37" s="19">
        <v>22.677375601280158</v>
      </c>
      <c r="AH37" s="11">
        <v>0</v>
      </c>
      <c r="AI37" s="11"/>
      <c r="AJ37" s="11"/>
      <c r="AK37" s="11">
        <v>-1800</v>
      </c>
      <c r="AL37" s="11">
        <v>0</v>
      </c>
      <c r="AM37" s="11">
        <v>0</v>
      </c>
      <c r="AN37" s="11"/>
      <c r="BC37" s="8"/>
      <c r="BD37" s="8"/>
      <c r="BE37" s="8"/>
      <c r="BF37" s="8"/>
      <c r="BG37" s="8"/>
      <c r="BH37" s="8"/>
      <c r="BI37" s="8"/>
      <c r="BJ37" s="8"/>
      <c r="BK37" s="8"/>
      <c r="BL37" s="8"/>
      <c r="BM37" s="8"/>
      <c r="BN37" s="8"/>
    </row>
    <row r="38" spans="1:66">
      <c r="A38" s="17">
        <v>36</v>
      </c>
      <c r="B38" s="18">
        <v>6.3025338207178772</v>
      </c>
      <c r="C38" s="19">
        <v>13.306700190627922</v>
      </c>
      <c r="AH38" s="11">
        <v>100</v>
      </c>
      <c r="AI38" s="11"/>
      <c r="AJ38" s="11"/>
      <c r="AK38" s="11">
        <v>-1700</v>
      </c>
      <c r="AL38" s="11">
        <v>0</v>
      </c>
      <c r="AM38" s="11">
        <v>0</v>
      </c>
      <c r="AN38" s="11"/>
      <c r="BC38" s="8"/>
      <c r="BD38" s="8"/>
      <c r="BE38" s="8"/>
      <c r="BF38" s="8"/>
      <c r="BG38" s="8"/>
      <c r="BH38" s="8"/>
      <c r="BI38" s="8"/>
      <c r="BJ38" s="8"/>
      <c r="BK38" s="8"/>
      <c r="BL38" s="8"/>
      <c r="BM38" s="8"/>
      <c r="BN38" s="8"/>
    </row>
    <row r="39" spans="1:66">
      <c r="A39" s="17">
        <v>37</v>
      </c>
      <c r="B39" s="18">
        <v>-1.8139402373060678</v>
      </c>
      <c r="C39" s="19">
        <v>-3.3654008798062867</v>
      </c>
      <c r="AH39" s="11"/>
      <c r="AI39" s="11"/>
      <c r="AJ39" s="11"/>
      <c r="AK39" s="11">
        <v>-1700</v>
      </c>
      <c r="AL39" s="11">
        <v>0</v>
      </c>
      <c r="AM39" s="11">
        <v>0</v>
      </c>
      <c r="AN39" s="11"/>
      <c r="BC39" s="8"/>
      <c r="BD39" s="8"/>
      <c r="BE39" s="8"/>
      <c r="BF39" s="8"/>
      <c r="BG39" s="8"/>
      <c r="BH39" s="8"/>
      <c r="BI39" s="8"/>
      <c r="BJ39" s="8"/>
      <c r="BK39" s="8"/>
      <c r="BL39" s="8"/>
      <c r="BM39" s="8"/>
      <c r="BN39" s="8"/>
    </row>
    <row r="40" spans="1:66">
      <c r="A40" s="17">
        <v>38</v>
      </c>
      <c r="B40" s="18">
        <v>10.601846141208689</v>
      </c>
      <c r="C40" s="19">
        <v>21.4329729441274</v>
      </c>
      <c r="AH40" s="11"/>
      <c r="AI40" s="11"/>
      <c r="AJ40" s="11"/>
      <c r="AK40" s="11">
        <v>-1600</v>
      </c>
      <c r="AL40" s="11">
        <v>0</v>
      </c>
      <c r="AM40" s="11">
        <v>0</v>
      </c>
      <c r="AN40" s="11"/>
      <c r="BC40" s="8"/>
      <c r="BD40" s="8"/>
      <c r="BE40" s="8"/>
      <c r="BF40" s="8"/>
      <c r="BG40" s="8"/>
      <c r="BH40" s="8"/>
      <c r="BI40" s="8"/>
      <c r="BJ40" s="8"/>
      <c r="BK40" s="8"/>
      <c r="BL40" s="8"/>
      <c r="BM40" s="8"/>
      <c r="BN40" s="8"/>
    </row>
    <row r="41" spans="1:66">
      <c r="A41" s="17">
        <v>39</v>
      </c>
      <c r="B41" s="18">
        <v>15.752597225631687</v>
      </c>
      <c r="C41" s="19">
        <v>20.747230360705174</v>
      </c>
      <c r="AH41" s="11"/>
      <c r="AI41" s="11"/>
      <c r="AJ41" s="11"/>
      <c r="AK41" s="11">
        <v>-1600</v>
      </c>
      <c r="AL41" s="11">
        <v>0</v>
      </c>
      <c r="AM41" s="11">
        <v>0</v>
      </c>
      <c r="AN41" s="11"/>
      <c r="BC41" s="8"/>
      <c r="BD41" s="8"/>
      <c r="BE41" s="8"/>
      <c r="BF41" s="8"/>
      <c r="BG41" s="8"/>
      <c r="BH41" s="8"/>
      <c r="BI41" s="8"/>
      <c r="BJ41" s="8"/>
      <c r="BK41" s="8"/>
      <c r="BL41" s="8"/>
      <c r="BM41" s="8"/>
      <c r="BN41" s="8"/>
    </row>
    <row r="42" spans="1:66">
      <c r="A42" s="17">
        <v>40</v>
      </c>
      <c r="B42" s="18">
        <v>14.005046261827333</v>
      </c>
      <c r="C42" s="19">
        <v>18.584883084380085</v>
      </c>
      <c r="AH42" s="11"/>
      <c r="AI42" s="11"/>
      <c r="AJ42" s="11"/>
      <c r="AK42" s="11">
        <v>-1500</v>
      </c>
      <c r="AL42" s="11">
        <v>0</v>
      </c>
      <c r="AM42" s="11">
        <v>0</v>
      </c>
      <c r="AN42" s="11"/>
      <c r="BC42" s="8"/>
      <c r="BD42" s="8"/>
      <c r="BE42" s="8"/>
      <c r="BF42" s="8"/>
      <c r="BG42" s="8"/>
      <c r="BH42" s="8"/>
      <c r="BI42" s="8"/>
      <c r="BJ42" s="8"/>
      <c r="BK42" s="8"/>
      <c r="BL42" s="8"/>
      <c r="BM42" s="8"/>
      <c r="BN42" s="8"/>
    </row>
    <row r="43" spans="1:66">
      <c r="A43" s="17">
        <v>41</v>
      </c>
      <c r="B43" s="18">
        <v>14.329466430657609</v>
      </c>
      <c r="C43" s="19">
        <v>16.9644801349021</v>
      </c>
      <c r="AH43" s="11"/>
      <c r="AI43" s="11"/>
      <c r="AJ43" s="11"/>
      <c r="AK43" s="11">
        <v>-1500</v>
      </c>
      <c r="AL43" s="11">
        <v>0</v>
      </c>
      <c r="AM43" s="11">
        <v>0</v>
      </c>
      <c r="AN43" s="11"/>
      <c r="BC43" s="8"/>
      <c r="BD43" s="8"/>
      <c r="BE43" s="8"/>
      <c r="BF43" s="8"/>
      <c r="BG43" s="8"/>
      <c r="BH43" s="8"/>
      <c r="BI43" s="8"/>
      <c r="BJ43" s="8"/>
      <c r="BK43" s="8"/>
      <c r="BL43" s="8"/>
      <c r="BM43" s="8"/>
      <c r="BN43" s="8"/>
    </row>
    <row r="44" spans="1:66">
      <c r="A44" s="17">
        <v>42</v>
      </c>
      <c r="B44" s="18">
        <v>12.981340871142947</v>
      </c>
      <c r="C44" s="19">
        <v>16.837508898393629</v>
      </c>
      <c r="AH44" s="11"/>
      <c r="AI44" s="11"/>
      <c r="AJ44" s="11"/>
      <c r="AK44" s="11">
        <v>-1400</v>
      </c>
      <c r="AL44" s="11">
        <v>0</v>
      </c>
      <c r="AM44" s="11">
        <v>0</v>
      </c>
      <c r="AN44" s="11"/>
      <c r="BC44" s="8"/>
      <c r="BD44" s="8"/>
      <c r="BE44" s="8"/>
      <c r="BF44" s="8"/>
      <c r="BG44" s="8"/>
      <c r="BH44" s="8"/>
      <c r="BI44" s="8"/>
      <c r="BJ44" s="8"/>
      <c r="BK44" s="8"/>
      <c r="BL44" s="8"/>
      <c r="BM44" s="8"/>
      <c r="BN44" s="8"/>
    </row>
    <row r="45" spans="1:66">
      <c r="A45" s="17">
        <v>43</v>
      </c>
      <c r="B45" s="18">
        <v>16.042900175363897</v>
      </c>
      <c r="C45" s="19">
        <v>20.048608688367118</v>
      </c>
      <c r="AH45" s="11"/>
      <c r="AI45" s="11"/>
      <c r="AJ45" s="11"/>
      <c r="AK45" s="11">
        <v>-1400</v>
      </c>
      <c r="AL45" s="11">
        <v>0</v>
      </c>
      <c r="AM45" s="11">
        <v>0</v>
      </c>
      <c r="AN45" s="11"/>
      <c r="BC45" s="8"/>
      <c r="BD45" s="8"/>
      <c r="BE45" s="8"/>
      <c r="BF45" s="8"/>
      <c r="BG45" s="8"/>
      <c r="BH45" s="8"/>
      <c r="BI45" s="8"/>
      <c r="BJ45" s="8"/>
      <c r="BK45" s="8"/>
      <c r="BL45" s="8"/>
      <c r="BM45" s="8"/>
      <c r="BN45" s="8"/>
    </row>
    <row r="46" spans="1:66">
      <c r="A46" s="17">
        <v>44</v>
      </c>
      <c r="B46" s="18">
        <v>12.646569845375145</v>
      </c>
      <c r="C46" s="19">
        <v>26.839614330794493</v>
      </c>
      <c r="AH46" s="11"/>
      <c r="AI46" s="11"/>
      <c r="AJ46" s="11"/>
      <c r="AK46" s="11">
        <v>-1300</v>
      </c>
      <c r="AL46" s="11">
        <v>0</v>
      </c>
      <c r="AM46" s="11">
        <v>0</v>
      </c>
      <c r="AN46" s="11"/>
      <c r="BC46" s="8"/>
      <c r="BD46" s="8"/>
      <c r="BE46" s="8"/>
      <c r="BF46" s="8"/>
      <c r="BG46" s="8"/>
      <c r="BH46" s="8"/>
      <c r="BI46" s="8"/>
      <c r="BJ46" s="8"/>
      <c r="BK46" s="8"/>
      <c r="BL46" s="8"/>
      <c r="BM46" s="8"/>
      <c r="BN46" s="8"/>
    </row>
    <row r="47" spans="1:66">
      <c r="A47" s="17">
        <v>45</v>
      </c>
      <c r="B47" s="18">
        <v>5.5382955210301068</v>
      </c>
      <c r="C47" s="19">
        <v>6.399863339916612</v>
      </c>
      <c r="AH47" s="11"/>
      <c r="AI47" s="11"/>
      <c r="AJ47" s="11"/>
      <c r="AK47" s="11">
        <v>-1300</v>
      </c>
      <c r="AL47" s="11">
        <v>0</v>
      </c>
      <c r="AM47" s="11">
        <v>0</v>
      </c>
      <c r="AN47" s="11"/>
      <c r="BC47" s="8"/>
      <c r="BD47" s="8"/>
      <c r="BE47" s="8"/>
      <c r="BF47" s="8"/>
      <c r="BG47" s="8"/>
      <c r="BH47" s="8"/>
      <c r="BI47" s="8"/>
      <c r="BJ47" s="8"/>
      <c r="BK47" s="8"/>
      <c r="BL47" s="8"/>
      <c r="BM47" s="8"/>
      <c r="BN47" s="8"/>
    </row>
    <row r="48" spans="1:66">
      <c r="A48" s="17">
        <v>46</v>
      </c>
      <c r="B48" s="18">
        <v>17.200094900903217</v>
      </c>
      <c r="C48" s="19">
        <v>30.908061104436243</v>
      </c>
      <c r="AH48" s="11"/>
      <c r="AI48" s="11"/>
      <c r="AJ48" s="11"/>
      <c r="AK48" s="11">
        <v>-1200</v>
      </c>
      <c r="AL48" s="11">
        <v>0</v>
      </c>
      <c r="AM48" s="11">
        <v>0</v>
      </c>
      <c r="AN48" s="11"/>
      <c r="BC48" s="8"/>
      <c r="BD48" s="8"/>
      <c r="BE48" s="8"/>
      <c r="BF48" s="8"/>
      <c r="BG48" s="8"/>
      <c r="BH48" s="8"/>
      <c r="BI48" s="8"/>
      <c r="BJ48" s="8"/>
      <c r="BK48" s="8"/>
      <c r="BL48" s="8"/>
      <c r="BM48" s="8"/>
      <c r="BN48" s="8"/>
    </row>
    <row r="49" spans="1:66">
      <c r="A49" s="17">
        <v>47</v>
      </c>
      <c r="B49" s="18">
        <v>2.1503220405621986</v>
      </c>
      <c r="C49" s="19">
        <v>33.744067682800676</v>
      </c>
      <c r="AH49" s="11"/>
      <c r="AI49" s="11"/>
      <c r="AJ49" s="11"/>
      <c r="AK49" s="11">
        <v>-1200</v>
      </c>
      <c r="AL49" s="11">
        <v>0</v>
      </c>
      <c r="AM49" s="11">
        <v>0</v>
      </c>
      <c r="AN49" s="11"/>
      <c r="BC49" s="8"/>
      <c r="BD49" s="8"/>
      <c r="BE49" s="8"/>
      <c r="BF49" s="8"/>
      <c r="BG49" s="8"/>
      <c r="BH49" s="8"/>
      <c r="BI49" s="8"/>
      <c r="BJ49" s="8"/>
      <c r="BK49" s="8"/>
      <c r="BL49" s="8"/>
      <c r="BM49" s="8"/>
      <c r="BN49" s="8"/>
    </row>
    <row r="50" spans="1:66">
      <c r="A50" s="17">
        <v>48</v>
      </c>
      <c r="B50" s="18">
        <v>12.924249586591468</v>
      </c>
      <c r="C50" s="19">
        <v>22.73165411758773</v>
      </c>
      <c r="AH50" s="11"/>
      <c r="AI50" s="11"/>
      <c r="AJ50" s="11"/>
      <c r="AK50" s="11">
        <v>-1100</v>
      </c>
      <c r="AL50" s="11">
        <v>0</v>
      </c>
      <c r="AM50" s="11">
        <v>0</v>
      </c>
      <c r="AN50" s="11"/>
      <c r="BC50" s="8"/>
      <c r="BD50" s="8"/>
      <c r="BE50" s="8"/>
      <c r="BF50" s="8"/>
      <c r="BG50" s="8"/>
      <c r="BH50" s="8"/>
      <c r="BI50" s="8"/>
      <c r="BJ50" s="8"/>
      <c r="BK50" s="8"/>
      <c r="BL50" s="8"/>
      <c r="BM50" s="8"/>
      <c r="BN50" s="8"/>
    </row>
    <row r="51" spans="1:66">
      <c r="A51" s="17">
        <v>49</v>
      </c>
      <c r="B51" s="18">
        <v>15.030551049792402</v>
      </c>
      <c r="C51" s="19">
        <v>15.423098573598731</v>
      </c>
      <c r="AH51" s="11"/>
      <c r="AI51" s="11"/>
      <c r="AJ51" s="11"/>
      <c r="AK51" s="11">
        <v>-1100</v>
      </c>
      <c r="AL51" s="11">
        <v>0</v>
      </c>
      <c r="AM51" s="11">
        <v>0</v>
      </c>
      <c r="AN51" s="11"/>
      <c r="BC51" s="8"/>
      <c r="BD51" s="8"/>
      <c r="BE51" s="8"/>
      <c r="BF51" s="8"/>
      <c r="BG51" s="8"/>
      <c r="BH51" s="8"/>
      <c r="BI51" s="8"/>
      <c r="BJ51" s="8"/>
      <c r="BK51" s="8"/>
      <c r="BL51" s="8"/>
      <c r="BM51" s="8"/>
      <c r="BN51" s="8"/>
    </row>
    <row r="52" spans="1:66">
      <c r="A52" s="17">
        <v>50</v>
      </c>
      <c r="B52" s="18">
        <v>6.8170000425540698</v>
      </c>
      <c r="C52" s="19">
        <v>7.3308530582356397</v>
      </c>
      <c r="AH52" s="11"/>
      <c r="AI52" s="11"/>
      <c r="AJ52" s="11"/>
      <c r="AK52" s="11">
        <v>-1000</v>
      </c>
      <c r="AL52" s="11">
        <v>0</v>
      </c>
      <c r="AM52" s="11">
        <v>0</v>
      </c>
      <c r="AN52" s="11"/>
      <c r="BC52" s="8"/>
      <c r="BD52" s="8"/>
      <c r="BE52" s="8"/>
      <c r="BF52" s="8"/>
      <c r="BG52" s="8"/>
      <c r="BH52" s="8"/>
      <c r="BI52" s="8"/>
      <c r="BJ52" s="8"/>
      <c r="BK52" s="8"/>
      <c r="BL52" s="8"/>
      <c r="BM52" s="8"/>
      <c r="BN52" s="8"/>
    </row>
    <row r="53" spans="1:66">
      <c r="A53" s="17">
        <v>51</v>
      </c>
      <c r="B53" s="18">
        <v>9.4704648866736161</v>
      </c>
      <c r="C53" s="19">
        <v>9.6504537827756884</v>
      </c>
      <c r="AH53" s="11"/>
      <c r="AI53" s="11"/>
      <c r="AJ53" s="11"/>
      <c r="AK53" s="11">
        <v>-1000</v>
      </c>
      <c r="AL53" s="11">
        <v>0</v>
      </c>
      <c r="AM53" s="11">
        <v>0</v>
      </c>
      <c r="AN53" s="11"/>
      <c r="BC53" s="8"/>
      <c r="BD53" s="8"/>
      <c r="BE53" s="8"/>
      <c r="BF53" s="8"/>
      <c r="BG53" s="8"/>
      <c r="BH53" s="8"/>
      <c r="BI53" s="8"/>
      <c r="BJ53" s="8"/>
      <c r="BK53" s="8"/>
      <c r="BL53" s="8"/>
      <c r="BM53" s="8"/>
      <c r="BN53" s="8"/>
    </row>
    <row r="54" spans="1:66">
      <c r="A54" s="17">
        <v>52</v>
      </c>
      <c r="B54" s="18">
        <v>3.9366775314821525</v>
      </c>
      <c r="C54" s="19">
        <v>25.768230431096764</v>
      </c>
      <c r="AH54" s="11"/>
      <c r="AI54" s="11"/>
      <c r="AJ54" s="11"/>
      <c r="AK54" s="11">
        <v>-900</v>
      </c>
      <c r="AL54" s="11">
        <v>0</v>
      </c>
      <c r="AM54" s="11">
        <v>0</v>
      </c>
      <c r="AN54" s="11"/>
      <c r="BC54" s="8"/>
      <c r="BD54" s="8"/>
      <c r="BE54" s="8"/>
      <c r="BF54" s="8"/>
      <c r="BG54" s="8"/>
      <c r="BH54" s="8"/>
      <c r="BI54" s="8"/>
      <c r="BJ54" s="8"/>
      <c r="BK54" s="8"/>
      <c r="BL54" s="8"/>
      <c r="BM54" s="8"/>
      <c r="BN54" s="8"/>
    </row>
    <row r="55" spans="1:66">
      <c r="A55" s="17">
        <v>53</v>
      </c>
      <c r="B55" s="18">
        <v>16.793948083036145</v>
      </c>
      <c r="C55" s="19">
        <v>17.575416140838922</v>
      </c>
      <c r="AH55" s="11"/>
      <c r="AI55" s="11"/>
      <c r="AJ55" s="11"/>
      <c r="AK55" s="11">
        <v>-900</v>
      </c>
      <c r="AL55" s="11">
        <v>0</v>
      </c>
      <c r="AM55" s="11">
        <v>0</v>
      </c>
      <c r="AN55" s="11"/>
      <c r="BC55" s="8"/>
      <c r="BD55" s="8"/>
      <c r="BE55" s="8"/>
      <c r="BF55" s="8"/>
      <c r="BG55" s="8"/>
      <c r="BH55" s="8"/>
      <c r="BI55" s="8"/>
      <c r="BJ55" s="8"/>
      <c r="BK55" s="8"/>
      <c r="BL55" s="8"/>
      <c r="BM55" s="8"/>
      <c r="BN55" s="8"/>
    </row>
    <row r="56" spans="1:66">
      <c r="A56" s="17">
        <v>54</v>
      </c>
      <c r="B56" s="18">
        <v>5.088044783279237</v>
      </c>
      <c r="C56" s="19">
        <v>7.5785746528206879</v>
      </c>
      <c r="AH56" s="11"/>
      <c r="AI56" s="11"/>
      <c r="AJ56" s="11"/>
      <c r="AK56" s="11">
        <v>-800</v>
      </c>
      <c r="AL56" s="11">
        <v>0</v>
      </c>
      <c r="AM56" s="11">
        <v>0</v>
      </c>
      <c r="AN56" s="11"/>
      <c r="BC56" s="8"/>
      <c r="BD56" s="8"/>
      <c r="BE56" s="8"/>
      <c r="BF56" s="8"/>
      <c r="BG56" s="8"/>
      <c r="BH56" s="8"/>
      <c r="BI56" s="8"/>
      <c r="BJ56" s="8"/>
      <c r="BK56" s="8"/>
      <c r="BL56" s="8"/>
      <c r="BM56" s="8"/>
      <c r="BN56" s="8"/>
    </row>
    <row r="57" spans="1:66">
      <c r="A57" s="17">
        <v>55</v>
      </c>
      <c r="B57" s="18">
        <v>16.685030414281623</v>
      </c>
      <c r="C57" s="19">
        <v>18.278179401327929</v>
      </c>
      <c r="AH57" s="11"/>
      <c r="AI57" s="11"/>
      <c r="AJ57" s="11"/>
      <c r="AK57" s="11">
        <v>-800</v>
      </c>
      <c r="AL57" s="11">
        <v>0</v>
      </c>
      <c r="AM57" s="11">
        <v>0</v>
      </c>
      <c r="AN57" s="11"/>
      <c r="BC57" s="8"/>
      <c r="BD57" s="8"/>
      <c r="BE57" s="8"/>
      <c r="BF57" s="8"/>
      <c r="BG57" s="8"/>
      <c r="BH57" s="8"/>
      <c r="BI57" s="8"/>
      <c r="BJ57" s="8"/>
      <c r="BK57" s="8"/>
      <c r="BL57" s="8"/>
      <c r="BM57" s="8"/>
      <c r="BN57" s="8"/>
    </row>
    <row r="58" spans="1:66">
      <c r="A58" s="17">
        <v>56</v>
      </c>
      <c r="B58" s="18">
        <v>10.114371769890809</v>
      </c>
      <c r="C58" s="19">
        <v>13.058671219858621</v>
      </c>
      <c r="AH58" s="11"/>
      <c r="AI58" s="11"/>
      <c r="AJ58" s="11"/>
      <c r="AK58" s="11">
        <v>-700</v>
      </c>
      <c r="AL58" s="11">
        <v>0</v>
      </c>
      <c r="AM58" s="11">
        <v>0</v>
      </c>
      <c r="AN58" s="11"/>
      <c r="BC58" s="8"/>
      <c r="BD58" s="8"/>
      <c r="BE58" s="8"/>
      <c r="BF58" s="8"/>
      <c r="BG58" s="8"/>
      <c r="BH58" s="8"/>
      <c r="BI58" s="8"/>
      <c r="BJ58" s="8"/>
      <c r="BK58" s="8"/>
      <c r="BL58" s="8"/>
      <c r="BM58" s="8"/>
      <c r="BN58" s="8"/>
    </row>
    <row r="59" spans="1:66">
      <c r="A59" s="17">
        <v>57</v>
      </c>
      <c r="B59" s="18">
        <v>11.055576448870013</v>
      </c>
      <c r="C59" s="19">
        <v>12.634466316279228</v>
      </c>
      <c r="AH59" s="11"/>
      <c r="AI59" s="11"/>
      <c r="AJ59" s="11"/>
      <c r="AK59" s="11">
        <v>-700</v>
      </c>
      <c r="AL59" s="11">
        <v>0</v>
      </c>
      <c r="AM59" s="11">
        <v>0</v>
      </c>
      <c r="AN59" s="11"/>
      <c r="BC59" s="8"/>
      <c r="BD59" s="8"/>
      <c r="BE59" s="8"/>
      <c r="BF59" s="8"/>
      <c r="BG59" s="8"/>
      <c r="BH59" s="8"/>
      <c r="BI59" s="8"/>
      <c r="BJ59" s="8"/>
      <c r="BK59" s="8"/>
      <c r="BL59" s="8"/>
      <c r="BM59" s="8"/>
      <c r="BN59" s="8"/>
    </row>
    <row r="60" spans="1:66">
      <c r="A60" s="17">
        <v>58</v>
      </c>
      <c r="B60" s="18">
        <v>7.5647028101486908</v>
      </c>
      <c r="C60" s="19">
        <v>19.155662504721871</v>
      </c>
      <c r="AH60" s="11"/>
      <c r="AI60" s="11"/>
      <c r="AJ60" s="11"/>
      <c r="AK60" s="11">
        <v>-600</v>
      </c>
      <c r="AL60" s="11">
        <v>0</v>
      </c>
      <c r="AM60" s="11">
        <v>0</v>
      </c>
      <c r="AN60" s="11"/>
      <c r="BC60" s="8"/>
      <c r="BD60" s="8"/>
      <c r="BE60" s="8"/>
      <c r="BF60" s="8"/>
      <c r="BG60" s="8"/>
      <c r="BH60" s="8"/>
      <c r="BI60" s="8"/>
      <c r="BJ60" s="8"/>
      <c r="BK60" s="8"/>
      <c r="BL60" s="8"/>
      <c r="BM60" s="8"/>
      <c r="BN60" s="8"/>
    </row>
    <row r="61" spans="1:66">
      <c r="A61" s="17">
        <v>59</v>
      </c>
      <c r="B61" s="18">
        <v>9.6699357834751662</v>
      </c>
      <c r="C61" s="19">
        <v>27.948170111451702</v>
      </c>
      <c r="AH61" s="11"/>
      <c r="AI61" s="11"/>
      <c r="AJ61" s="11"/>
      <c r="AK61" s="11">
        <v>-600</v>
      </c>
      <c r="AL61" s="11">
        <v>0</v>
      </c>
      <c r="AM61" s="11">
        <v>0</v>
      </c>
      <c r="AN61" s="11"/>
      <c r="BC61" s="8"/>
      <c r="BD61" s="8"/>
      <c r="BE61" s="8"/>
      <c r="BF61" s="8"/>
      <c r="BG61" s="8"/>
      <c r="BH61" s="8"/>
      <c r="BI61" s="8"/>
      <c r="BJ61" s="8"/>
      <c r="BK61" s="8"/>
      <c r="BL61" s="8"/>
      <c r="BM61" s="8"/>
      <c r="BN61" s="8"/>
    </row>
    <row r="62" spans="1:66">
      <c r="A62" s="17">
        <v>60</v>
      </c>
      <c r="B62" s="18">
        <v>4.6409881132354398</v>
      </c>
      <c r="C62" s="19">
        <v>14.949485537186753</v>
      </c>
      <c r="AH62" s="11"/>
      <c r="AI62" s="11"/>
      <c r="AJ62" s="11"/>
      <c r="AK62" s="11">
        <v>-500</v>
      </c>
      <c r="AL62" s="11">
        <v>0</v>
      </c>
      <c r="AM62" s="11">
        <v>0</v>
      </c>
      <c r="AN62" s="11"/>
      <c r="BC62" s="8"/>
      <c r="BD62" s="8"/>
      <c r="BE62" s="8"/>
      <c r="BF62" s="8"/>
      <c r="BG62" s="8"/>
      <c r="BH62" s="8"/>
      <c r="BI62" s="8"/>
      <c r="BJ62" s="8"/>
      <c r="BK62" s="8"/>
      <c r="BL62" s="8"/>
      <c r="BM62" s="8"/>
      <c r="BN62" s="8"/>
    </row>
    <row r="63" spans="1:66">
      <c r="A63" s="17">
        <v>61</v>
      </c>
      <c r="B63" s="18">
        <v>8.868497960547419</v>
      </c>
      <c r="C63" s="19">
        <v>19.828696903628909</v>
      </c>
      <c r="AH63" s="11"/>
      <c r="AI63" s="11"/>
      <c r="AJ63" s="11"/>
      <c r="AK63" s="11">
        <v>-500</v>
      </c>
      <c r="AL63" s="11">
        <v>0</v>
      </c>
      <c r="AM63" s="11">
        <v>0</v>
      </c>
      <c r="AN63" s="11"/>
      <c r="BC63" s="8"/>
      <c r="BD63" s="8"/>
      <c r="BE63" s="8"/>
      <c r="BF63" s="8"/>
      <c r="BG63" s="8"/>
      <c r="BH63" s="8"/>
      <c r="BI63" s="8"/>
      <c r="BJ63" s="8"/>
      <c r="BK63" s="8"/>
      <c r="BL63" s="8"/>
      <c r="BM63" s="8"/>
      <c r="BN63" s="8"/>
    </row>
    <row r="64" spans="1:66">
      <c r="A64" s="17">
        <v>62</v>
      </c>
      <c r="B64" s="18">
        <v>10.828857312396176</v>
      </c>
      <c r="C64" s="19">
        <v>24.933121243862747</v>
      </c>
      <c r="AH64" s="11"/>
      <c r="AI64" s="11"/>
      <c r="AJ64" s="11"/>
      <c r="AK64" s="11">
        <v>-400</v>
      </c>
      <c r="AL64" s="11">
        <v>0</v>
      </c>
      <c r="AM64" s="11">
        <v>0</v>
      </c>
      <c r="AN64" s="11"/>
      <c r="BC64" s="8"/>
      <c r="BD64" s="8"/>
      <c r="BE64" s="8"/>
      <c r="BF64" s="8"/>
      <c r="BG64" s="8"/>
      <c r="BH64" s="8"/>
      <c r="BI64" s="8"/>
      <c r="BJ64" s="8"/>
      <c r="BK64" s="8"/>
      <c r="BL64" s="8"/>
      <c r="BM64" s="8"/>
      <c r="BN64" s="8"/>
    </row>
    <row r="65" spans="1:66">
      <c r="A65" s="17">
        <v>63</v>
      </c>
      <c r="B65" s="18">
        <v>21.729997003211288</v>
      </c>
      <c r="C65" s="19">
        <v>26.392506072136396</v>
      </c>
      <c r="AH65" s="11"/>
      <c r="AI65" s="11"/>
      <c r="AJ65" s="11"/>
      <c r="AK65" s="11">
        <v>-400</v>
      </c>
      <c r="AL65" s="11">
        <v>0</v>
      </c>
      <c r="AM65" s="11">
        <v>1</v>
      </c>
      <c r="AN65" s="11"/>
      <c r="BC65" s="8"/>
      <c r="BD65" s="8"/>
      <c r="BE65" s="8"/>
      <c r="BF65" s="8"/>
      <c r="BG65" s="8"/>
      <c r="BH65" s="8"/>
      <c r="BI65" s="8"/>
      <c r="BJ65" s="8"/>
      <c r="BK65" s="8"/>
      <c r="BL65" s="8"/>
      <c r="BM65" s="8"/>
      <c r="BN65" s="8"/>
    </row>
    <row r="66" spans="1:66">
      <c r="A66" s="17">
        <v>64</v>
      </c>
      <c r="B66" s="18">
        <v>11.336719327217452</v>
      </c>
      <c r="C66" s="19">
        <v>15.330559233321996</v>
      </c>
      <c r="AH66" s="11"/>
      <c r="AI66" s="11"/>
      <c r="AJ66" s="11"/>
      <c r="AK66" s="11">
        <v>-300</v>
      </c>
      <c r="AL66" s="11">
        <v>0</v>
      </c>
      <c r="AM66" s="11">
        <v>1</v>
      </c>
      <c r="AN66" s="11"/>
      <c r="BC66" s="8"/>
      <c r="BD66" s="8"/>
      <c r="BE66" s="8"/>
      <c r="BF66" s="8"/>
      <c r="BG66" s="8"/>
      <c r="BH66" s="8"/>
      <c r="BI66" s="8"/>
      <c r="BJ66" s="8"/>
      <c r="BK66" s="8"/>
      <c r="BL66" s="8"/>
      <c r="BM66" s="8"/>
      <c r="BN66" s="8"/>
    </row>
    <row r="67" spans="1:66">
      <c r="A67" s="17">
        <v>65</v>
      </c>
      <c r="B67" s="18">
        <v>6.7251439645258477</v>
      </c>
      <c r="C67" s="19">
        <v>16.323960419251556</v>
      </c>
      <c r="AH67" s="11"/>
      <c r="AI67" s="11"/>
      <c r="AJ67" s="11"/>
      <c r="AK67" s="11">
        <v>-300</v>
      </c>
      <c r="AL67" s="11">
        <v>0</v>
      </c>
      <c r="AM67" s="11">
        <v>1</v>
      </c>
      <c r="AN67" s="11"/>
      <c r="BC67" s="8"/>
      <c r="BD67" s="8"/>
      <c r="BE67" s="8"/>
      <c r="BF67" s="8"/>
      <c r="BG67" s="8"/>
      <c r="BH67" s="8"/>
      <c r="BI67" s="8"/>
      <c r="BJ67" s="8"/>
      <c r="BK67" s="8"/>
      <c r="BL67" s="8"/>
      <c r="BM67" s="8"/>
      <c r="BN67" s="8"/>
    </row>
    <row r="68" spans="1:66">
      <c r="A68" s="17">
        <v>66</v>
      </c>
      <c r="B68" s="18">
        <v>8.4822306402472076</v>
      </c>
      <c r="C68" s="19">
        <v>12.961056072349068</v>
      </c>
      <c r="AK68" s="8">
        <v>-200</v>
      </c>
      <c r="AL68" s="8">
        <v>0</v>
      </c>
      <c r="AM68" s="8">
        <v>1</v>
      </c>
      <c r="BC68" s="8"/>
      <c r="BD68" s="8"/>
      <c r="BE68" s="8"/>
      <c r="BF68" s="8"/>
      <c r="BG68" s="8"/>
      <c r="BH68" s="8"/>
      <c r="BI68" s="8"/>
      <c r="BJ68" s="8"/>
      <c r="BK68" s="8"/>
      <c r="BL68" s="8"/>
      <c r="BM68" s="8"/>
      <c r="BN68" s="8"/>
    </row>
    <row r="69" spans="1:66">
      <c r="A69" s="17">
        <v>67</v>
      </c>
      <c r="B69" s="18">
        <v>11.534055727090855</v>
      </c>
      <c r="C69" s="19">
        <v>23.991305533617329</v>
      </c>
      <c r="AK69" s="8">
        <v>-200</v>
      </c>
      <c r="AL69" s="8">
        <v>0</v>
      </c>
      <c r="AM69" s="8">
        <v>3</v>
      </c>
      <c r="BC69" s="8"/>
      <c r="BD69" s="8"/>
      <c r="BE69" s="8"/>
      <c r="BF69" s="8"/>
      <c r="BG69" s="8"/>
      <c r="BH69" s="8"/>
      <c r="BI69" s="8"/>
      <c r="BJ69" s="8"/>
      <c r="BK69" s="8"/>
      <c r="BL69" s="8"/>
      <c r="BM69" s="8"/>
      <c r="BN69" s="8"/>
    </row>
    <row r="70" spans="1:66">
      <c r="A70" s="17">
        <v>68</v>
      </c>
      <c r="B70" s="18">
        <v>8.3389380351379163</v>
      </c>
      <c r="C70" s="19">
        <v>10.845213403145809</v>
      </c>
      <c r="AK70" s="8">
        <v>-100</v>
      </c>
      <c r="AL70" s="8">
        <v>0</v>
      </c>
      <c r="AM70" s="8">
        <v>3</v>
      </c>
      <c r="BC70" s="8"/>
      <c r="BD70" s="8"/>
      <c r="BE70" s="8"/>
      <c r="BF70" s="8"/>
      <c r="BG70" s="8"/>
      <c r="BH70" s="8"/>
      <c r="BI70" s="8"/>
      <c r="BJ70" s="8"/>
      <c r="BK70" s="8"/>
      <c r="BL70" s="8"/>
      <c r="BM70" s="8"/>
      <c r="BN70" s="8"/>
    </row>
    <row r="71" spans="1:66">
      <c r="A71" s="17">
        <v>69</v>
      </c>
      <c r="B71" s="18">
        <v>13.027090793974866</v>
      </c>
      <c r="C71" s="19">
        <v>17.895757872338272</v>
      </c>
      <c r="AK71" s="8">
        <v>-100</v>
      </c>
      <c r="AL71" s="8">
        <v>22</v>
      </c>
      <c r="AM71" s="8">
        <v>16</v>
      </c>
      <c r="BC71" s="8"/>
      <c r="BD71" s="8"/>
      <c r="BE71" s="8"/>
      <c r="BF71" s="8"/>
      <c r="BG71" s="8"/>
      <c r="BH71" s="8"/>
      <c r="BI71" s="8"/>
      <c r="BJ71" s="8"/>
      <c r="BK71" s="8"/>
      <c r="BL71" s="8"/>
      <c r="BM71" s="8"/>
      <c r="BN71" s="8"/>
    </row>
    <row r="72" spans="1:66">
      <c r="A72" s="17">
        <v>70</v>
      </c>
      <c r="B72" s="18">
        <v>13.267337432142739</v>
      </c>
      <c r="C72" s="19">
        <v>19.181356762030934</v>
      </c>
      <c r="AK72" s="8">
        <v>0</v>
      </c>
      <c r="AL72" s="8">
        <v>22</v>
      </c>
      <c r="AM72" s="8">
        <v>16</v>
      </c>
      <c r="BC72" s="8"/>
      <c r="BD72" s="8"/>
      <c r="BE72" s="8"/>
      <c r="BF72" s="8"/>
      <c r="BG72" s="8"/>
      <c r="BH72" s="8"/>
      <c r="BI72" s="8"/>
      <c r="BJ72" s="8"/>
      <c r="BK72" s="8"/>
      <c r="BL72" s="8"/>
      <c r="BM72" s="8"/>
      <c r="BN72" s="8"/>
    </row>
    <row r="73" spans="1:66">
      <c r="A73" s="17">
        <v>71</v>
      </c>
      <c r="B73" s="18">
        <v>0.27053935731785322</v>
      </c>
      <c r="C73" s="19">
        <v>111.57123841736014</v>
      </c>
      <c r="AK73" s="8">
        <v>0</v>
      </c>
      <c r="AL73" s="8">
        <v>978</v>
      </c>
      <c r="AM73" s="8">
        <v>971</v>
      </c>
      <c r="BC73" s="8"/>
      <c r="BD73" s="8"/>
      <c r="BE73" s="8"/>
      <c r="BF73" s="8"/>
      <c r="BG73" s="8"/>
      <c r="BH73" s="8"/>
      <c r="BI73" s="8"/>
      <c r="BJ73" s="8"/>
      <c r="BK73" s="8"/>
      <c r="BL73" s="8"/>
      <c r="BM73" s="8"/>
      <c r="BN73" s="8"/>
    </row>
    <row r="74" spans="1:66">
      <c r="A74" s="17">
        <v>72</v>
      </c>
      <c r="B74" s="18">
        <v>11.806089049917496</v>
      </c>
      <c r="C74" s="19">
        <v>13.280884335776527</v>
      </c>
      <c r="AK74" s="8">
        <v>100</v>
      </c>
      <c r="AL74" s="8">
        <v>978</v>
      </c>
      <c r="AM74" s="8">
        <v>971</v>
      </c>
      <c r="BC74" s="8"/>
      <c r="BD74" s="8"/>
      <c r="BE74" s="8"/>
      <c r="BF74" s="8"/>
      <c r="BG74" s="8"/>
      <c r="BH74" s="8"/>
      <c r="BI74" s="8"/>
      <c r="BJ74" s="8"/>
      <c r="BK74" s="8"/>
      <c r="BL74" s="8"/>
      <c r="BM74" s="8"/>
      <c r="BN74" s="8"/>
    </row>
    <row r="75" spans="1:66">
      <c r="A75" s="17">
        <v>73</v>
      </c>
      <c r="B75" s="18">
        <v>12.586122884603439</v>
      </c>
      <c r="C75" s="19">
        <v>29.882362390018663</v>
      </c>
      <c r="AK75" s="8">
        <v>100</v>
      </c>
      <c r="AL75" s="8">
        <v>0</v>
      </c>
      <c r="AM75" s="8">
        <v>5</v>
      </c>
      <c r="BC75" s="8"/>
      <c r="BD75" s="8"/>
      <c r="BE75" s="8"/>
      <c r="BF75" s="8"/>
      <c r="BG75" s="8"/>
      <c r="BH75" s="8"/>
      <c r="BI75" s="8"/>
      <c r="BJ75" s="8"/>
      <c r="BK75" s="8"/>
      <c r="BL75" s="8"/>
      <c r="BM75" s="8"/>
      <c r="BN75" s="8"/>
    </row>
    <row r="76" spans="1:66">
      <c r="A76" s="17">
        <v>74</v>
      </c>
      <c r="B76" s="18">
        <v>8.174532651796115</v>
      </c>
      <c r="C76" s="19">
        <v>15.226127647273241</v>
      </c>
      <c r="AK76" s="8">
        <v>200</v>
      </c>
      <c r="AM76" s="8">
        <v>5</v>
      </c>
      <c r="BC76" s="8"/>
      <c r="BD76" s="8"/>
      <c r="BE76" s="8"/>
      <c r="BF76" s="8"/>
      <c r="BG76" s="8"/>
      <c r="BH76" s="8"/>
      <c r="BI76" s="8"/>
      <c r="BJ76" s="8"/>
      <c r="BK76" s="8"/>
      <c r="BL76" s="8"/>
      <c r="BM76" s="8"/>
      <c r="BN76" s="8"/>
    </row>
    <row r="77" spans="1:66">
      <c r="A77" s="17">
        <v>75</v>
      </c>
      <c r="B77" s="18">
        <v>5.3642714818526311</v>
      </c>
      <c r="C77" s="19">
        <v>24.142051010899461</v>
      </c>
      <c r="AK77" s="8">
        <v>200</v>
      </c>
      <c r="AM77" s="8">
        <v>2</v>
      </c>
      <c r="BC77" s="8"/>
      <c r="BD77" s="8"/>
      <c r="BE77" s="8"/>
      <c r="BF77" s="8"/>
      <c r="BG77" s="8"/>
      <c r="BH77" s="8"/>
      <c r="BI77" s="8"/>
      <c r="BJ77" s="8"/>
      <c r="BK77" s="8"/>
      <c r="BL77" s="8"/>
      <c r="BM77" s="8"/>
      <c r="BN77" s="8"/>
    </row>
    <row r="78" spans="1:66">
      <c r="A78" s="17">
        <v>76</v>
      </c>
      <c r="B78" s="18">
        <v>2.3260989826174057</v>
      </c>
      <c r="C78" s="19">
        <v>17.080154319612284</v>
      </c>
      <c r="AK78" s="8">
        <v>300</v>
      </c>
      <c r="AM78" s="8">
        <v>2</v>
      </c>
      <c r="BC78" s="8"/>
      <c r="BD78" s="8"/>
      <c r="BE78" s="8"/>
      <c r="BF78" s="8"/>
      <c r="BG78" s="8"/>
      <c r="BH78" s="8"/>
      <c r="BI78" s="8"/>
      <c r="BJ78" s="8"/>
      <c r="BK78" s="8"/>
      <c r="BL78" s="8"/>
      <c r="BM78" s="8"/>
      <c r="BN78" s="8"/>
    </row>
    <row r="79" spans="1:66">
      <c r="A79" s="17">
        <v>77</v>
      </c>
      <c r="B79" s="18">
        <v>12.976926329545341</v>
      </c>
      <c r="C79" s="19">
        <v>14.246798333526208</v>
      </c>
      <c r="AK79" s="8">
        <v>300</v>
      </c>
      <c r="AM79" s="8">
        <v>0</v>
      </c>
      <c r="BC79" s="8"/>
      <c r="BD79" s="8"/>
      <c r="BE79" s="8"/>
      <c r="BF79" s="8"/>
      <c r="BG79" s="8"/>
      <c r="BH79" s="8"/>
      <c r="BI79" s="8"/>
      <c r="BJ79" s="8"/>
      <c r="BK79" s="8"/>
      <c r="BL79" s="8"/>
      <c r="BM79" s="8"/>
      <c r="BN79" s="8"/>
    </row>
    <row r="80" spans="1:66">
      <c r="A80" s="17">
        <v>78</v>
      </c>
      <c r="B80" s="18">
        <v>13.767885547539597</v>
      </c>
      <c r="C80" s="19">
        <v>15.927222127157521</v>
      </c>
      <c r="BC80" s="8"/>
      <c r="BD80" s="8"/>
      <c r="BE80" s="8"/>
      <c r="BF80" s="8"/>
      <c r="BG80" s="8"/>
      <c r="BH80" s="8"/>
      <c r="BI80" s="8"/>
      <c r="BJ80" s="8"/>
      <c r="BK80" s="8"/>
      <c r="BL80" s="8"/>
      <c r="BM80" s="8"/>
      <c r="BN80" s="8"/>
    </row>
    <row r="81" spans="1:66">
      <c r="A81" s="17">
        <v>79</v>
      </c>
      <c r="B81" s="18">
        <v>4.5948687665443098</v>
      </c>
      <c r="C81" s="19">
        <v>13.856598481049366</v>
      </c>
      <c r="BC81" s="8"/>
      <c r="BD81" s="8"/>
      <c r="BE81" s="8"/>
      <c r="BF81" s="8"/>
      <c r="BG81" s="8"/>
      <c r="BH81" s="8"/>
      <c r="BI81" s="8"/>
      <c r="BJ81" s="8"/>
      <c r="BK81" s="8"/>
      <c r="BL81" s="8"/>
      <c r="BM81" s="8"/>
      <c r="BN81" s="8"/>
    </row>
    <row r="82" spans="1:66">
      <c r="A82" s="17">
        <v>80</v>
      </c>
      <c r="B82" s="18">
        <v>16.805740007982195</v>
      </c>
      <c r="C82" s="19">
        <v>17.697340103479032</v>
      </c>
      <c r="BC82" s="8"/>
      <c r="BD82" s="8"/>
      <c r="BE82" s="8"/>
      <c r="BF82" s="8"/>
      <c r="BG82" s="8"/>
      <c r="BH82" s="8"/>
      <c r="BI82" s="8"/>
      <c r="BJ82" s="8"/>
      <c r="BK82" s="8"/>
      <c r="BL82" s="8"/>
      <c r="BM82" s="8"/>
      <c r="BN82" s="8"/>
    </row>
    <row r="83" spans="1:66">
      <c r="A83" s="17">
        <v>81</v>
      </c>
      <c r="B83" s="18">
        <v>10.67655120197748</v>
      </c>
      <c r="C83" s="19">
        <v>31.475695542606196</v>
      </c>
      <c r="BC83" s="8"/>
      <c r="BD83" s="8"/>
      <c r="BE83" s="8"/>
      <c r="BF83" s="8"/>
      <c r="BG83" s="8"/>
      <c r="BH83" s="8"/>
      <c r="BI83" s="8"/>
      <c r="BJ83" s="8"/>
      <c r="BK83" s="8"/>
      <c r="BL83" s="8"/>
      <c r="BM83" s="8"/>
      <c r="BN83" s="8"/>
    </row>
    <row r="84" spans="1:66">
      <c r="A84" s="17">
        <v>82</v>
      </c>
      <c r="B84" s="18">
        <v>14.158207239229473</v>
      </c>
      <c r="C84" s="19">
        <v>19.160852704901231</v>
      </c>
      <c r="BC84" s="8"/>
      <c r="BD84" s="8"/>
      <c r="BE84" s="8"/>
      <c r="BF84" s="8"/>
      <c r="BG84" s="8"/>
      <c r="BH84" s="8"/>
      <c r="BI84" s="8"/>
      <c r="BJ84" s="8"/>
      <c r="BK84" s="8"/>
      <c r="BL84" s="8"/>
      <c r="BM84" s="8"/>
      <c r="BN84" s="8"/>
    </row>
    <row r="85" spans="1:66">
      <c r="A85" s="17">
        <v>83</v>
      </c>
      <c r="B85" s="18">
        <v>2.1546149415894691</v>
      </c>
      <c r="C85" s="19">
        <v>20.430358257495161</v>
      </c>
      <c r="BC85" s="8"/>
      <c r="BD85" s="8"/>
      <c r="BE85" s="8"/>
      <c r="BF85" s="8"/>
      <c r="BG85" s="8"/>
      <c r="BH85" s="8"/>
      <c r="BI85" s="8"/>
      <c r="BJ85" s="8"/>
      <c r="BK85" s="8"/>
      <c r="BL85" s="8"/>
      <c r="BM85" s="8"/>
      <c r="BN85" s="8"/>
    </row>
    <row r="86" spans="1:66">
      <c r="A86" s="17">
        <v>84</v>
      </c>
      <c r="B86" s="18">
        <v>18.082592130802951</v>
      </c>
      <c r="C86" s="19">
        <v>19.119550785967121</v>
      </c>
      <c r="BC86" s="8"/>
      <c r="BD86" s="8"/>
      <c r="BE86" s="8"/>
      <c r="BF86" s="8"/>
      <c r="BG86" s="8"/>
      <c r="BH86" s="8"/>
      <c r="BI86" s="8"/>
      <c r="BJ86" s="8"/>
      <c r="BK86" s="8"/>
      <c r="BL86" s="8"/>
      <c r="BM86" s="8"/>
      <c r="BN86" s="8"/>
    </row>
    <row r="87" spans="1:66">
      <c r="A87" s="17">
        <v>85</v>
      </c>
      <c r="B87" s="18">
        <v>5.8411628670803202</v>
      </c>
      <c r="C87" s="19">
        <v>15.640509887135705</v>
      </c>
      <c r="BC87" s="8"/>
      <c r="BD87" s="8"/>
      <c r="BE87" s="8"/>
      <c r="BF87" s="8"/>
      <c r="BG87" s="8"/>
      <c r="BH87" s="8"/>
      <c r="BI87" s="8"/>
      <c r="BJ87" s="8"/>
      <c r="BK87" s="8"/>
      <c r="BL87" s="8"/>
      <c r="BM87" s="8"/>
      <c r="BN87" s="8"/>
    </row>
    <row r="88" spans="1:66">
      <c r="A88" s="17">
        <v>86</v>
      </c>
      <c r="B88" s="18">
        <v>-0.85847213135231459</v>
      </c>
      <c r="C88" s="19">
        <v>-349.5948750521033</v>
      </c>
      <c r="BC88" s="8"/>
      <c r="BD88" s="8"/>
      <c r="BE88" s="8"/>
      <c r="BF88" s="8"/>
      <c r="BG88" s="8"/>
      <c r="BH88" s="8"/>
      <c r="BI88" s="8"/>
      <c r="BJ88" s="8"/>
      <c r="BK88" s="8"/>
      <c r="BL88" s="8"/>
      <c r="BM88" s="8"/>
      <c r="BN88" s="8"/>
    </row>
    <row r="89" spans="1:66">
      <c r="A89" s="17">
        <v>87</v>
      </c>
      <c r="B89" s="18">
        <v>12.708798857742361</v>
      </c>
      <c r="C89" s="19">
        <v>21.475264058872316</v>
      </c>
      <c r="BC89" s="8"/>
      <c r="BD89" s="8"/>
      <c r="BE89" s="8"/>
      <c r="BF89" s="8"/>
      <c r="BG89" s="8"/>
      <c r="BH89" s="8"/>
      <c r="BI89" s="8"/>
      <c r="BJ89" s="8"/>
      <c r="BK89" s="8"/>
      <c r="BL89" s="8"/>
      <c r="BM89" s="8"/>
      <c r="BN89" s="8"/>
    </row>
    <row r="90" spans="1:66">
      <c r="A90" s="17">
        <v>88</v>
      </c>
      <c r="B90" s="18">
        <v>10.71213725278429</v>
      </c>
      <c r="C90" s="19">
        <v>15.005978221925607</v>
      </c>
      <c r="BC90" s="8"/>
      <c r="BD90" s="8"/>
      <c r="BE90" s="8"/>
      <c r="BF90" s="8"/>
      <c r="BG90" s="8"/>
      <c r="BH90" s="8"/>
      <c r="BI90" s="8"/>
      <c r="BJ90" s="8"/>
      <c r="BK90" s="8"/>
      <c r="BL90" s="8"/>
      <c r="BM90" s="8"/>
      <c r="BN90" s="8"/>
    </row>
    <row r="91" spans="1:66">
      <c r="A91" s="17">
        <v>89</v>
      </c>
      <c r="B91" s="18">
        <v>8.2562210504974107</v>
      </c>
      <c r="C91" s="19">
        <v>29.130442747202387</v>
      </c>
      <c r="BC91" s="8"/>
      <c r="BD91" s="8"/>
      <c r="BE91" s="8"/>
      <c r="BF91" s="8"/>
      <c r="BG91" s="8"/>
      <c r="BH91" s="8"/>
      <c r="BI91" s="8"/>
      <c r="BJ91" s="8"/>
      <c r="BK91" s="8"/>
      <c r="BL91" s="8"/>
      <c r="BM91" s="8"/>
      <c r="BN91" s="8"/>
    </row>
    <row r="92" spans="1:66">
      <c r="A92" s="17">
        <v>90</v>
      </c>
      <c r="B92" s="18">
        <v>9.814921167051418</v>
      </c>
      <c r="C92" s="19">
        <v>12.178391377322436</v>
      </c>
      <c r="BC92" s="8"/>
      <c r="BD92" s="8"/>
      <c r="BE92" s="8"/>
      <c r="BF92" s="8"/>
      <c r="BG92" s="8"/>
      <c r="BH92" s="8"/>
      <c r="BI92" s="8"/>
      <c r="BJ92" s="8"/>
      <c r="BK92" s="8"/>
      <c r="BL92" s="8"/>
      <c r="BM92" s="8"/>
      <c r="BN92" s="8"/>
    </row>
    <row r="93" spans="1:66">
      <c r="A93" s="17">
        <v>91</v>
      </c>
      <c r="B93" s="18">
        <v>13.571288563402705</v>
      </c>
      <c r="C93" s="19">
        <v>18.907894279910316</v>
      </c>
      <c r="BC93" s="8"/>
      <c r="BD93" s="8"/>
      <c r="BE93" s="8"/>
      <c r="BF93" s="8"/>
      <c r="BG93" s="8"/>
      <c r="BH93" s="8"/>
      <c r="BI93" s="8"/>
      <c r="BJ93" s="8"/>
      <c r="BK93" s="8"/>
      <c r="BL93" s="8"/>
      <c r="BM93" s="8"/>
      <c r="BN93" s="8"/>
    </row>
    <row r="94" spans="1:66">
      <c r="A94" s="17">
        <v>92</v>
      </c>
      <c r="B94" s="18">
        <v>11.391211295758451</v>
      </c>
      <c r="C94" s="19">
        <v>18.592116850211951</v>
      </c>
      <c r="BC94" s="8"/>
      <c r="BD94" s="8"/>
      <c r="BE94" s="8"/>
      <c r="BF94" s="8"/>
      <c r="BG94" s="8"/>
      <c r="BH94" s="8"/>
      <c r="BI94" s="8"/>
      <c r="BJ94" s="8"/>
      <c r="BK94" s="8"/>
      <c r="BL94" s="8"/>
      <c r="BM94" s="8"/>
      <c r="BN94" s="8"/>
    </row>
    <row r="95" spans="1:66">
      <c r="A95" s="17">
        <v>93</v>
      </c>
      <c r="B95" s="18">
        <v>8.7082172356335068</v>
      </c>
      <c r="C95" s="19">
        <v>11.308511715442856</v>
      </c>
      <c r="BC95" s="8"/>
      <c r="BD95" s="8"/>
      <c r="BE95" s="8"/>
      <c r="BF95" s="8"/>
      <c r="BG95" s="8"/>
      <c r="BH95" s="8"/>
      <c r="BI95" s="8"/>
      <c r="BJ95" s="8"/>
      <c r="BK95" s="8"/>
      <c r="BL95" s="8"/>
      <c r="BM95" s="8"/>
      <c r="BN95" s="8"/>
    </row>
    <row r="96" spans="1:66">
      <c r="A96" s="17">
        <v>94</v>
      </c>
      <c r="B96" s="18">
        <v>8.5848474564381316</v>
      </c>
      <c r="C96" s="19">
        <v>13.177691665831334</v>
      </c>
      <c r="BC96" s="8"/>
      <c r="BD96" s="8"/>
      <c r="BE96" s="8"/>
      <c r="BF96" s="8"/>
      <c r="BG96" s="8"/>
      <c r="BH96" s="8"/>
      <c r="BI96" s="8"/>
      <c r="BJ96" s="8"/>
      <c r="BK96" s="8"/>
      <c r="BL96" s="8"/>
      <c r="BM96" s="8"/>
      <c r="BN96" s="8"/>
    </row>
    <row r="97" spans="1:66">
      <c r="A97" s="17">
        <v>95</v>
      </c>
      <c r="B97" s="18">
        <v>8.4787666444599505</v>
      </c>
      <c r="C97" s="19">
        <v>9.1418148272505171</v>
      </c>
      <c r="BC97" s="8"/>
      <c r="BD97" s="8"/>
      <c r="BE97" s="8"/>
      <c r="BF97" s="8"/>
      <c r="BG97" s="8"/>
      <c r="BH97" s="8"/>
      <c r="BI97" s="8"/>
      <c r="BJ97" s="8"/>
      <c r="BK97" s="8"/>
      <c r="BL97" s="8"/>
      <c r="BM97" s="8"/>
      <c r="BN97" s="8"/>
    </row>
    <row r="98" spans="1:66">
      <c r="A98" s="17">
        <v>96</v>
      </c>
      <c r="B98" s="18">
        <v>13.195759919460766</v>
      </c>
      <c r="C98" s="19">
        <v>18.747625490078967</v>
      </c>
      <c r="BC98" s="8"/>
      <c r="BD98" s="8"/>
      <c r="BE98" s="8"/>
      <c r="BF98" s="8"/>
      <c r="BG98" s="8"/>
      <c r="BH98" s="8"/>
      <c r="BI98" s="8"/>
      <c r="BJ98" s="8"/>
      <c r="BK98" s="8"/>
      <c r="BL98" s="8"/>
      <c r="BM98" s="8"/>
      <c r="BN98" s="8"/>
    </row>
    <row r="99" spans="1:66">
      <c r="A99" s="17">
        <v>97</v>
      </c>
      <c r="B99" s="18">
        <v>9.0069958327784043</v>
      </c>
      <c r="C99" s="19">
        <v>11.675690391504684</v>
      </c>
      <c r="BC99" s="8"/>
      <c r="BD99" s="8"/>
      <c r="BE99" s="8"/>
      <c r="BF99" s="8"/>
      <c r="BG99" s="8"/>
      <c r="BH99" s="8"/>
      <c r="BI99" s="8"/>
      <c r="BJ99" s="8"/>
      <c r="BK99" s="8"/>
      <c r="BL99" s="8"/>
      <c r="BM99" s="8"/>
      <c r="BN99" s="8"/>
    </row>
    <row r="100" spans="1:66">
      <c r="A100" s="17">
        <v>98</v>
      </c>
      <c r="B100" s="18">
        <v>6.1060673622297443</v>
      </c>
      <c r="C100" s="19">
        <v>28.744680560069202</v>
      </c>
      <c r="BC100" s="8"/>
      <c r="BD100" s="8"/>
      <c r="BE100" s="8"/>
      <c r="BF100" s="8"/>
      <c r="BG100" s="8"/>
      <c r="BH100" s="8"/>
      <c r="BI100" s="8"/>
      <c r="BJ100" s="8"/>
      <c r="BK100" s="8"/>
      <c r="BL100" s="8"/>
      <c r="BM100" s="8"/>
      <c r="BN100" s="8"/>
    </row>
    <row r="101" spans="1:66">
      <c r="A101" s="17">
        <v>99</v>
      </c>
      <c r="B101" s="18">
        <v>18.672731849296568</v>
      </c>
      <c r="C101" s="19">
        <v>20.002797384020806</v>
      </c>
      <c r="BC101" s="8"/>
      <c r="BD101" s="8"/>
      <c r="BE101" s="8"/>
      <c r="BF101" s="8"/>
      <c r="BG101" s="8"/>
      <c r="BH101" s="8"/>
      <c r="BI101" s="8"/>
      <c r="BJ101" s="8"/>
      <c r="BK101" s="8"/>
      <c r="BL101" s="8"/>
      <c r="BM101" s="8"/>
      <c r="BN101" s="8"/>
    </row>
    <row r="102" spans="1:66">
      <c r="A102" s="17">
        <v>100</v>
      </c>
      <c r="B102" s="18">
        <v>11.374605443309861</v>
      </c>
      <c r="C102" s="19">
        <v>21.375794862361815</v>
      </c>
      <c r="BC102" s="8"/>
      <c r="BD102" s="8"/>
      <c r="BE102" s="8"/>
      <c r="BF102" s="8"/>
      <c r="BG102" s="8"/>
      <c r="BH102" s="8"/>
      <c r="BI102" s="8"/>
      <c r="BJ102" s="8"/>
      <c r="BK102" s="8"/>
      <c r="BL102" s="8"/>
      <c r="BM102" s="8"/>
      <c r="BN102" s="8"/>
    </row>
    <row r="103" spans="1:66">
      <c r="A103" s="45" t="s">
        <v>45</v>
      </c>
    </row>
  </sheetData>
  <dataConsolidate/>
  <mergeCells count="4">
    <mergeCell ref="F2:G2"/>
    <mergeCell ref="I4:J4"/>
    <mergeCell ref="K4:L4"/>
    <mergeCell ref="M4:N4"/>
  </mergeCells>
  <pageMargins left="0.75" right="0.75" top="1" bottom="1" header="0.5" footer="0.5"/>
  <pageSetup orientation="portrait" horizontalDpi="200" verticalDpi="2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1861-2AC6-4026-80D8-C364FC34668E}">
  <sheetPr codeName="Sheet5"/>
  <dimension ref="A1:S30"/>
  <sheetViews>
    <sheetView showGridLines="0" workbookViewId="0">
      <selection activeCell="I14" sqref="I14"/>
    </sheetView>
  </sheetViews>
  <sheetFormatPr defaultRowHeight="14.4"/>
  <sheetData>
    <row r="1" spans="1:19" ht="15.6">
      <c r="A1" s="46" t="s">
        <v>176</v>
      </c>
      <c r="B1" s="46"/>
      <c r="N1" t="s">
        <v>160</v>
      </c>
    </row>
    <row r="2" spans="1:19">
      <c r="A2" s="46">
        <v>0</v>
      </c>
      <c r="B2" s="46" t="s">
        <v>158</v>
      </c>
      <c r="N2" t="s">
        <v>195</v>
      </c>
    </row>
    <row r="3" spans="1:19">
      <c r="A3" s="46">
        <v>1</v>
      </c>
      <c r="B3" s="46" t="s">
        <v>159</v>
      </c>
      <c r="N3" t="s">
        <v>196</v>
      </c>
    </row>
    <row r="4" spans="1:19">
      <c r="A4" s="46">
        <v>1</v>
      </c>
      <c r="B4" s="46" t="s">
        <v>34</v>
      </c>
      <c r="N4" t="s">
        <v>197</v>
      </c>
    </row>
    <row r="5" spans="1:19">
      <c r="C5" t="s">
        <v>3</v>
      </c>
      <c r="D5" t="s">
        <v>4</v>
      </c>
      <c r="E5" s="4" t="s">
        <v>15</v>
      </c>
      <c r="F5" s="64">
        <f t="array" aca="1" ref="F5:G9" ca="1">LINEST(D6:D10,C6:C10,1,1)</f>
        <v>1.0761272456892674</v>
      </c>
      <c r="G5">
        <f ca="1"/>
        <v>-1.8773318207254697E-2</v>
      </c>
      <c r="I5" t="s">
        <v>26</v>
      </c>
      <c r="J5" t="s">
        <v>27</v>
      </c>
      <c r="K5" t="s">
        <v>28</v>
      </c>
      <c r="L5" t="s">
        <v>29</v>
      </c>
      <c r="N5" t="s">
        <v>198</v>
      </c>
    </row>
    <row r="6" spans="1:19">
      <c r="C6">
        <v>1</v>
      </c>
      <c r="D6">
        <f ca="1">beta0+beta1*C6+_xlfn.NORM.INV(RAND(),0,sigma)</f>
        <v>1.7429093105972862</v>
      </c>
      <c r="F6">
        <f ca="1"/>
        <v>0.20217554614335137</v>
      </c>
      <c r="G6">
        <f ca="1"/>
        <v>0.67054042834268113</v>
      </c>
      <c r="I6">
        <f>(C6-$C$12)*(C6-$C$12)</f>
        <v>4</v>
      </c>
      <c r="J6">
        <f ca="1">(C6-$C$12)*(D6-$D$12)</f>
        <v>2.9333982165265224</v>
      </c>
      <c r="K6">
        <f ca="1">(D6-$D$12)*(C6-$C$12)</f>
        <v>2.9333982165265224</v>
      </c>
      <c r="L6">
        <f ca="1">(D6-$D$12)*(D6-$D$12)</f>
        <v>2.1512062741802458</v>
      </c>
    </row>
    <row r="7" spans="1:19">
      <c r="C7">
        <v>2</v>
      </c>
      <c r="D7">
        <f ca="1">beta0+beta1*C7+_xlfn.NORM.INV(RAND(),0,sigma)</f>
        <v>1.5620285289864548</v>
      </c>
      <c r="F7">
        <f ca="1"/>
        <v>0.90424980359174523</v>
      </c>
      <c r="G7">
        <f ca="1"/>
        <v>0.63933521300146134</v>
      </c>
      <c r="I7">
        <f>(C7-$C$12)*(C7-$C$12)</f>
        <v>1</v>
      </c>
      <c r="J7">
        <f ca="1">(C7-$C$12)*(D7-$D$12)</f>
        <v>1.6475798898740925</v>
      </c>
      <c r="K7">
        <f ca="1">(D7-$D$12)*(C7-$C$12)</f>
        <v>1.6475798898740925</v>
      </c>
      <c r="L7">
        <f ca="1">(D7-$D$12)*(D7-$D$12)</f>
        <v>2.714519493517527</v>
      </c>
      <c r="N7" t="s">
        <v>199</v>
      </c>
    </row>
    <row r="8" spans="1:19">
      <c r="C8">
        <v>3</v>
      </c>
      <c r="D8">
        <f ca="1">beta0+beta1*C8+_xlfn.NORM.INV(RAND(),0,sigma)</f>
        <v>2.6784423772980857</v>
      </c>
      <c r="F8">
        <f ca="1"/>
        <v>28.331528420148125</v>
      </c>
      <c r="G8">
        <f ca="1"/>
        <v>3</v>
      </c>
      <c r="I8">
        <f>(C8-$C$12)*(C8-$C$12)</f>
        <v>0</v>
      </c>
      <c r="J8">
        <f ca="1">(C8-$C$12)*(D8-$D$12)</f>
        <v>0</v>
      </c>
      <c r="K8">
        <f ca="1">(D8-$D$12)*(C8-$C$12)</f>
        <v>0</v>
      </c>
      <c r="L8">
        <f ca="1">(D8-$D$12)*(D8-$D$12)</f>
        <v>0.28213736370913484</v>
      </c>
    </row>
    <row r="9" spans="1:19">
      <c r="C9">
        <v>4</v>
      </c>
      <c r="D9">
        <f ca="1">beta0+beta1*C9+_xlfn.NORM.INV(RAND(),0,sigma)</f>
        <v>4.3202041477681163</v>
      </c>
      <c r="F9">
        <f ca="1"/>
        <v>11.580498489147693</v>
      </c>
      <c r="G9">
        <f ca="1"/>
        <v>1.2262485437508719</v>
      </c>
      <c r="I9">
        <f>(C9-$C$12)*(C9-$C$12)</f>
        <v>1</v>
      </c>
      <c r="J9">
        <f ca="1">(C9-$C$12)*(D9-$D$12)</f>
        <v>1.110595728907569</v>
      </c>
      <c r="K9">
        <f ca="1">(D9-$D$12)*(C9-$C$12)</f>
        <v>1.110595728907569</v>
      </c>
      <c r="L9">
        <f ca="1">(D9-$D$12)*(D9-$D$12)</f>
        <v>1.2334228730677343</v>
      </c>
      <c r="N9" t="s">
        <v>164</v>
      </c>
    </row>
    <row r="10" spans="1:19">
      <c r="C10">
        <v>5</v>
      </c>
      <c r="D10">
        <f ca="1">beta0+beta1*C10+_xlfn.NORM.INV(RAND(),0,sigma)</f>
        <v>5.744457729652793</v>
      </c>
      <c r="I10">
        <f>(C10-$C$12)*(C10-$C$12)</f>
        <v>4</v>
      </c>
      <c r="J10">
        <f ca="1">(C10-$C$12)*(D10-$D$12)</f>
        <v>5.0696986215844912</v>
      </c>
      <c r="K10">
        <f ca="1">(D10-$D$12)*(C10-$C$12)</f>
        <v>5.0696986215844912</v>
      </c>
      <c r="L10">
        <f ca="1">(D10-$D$12)*(D10-$D$12)</f>
        <v>6.4254610284239231</v>
      </c>
      <c r="N10" s="59" t="s">
        <v>161</v>
      </c>
    </row>
    <row r="11" spans="1:19">
      <c r="D11" s="1"/>
      <c r="I11">
        <f>SUM(I6:I10)</f>
        <v>10</v>
      </c>
      <c r="J11">
        <f t="shared" ref="J11:L11" ca="1" si="0">SUM(J6:J10)</f>
        <v>10.761272456892675</v>
      </c>
      <c r="K11">
        <f t="shared" ca="1" si="0"/>
        <v>10.761272456892675</v>
      </c>
      <c r="L11">
        <f t="shared" ca="1" si="0"/>
        <v>12.806747032898565</v>
      </c>
    </row>
    <row r="12" spans="1:19">
      <c r="C12">
        <f>AVERAGE(C6:C10)</f>
        <v>3</v>
      </c>
      <c r="D12">
        <f ca="1">AVERAGE(D6:D10)</f>
        <v>3.2096084188605474</v>
      </c>
      <c r="E12" t="s">
        <v>25</v>
      </c>
      <c r="I12">
        <f>I11/4</f>
        <v>2.5</v>
      </c>
      <c r="J12">
        <f t="shared" ref="J12:L12" ca="1" si="1">J11/4</f>
        <v>2.6903181142231687</v>
      </c>
      <c r="K12">
        <f t="shared" ca="1" si="1"/>
        <v>2.6903181142231687</v>
      </c>
      <c r="L12">
        <f t="shared" ca="1" si="1"/>
        <v>3.2016867582246413</v>
      </c>
      <c r="N12" t="s">
        <v>165</v>
      </c>
    </row>
    <row r="13" spans="1:19">
      <c r="I13" t="s">
        <v>162</v>
      </c>
    </row>
    <row r="14" spans="1:19">
      <c r="J14">
        <f>I12</f>
        <v>2.5</v>
      </c>
      <c r="K14">
        <f ca="1">J12</f>
        <v>2.6903181142231687</v>
      </c>
      <c r="N14" t="s">
        <v>200</v>
      </c>
    </row>
    <row r="15" spans="1:19">
      <c r="J15">
        <f ca="1">K12</f>
        <v>2.6903181142231687</v>
      </c>
      <c r="K15">
        <f ca="1">L12</f>
        <v>3.2016867582246413</v>
      </c>
      <c r="N15" s="59" t="s">
        <v>186</v>
      </c>
      <c r="S15" t="s">
        <v>205</v>
      </c>
    </row>
    <row r="17" spans="9:11">
      <c r="I17" t="s">
        <v>12</v>
      </c>
    </row>
    <row r="18" spans="9:11">
      <c r="I18">
        <f t="array" aca="1" ref="I18:J18" ca="1">MatEigenvector_max(J14:K15)</f>
        <v>0.8780578601111656</v>
      </c>
      <c r="J18">
        <f ca="1"/>
        <v>1</v>
      </c>
    </row>
    <row r="20" spans="9:11">
      <c r="I20" t="s">
        <v>163</v>
      </c>
    </row>
    <row r="21" spans="9:11">
      <c r="I21" s="63">
        <f ca="1">IF(J14&gt;K15,1/J18,1/I18)</f>
        <v>1.1388771121226522</v>
      </c>
      <c r="J21" t="s">
        <v>23</v>
      </c>
      <c r="K21" t="s">
        <v>33</v>
      </c>
    </row>
    <row r="22" spans="9:11">
      <c r="I22">
        <f ca="1">D12-I21*C12</f>
        <v>-0.20702291750740898</v>
      </c>
      <c r="J22" t="s">
        <v>32</v>
      </c>
      <c r="K22">
        <f ca="1">$I$22+$I$21*C6</f>
        <v>0.93185419461524321</v>
      </c>
    </row>
    <row r="23" spans="9:11">
      <c r="K23">
        <f ca="1">$I$22+$I$21*C7</f>
        <v>2.0707313067378954</v>
      </c>
    </row>
    <row r="24" spans="9:11">
      <c r="K24">
        <f ca="1">$I$22+$I$21*C8</f>
        <v>3.2096084188605474</v>
      </c>
    </row>
    <row r="25" spans="9:11">
      <c r="K25">
        <f ca="1">$I$22+$I$21*C9</f>
        <v>4.3484855309831998</v>
      </c>
    </row>
    <row r="26" spans="9:11">
      <c r="K26">
        <f ca="1">$I$22+$I$21*C10</f>
        <v>5.4873626431058522</v>
      </c>
    </row>
    <row r="28" spans="9:11">
      <c r="I28" t="s">
        <v>194</v>
      </c>
    </row>
    <row r="29" spans="9:11">
      <c r="I29">
        <f t="array" aca="1" ref="I29:I30" ca="1">orthoreg(D6:D10,C6:C10)</f>
        <v>-0.20702291750740986</v>
      </c>
      <c r="J29" t="s">
        <v>19</v>
      </c>
    </row>
    <row r="30" spans="9:11">
      <c r="I30" s="63">
        <f ca="1"/>
        <v>1.1388771121226524</v>
      </c>
      <c r="J30" t="s">
        <v>23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NextScreenCEM">
                <anchor moveWithCells="1" sizeWithCells="1">
                  <from>
                    <xdr:col>15</xdr:col>
                    <xdr:colOff>525780</xdr:colOff>
                    <xdr:row>20</xdr:row>
                    <xdr:rowOff>114300</xdr:rowOff>
                  </from>
                  <to>
                    <xdr:col>17</xdr:col>
                    <xdr:colOff>434340</xdr:colOff>
                    <xdr:row>22</xdr:row>
                    <xdr:rowOff>106680</xdr:rowOff>
                  </to>
                </anchor>
              </controlPr>
            </control>
          </mc:Choice>
        </mc:AlternateContent>
        <mc:AlternateContent xmlns:mc="http://schemas.openxmlformats.org/markup-compatibility/2006">
          <mc:Choice Requires="x14">
            <control shapeId="16386" r:id="rId4" name="Button 2">
              <controlPr defaultSize="0" print="0" autoFill="0" autoPict="0" macro="ShowMCForm">
                <anchor moveWithCells="1" sizeWithCells="1">
                  <from>
                    <xdr:col>18</xdr:col>
                    <xdr:colOff>358140</xdr:colOff>
                    <xdr:row>12</xdr:row>
                    <xdr:rowOff>0</xdr:rowOff>
                  </from>
                  <to>
                    <xdr:col>19</xdr:col>
                    <xdr:colOff>571500</xdr:colOff>
                    <xdr:row>14</xdr:row>
                    <xdr:rowOff>15240</xdr:rowOff>
                  </to>
                </anchor>
              </controlPr>
            </control>
          </mc:Choice>
        </mc:AlternateContent>
        <mc:AlternateContent xmlns:mc="http://schemas.openxmlformats.org/markup-compatibility/2006">
          <mc:Choice Requires="x14">
            <control shapeId="16387" r:id="rId5" name="Button 3">
              <controlPr defaultSize="0" print="0" autoFill="0" autoPict="0" macro="[0]!CEMHelp">
                <anchor moveWithCells="1" sizeWithCells="1">
                  <from>
                    <xdr:col>19</xdr:col>
                    <xdr:colOff>335280</xdr:colOff>
                    <xdr:row>16</xdr:row>
                    <xdr:rowOff>15240</xdr:rowOff>
                  </from>
                  <to>
                    <xdr:col>20</xdr:col>
                    <xdr:colOff>541020</xdr:colOff>
                    <xdr:row>18</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3BB2D-4E93-4EB6-9C3E-3E7F775281DE}">
  <sheetPr codeName="Sheet12"/>
  <dimension ref="A1:O112"/>
  <sheetViews>
    <sheetView showGridLines="0" workbookViewId="0">
      <selection activeCell="I14" sqref="I14"/>
    </sheetView>
  </sheetViews>
  <sheetFormatPr defaultRowHeight="14.4"/>
  <cols>
    <col min="3" max="4" width="11.44140625" customWidth="1"/>
    <col min="7" max="7" width="9.77734375" customWidth="1"/>
  </cols>
  <sheetData>
    <row r="1" spans="1:14" ht="15.6">
      <c r="A1" s="46" t="s">
        <v>177</v>
      </c>
      <c r="H1" t="s">
        <v>172</v>
      </c>
    </row>
    <row r="2" spans="1:14">
      <c r="A2" s="46" t="s">
        <v>178</v>
      </c>
      <c r="D2" s="66" t="s">
        <v>179</v>
      </c>
      <c r="H2" t="s">
        <v>201</v>
      </c>
    </row>
    <row r="3" spans="1:14">
      <c r="A3" s="50" t="s">
        <v>175</v>
      </c>
    </row>
    <row r="4" spans="1:14" ht="16.8">
      <c r="A4" s="50" t="s">
        <v>180</v>
      </c>
      <c r="H4" t="s">
        <v>181</v>
      </c>
    </row>
    <row r="5" spans="1:14">
      <c r="A5" s="50" t="s">
        <v>166</v>
      </c>
      <c r="H5" t="s">
        <v>182</v>
      </c>
    </row>
    <row r="6" spans="1:14">
      <c r="H6" s="59" t="s">
        <v>184</v>
      </c>
    </row>
    <row r="7" spans="1:14">
      <c r="A7" s="46">
        <v>10</v>
      </c>
      <c r="B7" s="46" t="s">
        <v>158</v>
      </c>
      <c r="I7" t="s">
        <v>202</v>
      </c>
    </row>
    <row r="8" spans="1:14">
      <c r="A8" s="46">
        <v>10</v>
      </c>
      <c r="B8" s="46" t="s">
        <v>159</v>
      </c>
      <c r="H8" s="59" t="s">
        <v>213</v>
      </c>
    </row>
    <row r="9" spans="1:14">
      <c r="A9" s="46">
        <v>1</v>
      </c>
      <c r="B9" s="46" t="s">
        <v>66</v>
      </c>
      <c r="C9" t="s">
        <v>183</v>
      </c>
    </row>
    <row r="10" spans="1:14">
      <c r="A10" s="46">
        <f>sigmaY</f>
        <v>1</v>
      </c>
      <c r="B10" s="46" t="s">
        <v>65</v>
      </c>
      <c r="H10" s="59" t="s">
        <v>214</v>
      </c>
    </row>
    <row r="11" spans="1:14">
      <c r="D11" t="s">
        <v>174</v>
      </c>
    </row>
    <row r="12" spans="1:14">
      <c r="B12" s="46" t="s">
        <v>71</v>
      </c>
      <c r="C12" t="s">
        <v>72</v>
      </c>
      <c r="D12" t="s">
        <v>4</v>
      </c>
      <c r="E12" s="4"/>
      <c r="F12" t="s">
        <v>15</v>
      </c>
      <c r="G12" t="s">
        <v>14</v>
      </c>
      <c r="I12" s="65" t="s">
        <v>173</v>
      </c>
      <c r="K12" t="s">
        <v>33</v>
      </c>
      <c r="L12" t="s">
        <v>62</v>
      </c>
      <c r="M12" t="s">
        <v>63</v>
      </c>
      <c r="N12" t="s">
        <v>167</v>
      </c>
    </row>
    <row r="13" spans="1:14">
      <c r="B13" s="46">
        <v>1</v>
      </c>
      <c r="C13">
        <f t="shared" ref="C13:C44" ca="1" si="0">B13+_xlfn.NORM.INV(RAND(),0,sigmaX)</f>
        <v>1.4855670104096477</v>
      </c>
      <c r="D13">
        <f t="shared" ref="D13:D44" ca="1" si="1">beta0+beta1*B13+_xlfn.NORM.INV(RAND(),0,sigmaY)</f>
        <v>20.984355230900462</v>
      </c>
      <c r="F13" s="64">
        <f t="array" aca="1" ref="F13:G17" ca="1">LINEST(D13:D112,C13:C112,1,1)</f>
        <v>6.8776242077744127</v>
      </c>
      <c r="G13">
        <f ca="1"/>
        <v>18.934265804121797</v>
      </c>
      <c r="I13">
        <f t="array" aca="1" ref="I13:I14" ca="1">orthoreg(D13:D112,C13:C112)</f>
        <v>7.024097718108524</v>
      </c>
      <c r="J13" t="s">
        <v>168</v>
      </c>
      <c r="K13">
        <f ca="1">$I$13+$I$14*C13</f>
        <v>23.027207576057684</v>
      </c>
      <c r="L13">
        <f ca="1">(D13-K13)/(SQRT(1+$I$14^2))</f>
        <v>-0.1888259210384195</v>
      </c>
      <c r="M13">
        <f ca="1">L13^2</f>
        <v>3.5655228456007437E-2</v>
      </c>
      <c r="N13">
        <f ca="1">SUM(M13:M112)</f>
        <v>95.7500372872708</v>
      </c>
    </row>
    <row r="14" spans="1:14">
      <c r="B14" s="46">
        <v>2</v>
      </c>
      <c r="C14">
        <f t="shared" ca="1" si="0"/>
        <v>1.9339598576535042</v>
      </c>
      <c r="D14">
        <f t="shared" ca="1" si="1"/>
        <v>31.354126251842839</v>
      </c>
      <c r="F14">
        <f ca="1"/>
        <v>0.52633017721394471</v>
      </c>
      <c r="G14">
        <f ca="1"/>
        <v>1.8232330692788539</v>
      </c>
      <c r="I14" s="63">
        <f ca="1"/>
        <v>10.77239178429001</v>
      </c>
      <c r="J14" t="s">
        <v>169</v>
      </c>
      <c r="K14">
        <f t="shared" ref="K14:K77" ca="1" si="2">$I$13+$I$14*C14</f>
        <v>27.857470999841809</v>
      </c>
      <c r="L14">
        <f t="shared" ref="L14:L77" ca="1" si="3">(D14-K14)/(SQRT(1+$I$14^2))</f>
        <v>0.32320453804609489</v>
      </c>
      <c r="M14">
        <f t="shared" ref="M14:M77" ca="1" si="4">L14^2</f>
        <v>0.1044611734135896</v>
      </c>
    </row>
    <row r="15" spans="1:14">
      <c r="B15" s="46">
        <v>3</v>
      </c>
      <c r="C15">
        <f t="shared" ca="1" si="0"/>
        <v>4.4278903285474991</v>
      </c>
      <c r="D15">
        <f t="shared" ca="1" si="1"/>
        <v>41.152555006373575</v>
      </c>
      <c r="F15">
        <f ca="1"/>
        <v>0.63534863994970925</v>
      </c>
      <c r="G15">
        <f ca="1"/>
        <v>8.5653091758875632</v>
      </c>
      <c r="K15">
        <f t="shared" ca="1" si="2"/>
        <v>54.723067115090792</v>
      </c>
      <c r="L15">
        <f t="shared" ca="1" si="3"/>
        <v>-1.2543561721267431</v>
      </c>
      <c r="M15">
        <f t="shared" ca="1" si="4"/>
        <v>1.5734094065524555</v>
      </c>
    </row>
    <row r="16" spans="1:14">
      <c r="B16" s="46">
        <v>4</v>
      </c>
      <c r="C16">
        <f t="shared" ca="1" si="0"/>
        <v>4.7490138277999732</v>
      </c>
      <c r="D16">
        <f t="shared" ca="1" si="1"/>
        <v>49.22704380488814</v>
      </c>
      <c r="F16">
        <f ca="1"/>
        <v>170.74985461862627</v>
      </c>
      <c r="G16">
        <f ca="1"/>
        <v>98</v>
      </c>
      <c r="K16">
        <f t="shared" ca="1" si="2"/>
        <v>58.182335260180601</v>
      </c>
      <c r="L16">
        <f t="shared" ca="1" si="3"/>
        <v>-0.82775985313953038</v>
      </c>
      <c r="M16">
        <f t="shared" ca="1" si="4"/>
        <v>0.68518637446957686</v>
      </c>
    </row>
    <row r="17" spans="2:15">
      <c r="B17" s="46">
        <v>5</v>
      </c>
      <c r="C17">
        <f t="shared" ca="1" si="0"/>
        <v>4.4982152870086489</v>
      </c>
      <c r="D17">
        <f t="shared" ca="1" si="1"/>
        <v>57.982153355098212</v>
      </c>
      <c r="F17">
        <f ca="1"/>
        <v>12526.981342476447</v>
      </c>
      <c r="G17">
        <f ca="1"/>
        <v>7189.7230852972798</v>
      </c>
      <c r="H17" t="s">
        <v>170</v>
      </c>
      <c r="K17">
        <f t="shared" ca="1" si="2"/>
        <v>55.480635119848216</v>
      </c>
      <c r="L17">
        <f t="shared" ca="1" si="3"/>
        <v>0.23122154955801724</v>
      </c>
      <c r="M17">
        <f t="shared" ca="1" si="4"/>
        <v>5.346340498001062E-2</v>
      </c>
    </row>
    <row r="18" spans="2:15">
      <c r="B18" s="46">
        <f>B13</f>
        <v>1</v>
      </c>
      <c r="C18">
        <f t="shared" ca="1" si="0"/>
        <v>1.112906346647035</v>
      </c>
      <c r="D18">
        <f t="shared" ca="1" si="1"/>
        <v>19.038715947830234</v>
      </c>
      <c r="K18">
        <f t="shared" ca="1" si="2"/>
        <v>19.012760903413255</v>
      </c>
      <c r="L18">
        <f t="shared" ca="1" si="3"/>
        <v>2.399089282809532E-3</v>
      </c>
      <c r="M18">
        <f t="shared" ca="1" si="4"/>
        <v>5.7556293868915548E-6</v>
      </c>
    </row>
    <row r="19" spans="2:15">
      <c r="B19" s="46">
        <f t="shared" ref="B19:B82" si="5">B14</f>
        <v>2</v>
      </c>
      <c r="C19">
        <f t="shared" ca="1" si="0"/>
        <v>1.5548376050432338</v>
      </c>
      <c r="D19">
        <f t="shared" ca="1" si="1"/>
        <v>30.659528879621604</v>
      </c>
      <c r="K19">
        <f t="shared" ca="1" si="2"/>
        <v>23.773417560581411</v>
      </c>
      <c r="L19">
        <f t="shared" ca="1" si="3"/>
        <v>0.63650038891615468</v>
      </c>
      <c r="M19">
        <f t="shared" ca="1" si="4"/>
        <v>0.40513274509041619</v>
      </c>
    </row>
    <row r="20" spans="2:15">
      <c r="B20" s="46">
        <f t="shared" si="5"/>
        <v>3</v>
      </c>
      <c r="C20">
        <f t="shared" ca="1" si="0"/>
        <v>3.1567304094108133</v>
      </c>
      <c r="D20">
        <f t="shared" ca="1" si="1"/>
        <v>39.873785731577804</v>
      </c>
      <c r="K20">
        <f t="shared" ca="1" si="2"/>
        <v>41.029634445664009</v>
      </c>
      <c r="L20">
        <f t="shared" ca="1" si="3"/>
        <v>-0.1068379702212903</v>
      </c>
      <c r="M20">
        <f t="shared" ca="1" si="4"/>
        <v>1.1414351881005312E-2</v>
      </c>
    </row>
    <row r="21" spans="2:15">
      <c r="B21" s="46">
        <f t="shared" si="5"/>
        <v>4</v>
      </c>
      <c r="C21">
        <f t="shared" ca="1" si="0"/>
        <v>4.0617200045941733</v>
      </c>
      <c r="D21">
        <f t="shared" ca="1" si="1"/>
        <v>49.870010433050176</v>
      </c>
      <c r="K21">
        <f t="shared" ca="1" si="2"/>
        <v>50.778536925685174</v>
      </c>
      <c r="L21">
        <f t="shared" ca="1" si="3"/>
        <v>-8.3977362419898852E-2</v>
      </c>
      <c r="M21">
        <f t="shared" ca="1" si="4"/>
        <v>7.0521973990030403E-3</v>
      </c>
    </row>
    <row r="22" spans="2:15">
      <c r="B22" s="46">
        <f t="shared" si="5"/>
        <v>5</v>
      </c>
      <c r="C22">
        <f t="shared" ca="1" si="0"/>
        <v>3.7878149915919996</v>
      </c>
      <c r="D22">
        <f t="shared" ca="1" si="1"/>
        <v>59.211475526574119</v>
      </c>
      <c r="K22">
        <f t="shared" ca="1" si="2"/>
        <v>47.827924813944712</v>
      </c>
      <c r="L22">
        <f t="shared" ca="1" si="3"/>
        <v>1.0522098932384534</v>
      </c>
      <c r="M22">
        <f t="shared" ca="1" si="4"/>
        <v>1.1071456594288775</v>
      </c>
    </row>
    <row r="23" spans="2:15">
      <c r="B23" s="46">
        <f t="shared" si="5"/>
        <v>1</v>
      </c>
      <c r="C23">
        <f t="shared" ca="1" si="0"/>
        <v>0.23111234033898453</v>
      </c>
      <c r="D23">
        <f t="shared" ca="1" si="1"/>
        <v>20.024445340058339</v>
      </c>
      <c r="K23">
        <f t="shared" ca="1" si="2"/>
        <v>9.513730394424238</v>
      </c>
      <c r="L23">
        <f t="shared" ca="1" si="3"/>
        <v>0.97153151332084875</v>
      </c>
      <c r="M23">
        <f t="shared" ca="1" si="4"/>
        <v>0.94387348137549854</v>
      </c>
    </row>
    <row r="24" spans="2:15">
      <c r="B24" s="46">
        <f t="shared" si="5"/>
        <v>2</v>
      </c>
      <c r="C24">
        <f t="shared" ca="1" si="0"/>
        <v>2.7678521901535915</v>
      </c>
      <c r="D24">
        <f t="shared" ca="1" si="1"/>
        <v>31.215452420881633</v>
      </c>
      <c r="K24">
        <f t="shared" ca="1" si="2"/>
        <v>36.840485911448184</v>
      </c>
      <c r="L24">
        <f t="shared" ca="1" si="3"/>
        <v>-0.51993583003985522</v>
      </c>
      <c r="M24">
        <f t="shared" ca="1" si="4"/>
        <v>0.27033326735923319</v>
      </c>
      <c r="O24" s="59" t="s">
        <v>185</v>
      </c>
    </row>
    <row r="25" spans="2:15">
      <c r="B25" s="46">
        <f t="shared" si="5"/>
        <v>3</v>
      </c>
      <c r="C25">
        <f t="shared" ca="1" si="0"/>
        <v>4.6665874851766258</v>
      </c>
      <c r="D25">
        <f t="shared" ca="1" si="1"/>
        <v>40.123750561387041</v>
      </c>
      <c r="K25">
        <f t="shared" ca="1" si="2"/>
        <v>57.294406404095781</v>
      </c>
      <c r="L25">
        <f t="shared" ca="1" si="3"/>
        <v>-1.587126407847977</v>
      </c>
      <c r="M25">
        <f t="shared" ca="1" si="4"/>
        <v>2.5189702344884228</v>
      </c>
    </row>
    <row r="26" spans="2:15">
      <c r="B26" s="46">
        <f t="shared" si="5"/>
        <v>4</v>
      </c>
      <c r="C26">
        <f t="shared" ca="1" si="0"/>
        <v>4.2982254142546301</v>
      </c>
      <c r="D26">
        <f t="shared" ca="1" si="1"/>
        <v>50.219671903629923</v>
      </c>
      <c r="K26">
        <f t="shared" ca="1" si="2"/>
        <v>53.32626585765162</v>
      </c>
      <c r="L26">
        <f t="shared" ca="1" si="3"/>
        <v>-0.28715020253477314</v>
      </c>
      <c r="M26">
        <f t="shared" ca="1" si="4"/>
        <v>8.2455238815761236E-2</v>
      </c>
    </row>
    <row r="27" spans="2:15">
      <c r="B27" s="46">
        <f t="shared" si="5"/>
        <v>5</v>
      </c>
      <c r="C27">
        <f t="shared" ca="1" si="0"/>
        <v>3.8460963704090538</v>
      </c>
      <c r="D27">
        <f t="shared" ca="1" si="1"/>
        <v>59.515295956444589</v>
      </c>
      <c r="K27">
        <f t="shared" ca="1" si="2"/>
        <v>48.455754660290637</v>
      </c>
      <c r="L27">
        <f t="shared" ca="1" si="3"/>
        <v>1.0222608973474214</v>
      </c>
      <c r="M27">
        <f t="shared" ca="1" si="4"/>
        <v>1.0450173422455553</v>
      </c>
    </row>
    <row r="28" spans="2:15">
      <c r="B28" s="46">
        <f t="shared" si="5"/>
        <v>1</v>
      </c>
      <c r="C28">
        <f t="shared" ca="1" si="0"/>
        <v>0.91009509943400657</v>
      </c>
      <c r="D28">
        <f t="shared" ca="1" si="1"/>
        <v>20.639891173142406</v>
      </c>
      <c r="K28">
        <f t="shared" ca="1" si="2"/>
        <v>16.827998690174017</v>
      </c>
      <c r="L28">
        <f t="shared" ca="1" si="3"/>
        <v>0.35234269902190996</v>
      </c>
      <c r="M28">
        <f t="shared" ca="1" si="4"/>
        <v>0.12414537755404423</v>
      </c>
    </row>
    <row r="29" spans="2:15">
      <c r="B29" s="46">
        <f t="shared" si="5"/>
        <v>2</v>
      </c>
      <c r="C29">
        <f t="shared" ca="1" si="0"/>
        <v>1.1082511406079103</v>
      </c>
      <c r="D29">
        <f t="shared" ca="1" si="1"/>
        <v>29.826314904075566</v>
      </c>
      <c r="K29">
        <f t="shared" ca="1" si="2"/>
        <v>18.962613200123208</v>
      </c>
      <c r="L29">
        <f t="shared" ca="1" si="3"/>
        <v>1.0041589569595524</v>
      </c>
      <c r="M29">
        <f t="shared" ca="1" si="4"/>
        <v>1.0083352108420962</v>
      </c>
    </row>
    <row r="30" spans="2:15">
      <c r="B30" s="46">
        <f t="shared" si="5"/>
        <v>3</v>
      </c>
      <c r="C30">
        <f t="shared" ca="1" si="0"/>
        <v>1.4810154721918916</v>
      </c>
      <c r="D30">
        <f t="shared" ca="1" si="1"/>
        <v>40.83422330457762</v>
      </c>
      <c r="K30">
        <f t="shared" ca="1" si="2"/>
        <v>22.978176623154845</v>
      </c>
      <c r="L30">
        <f t="shared" ca="1" si="3"/>
        <v>1.6504787870340079</v>
      </c>
      <c r="M30">
        <f t="shared" ca="1" si="4"/>
        <v>2.7240802264492499</v>
      </c>
    </row>
    <row r="31" spans="2:15">
      <c r="B31" s="46">
        <f t="shared" si="5"/>
        <v>4</v>
      </c>
      <c r="C31">
        <f t="shared" ca="1" si="0"/>
        <v>4.1344292588173008</v>
      </c>
      <c r="D31">
        <f t="shared" ca="1" si="1"/>
        <v>48.067531815845634</v>
      </c>
      <c r="K31">
        <f t="shared" ca="1" si="2"/>
        <v>51.561789498520248</v>
      </c>
      <c r="L31">
        <f t="shared" ca="1" si="3"/>
        <v>-0.32298292475260987</v>
      </c>
      <c r="M31">
        <f t="shared" ca="1" si="4"/>
        <v>0.10431796968175004</v>
      </c>
    </row>
    <row r="32" spans="2:15">
      <c r="B32" s="46">
        <f t="shared" si="5"/>
        <v>5</v>
      </c>
      <c r="C32">
        <f t="shared" ca="1" si="0"/>
        <v>3.3863842152400383</v>
      </c>
      <c r="D32">
        <f t="shared" ca="1" si="1"/>
        <v>61.166288982530808</v>
      </c>
      <c r="K32">
        <f t="shared" ca="1" si="2"/>
        <v>43.50355521680968</v>
      </c>
      <c r="L32">
        <f t="shared" ca="1" si="3"/>
        <v>1.6326103936366492</v>
      </c>
      <c r="M32">
        <f t="shared" ca="1" si="4"/>
        <v>2.6654166974104148</v>
      </c>
    </row>
    <row r="33" spans="2:13">
      <c r="B33" s="46">
        <f t="shared" si="5"/>
        <v>1</v>
      </c>
      <c r="C33">
        <f t="shared" ca="1" si="0"/>
        <v>1.3108157853958167</v>
      </c>
      <c r="D33">
        <f t="shared" ca="1" si="1"/>
        <v>20.653719948729581</v>
      </c>
      <c r="K33">
        <f t="shared" ca="1" si="2"/>
        <v>21.144718915424075</v>
      </c>
      <c r="L33">
        <f t="shared" ca="1" si="3"/>
        <v>-4.5384255173794658E-2</v>
      </c>
      <c r="M33">
        <f t="shared" ca="1" si="4"/>
        <v>2.0597306176801072E-3</v>
      </c>
    </row>
    <row r="34" spans="2:13">
      <c r="B34" s="46">
        <f t="shared" si="5"/>
        <v>2</v>
      </c>
      <c r="C34">
        <f t="shared" ca="1" si="0"/>
        <v>0.67094787580781157</v>
      </c>
      <c r="D34">
        <f t="shared" ca="1" si="1"/>
        <v>31.510517731572612</v>
      </c>
      <c r="K34">
        <f t="shared" ca="1" si="2"/>
        <v>14.251811103147428</v>
      </c>
      <c r="L34">
        <f t="shared" ca="1" si="3"/>
        <v>1.5952651608765442</v>
      </c>
      <c r="M34">
        <f t="shared" ca="1" si="4"/>
        <v>2.5448709335064668</v>
      </c>
    </row>
    <row r="35" spans="2:13">
      <c r="B35" s="46">
        <f t="shared" si="5"/>
        <v>3</v>
      </c>
      <c r="C35">
        <f t="shared" ca="1" si="0"/>
        <v>2.1194583761080765</v>
      </c>
      <c r="D35">
        <f t="shared" ca="1" si="1"/>
        <v>39.13178800875469</v>
      </c>
      <c r="K35">
        <f t="shared" ca="1" si="2"/>
        <v>29.855733716039815</v>
      </c>
      <c r="L35">
        <f t="shared" ca="1" si="3"/>
        <v>0.85740875965730545</v>
      </c>
      <c r="M35">
        <f t="shared" ca="1" si="4"/>
        <v>0.73514978113707896</v>
      </c>
    </row>
    <row r="36" spans="2:13">
      <c r="B36" s="46">
        <f t="shared" si="5"/>
        <v>4</v>
      </c>
      <c r="C36">
        <f t="shared" ca="1" si="0"/>
        <v>3.5373898460968722</v>
      </c>
      <c r="D36">
        <f t="shared" ca="1" si="1"/>
        <v>49.844456900557191</v>
      </c>
      <c r="K36">
        <f t="shared" ca="1" si="2"/>
        <v>45.130247034033367</v>
      </c>
      <c r="L36">
        <f t="shared" ca="1" si="3"/>
        <v>0.43574613805299617</v>
      </c>
      <c r="M36">
        <f t="shared" ca="1" si="4"/>
        <v>0.18987469682810079</v>
      </c>
    </row>
    <row r="37" spans="2:13">
      <c r="B37" s="46">
        <f t="shared" si="5"/>
        <v>5</v>
      </c>
      <c r="C37">
        <f t="shared" ca="1" si="0"/>
        <v>3.1632222002855364</v>
      </c>
      <c r="D37">
        <f t="shared" ca="1" si="1"/>
        <v>59.654438041371051</v>
      </c>
      <c r="K37">
        <f t="shared" ca="1" si="2"/>
        <v>41.099566560348201</v>
      </c>
      <c r="L37">
        <f t="shared" ca="1" si="3"/>
        <v>1.7150729006231706</v>
      </c>
      <c r="M37">
        <f t="shared" ca="1" si="4"/>
        <v>2.9414750544519763</v>
      </c>
    </row>
    <row r="38" spans="2:13">
      <c r="B38" s="46">
        <f t="shared" si="5"/>
        <v>1</v>
      </c>
      <c r="C38">
        <f t="shared" ca="1" si="0"/>
        <v>1.6821169642184737</v>
      </c>
      <c r="D38">
        <f t="shared" ca="1" si="1"/>
        <v>19.844283260502927</v>
      </c>
      <c r="K38">
        <f t="shared" ca="1" si="2"/>
        <v>25.144520683670464</v>
      </c>
      <c r="L38">
        <f t="shared" ca="1" si="3"/>
        <v>-0.4899141220482503</v>
      </c>
      <c r="M38">
        <f t="shared" ca="1" si="4"/>
        <v>0.24001584698230788</v>
      </c>
    </row>
    <row r="39" spans="2:13">
      <c r="B39" s="46">
        <f t="shared" si="5"/>
        <v>2</v>
      </c>
      <c r="C39">
        <f t="shared" ca="1" si="0"/>
        <v>2.4809744858857852</v>
      </c>
      <c r="D39">
        <f t="shared" ca="1" si="1"/>
        <v>29.96820325876201</v>
      </c>
      <c r="K39">
        <f t="shared" ca="1" si="2"/>
        <v>33.750126886897689</v>
      </c>
      <c r="L39">
        <f t="shared" ca="1" si="3"/>
        <v>-0.3495726032635611</v>
      </c>
      <c r="M39">
        <f t="shared" ca="1" si="4"/>
        <v>0.12220100495246308</v>
      </c>
    </row>
    <row r="40" spans="2:13">
      <c r="B40" s="46">
        <f t="shared" si="5"/>
        <v>3</v>
      </c>
      <c r="C40">
        <f t="shared" ca="1" si="0"/>
        <v>5.0467510979810113</v>
      </c>
      <c r="D40">
        <f t="shared" ca="1" si="1"/>
        <v>40.551370592123085</v>
      </c>
      <c r="K40">
        <f t="shared" ca="1" si="2"/>
        <v>61.389677783355751</v>
      </c>
      <c r="L40">
        <f t="shared" ca="1" si="3"/>
        <v>-1.9261365402124537</v>
      </c>
      <c r="M40">
        <f t="shared" ca="1" si="4"/>
        <v>3.7100019715416015</v>
      </c>
    </row>
    <row r="41" spans="2:13">
      <c r="B41" s="46">
        <f t="shared" si="5"/>
        <v>4</v>
      </c>
      <c r="C41">
        <f t="shared" ca="1" si="0"/>
        <v>3.8477350234666332</v>
      </c>
      <c r="D41">
        <f t="shared" ca="1" si="1"/>
        <v>49.304199656698806</v>
      </c>
      <c r="K41">
        <f t="shared" ca="1" si="2"/>
        <v>48.473406873025411</v>
      </c>
      <c r="L41">
        <f t="shared" ca="1" si="3"/>
        <v>7.6792242445269762E-2</v>
      </c>
      <c r="M41">
        <f t="shared" ca="1" si="4"/>
        <v>5.8970484997730912E-3</v>
      </c>
    </row>
    <row r="42" spans="2:13">
      <c r="B42" s="46">
        <f t="shared" si="5"/>
        <v>5</v>
      </c>
      <c r="C42">
        <f t="shared" ca="1" si="0"/>
        <v>4.0704090061570808</v>
      </c>
      <c r="D42">
        <f t="shared" ca="1" si="1"/>
        <v>60.134624349183284</v>
      </c>
      <c r="K42">
        <f t="shared" ca="1" si="2"/>
        <v>50.87213825473512</v>
      </c>
      <c r="L42">
        <f t="shared" ca="1" si="3"/>
        <v>0.85615461735934784</v>
      </c>
      <c r="M42">
        <f t="shared" ca="1" si="4"/>
        <v>0.73300072882573131</v>
      </c>
    </row>
    <row r="43" spans="2:13">
      <c r="B43" s="46">
        <f t="shared" si="5"/>
        <v>1</v>
      </c>
      <c r="C43">
        <f t="shared" ca="1" si="0"/>
        <v>1.7124990008905498</v>
      </c>
      <c r="D43">
        <f t="shared" ca="1" si="1"/>
        <v>19.966636563761405</v>
      </c>
      <c r="K43">
        <f t="shared" ca="1" si="2"/>
        <v>25.471807885906735</v>
      </c>
      <c r="L43">
        <f t="shared" ca="1" si="3"/>
        <v>-0.50885667182097893</v>
      </c>
      <c r="M43">
        <f t="shared" ca="1" si="4"/>
        <v>0.25893511245672346</v>
      </c>
    </row>
    <row r="44" spans="2:13">
      <c r="B44" s="46">
        <f t="shared" si="5"/>
        <v>2</v>
      </c>
      <c r="C44">
        <f t="shared" ca="1" si="0"/>
        <v>2.3627988612657504</v>
      </c>
      <c r="D44">
        <f t="shared" ca="1" si="1"/>
        <v>30.367080226827674</v>
      </c>
      <c r="K44">
        <f t="shared" ca="1" si="2"/>
        <v>32.477092759137484</v>
      </c>
      <c r="L44">
        <f t="shared" ca="1" si="3"/>
        <v>-0.19503370410520013</v>
      </c>
      <c r="M44">
        <f t="shared" ca="1" si="4"/>
        <v>3.8038145736994759E-2</v>
      </c>
    </row>
    <row r="45" spans="2:13">
      <c r="B45" s="46">
        <f t="shared" si="5"/>
        <v>3</v>
      </c>
      <c r="C45">
        <f t="shared" ref="C45:C76" ca="1" si="6">B45+_xlfn.NORM.INV(RAND(),0,sigmaX)</f>
        <v>3.1597618859985559</v>
      </c>
      <c r="D45">
        <f t="shared" ref="D45:D76" ca="1" si="7">beta0+beta1*B45+_xlfn.NORM.INV(RAND(),0,sigmaY)</f>
        <v>39.75325896580128</v>
      </c>
      <c r="K45">
        <f t="shared" ca="1" si="2"/>
        <v>41.062290699152072</v>
      </c>
      <c r="L45">
        <f t="shared" ca="1" si="3"/>
        <v>-0.12099705752324395</v>
      </c>
      <c r="M45">
        <f t="shared" ca="1" si="4"/>
        <v>1.4640287929283206E-2</v>
      </c>
    </row>
    <row r="46" spans="2:13">
      <c r="B46" s="46">
        <f t="shared" si="5"/>
        <v>4</v>
      </c>
      <c r="C46">
        <f t="shared" ca="1" si="6"/>
        <v>6.1953743906150258</v>
      </c>
      <c r="D46">
        <f t="shared" ca="1" si="7"/>
        <v>50.451523958008494</v>
      </c>
      <c r="K46">
        <f t="shared" ca="1" si="2"/>
        <v>73.76309790417055</v>
      </c>
      <c r="L46">
        <f t="shared" ca="1" si="3"/>
        <v>-2.1547467352078749</v>
      </c>
      <c r="M46">
        <f t="shared" ca="1" si="4"/>
        <v>4.6429334928889956</v>
      </c>
    </row>
    <row r="47" spans="2:13">
      <c r="B47" s="46">
        <f t="shared" si="5"/>
        <v>5</v>
      </c>
      <c r="C47">
        <f t="shared" ca="1" si="6"/>
        <v>3.9268581087164325</v>
      </c>
      <c r="D47">
        <f t="shared" ca="1" si="7"/>
        <v>60.680264009846937</v>
      </c>
      <c r="K47">
        <f t="shared" ca="1" si="2"/>
        <v>49.325751746518023</v>
      </c>
      <c r="L47">
        <f t="shared" ca="1" si="3"/>
        <v>1.0495257971765468</v>
      </c>
      <c r="M47">
        <f t="shared" ca="1" si="4"/>
        <v>1.101504398939066</v>
      </c>
    </row>
    <row r="48" spans="2:13">
      <c r="B48" s="46">
        <f t="shared" si="5"/>
        <v>1</v>
      </c>
      <c r="C48">
        <f t="shared" ca="1" si="6"/>
        <v>1.1216928275749536</v>
      </c>
      <c r="D48">
        <f t="shared" ca="1" si="7"/>
        <v>19.453080506003367</v>
      </c>
      <c r="K48">
        <f t="shared" ca="1" si="2"/>
        <v>19.107412318373985</v>
      </c>
      <c r="L48">
        <f t="shared" ca="1" si="3"/>
        <v>3.1950969955087921E-2</v>
      </c>
      <c r="M48">
        <f t="shared" ca="1" si="4"/>
        <v>1.0208644810709309E-3</v>
      </c>
    </row>
    <row r="49" spans="2:13">
      <c r="B49" s="46">
        <f t="shared" si="5"/>
        <v>2</v>
      </c>
      <c r="C49">
        <f t="shared" ca="1" si="6"/>
        <v>2.3284462183816639</v>
      </c>
      <c r="D49">
        <f t="shared" ca="1" si="7"/>
        <v>29.423696208518553</v>
      </c>
      <c r="K49">
        <f t="shared" ca="1" si="2"/>
        <v>32.107032631164302</v>
      </c>
      <c r="L49">
        <f t="shared" ca="1" si="3"/>
        <v>-0.24802745664079107</v>
      </c>
      <c r="M49">
        <f t="shared" ca="1" si="4"/>
        <v>6.1517619247699495E-2</v>
      </c>
    </row>
    <row r="50" spans="2:13">
      <c r="B50" s="46">
        <f t="shared" si="5"/>
        <v>3</v>
      </c>
      <c r="C50">
        <f t="shared" ca="1" si="6"/>
        <v>3.9875472898729183</v>
      </c>
      <c r="D50">
        <f t="shared" ca="1" si="7"/>
        <v>39.57703517701313</v>
      </c>
      <c r="K50">
        <f t="shared" ca="1" si="2"/>
        <v>49.979519383003442</v>
      </c>
      <c r="L50">
        <f t="shared" ca="1" si="3"/>
        <v>-0.96152747698099528</v>
      </c>
      <c r="M50">
        <f t="shared" ca="1" si="4"/>
        <v>0.92453508898943837</v>
      </c>
    </row>
    <row r="51" spans="2:13">
      <c r="B51" s="46">
        <f t="shared" si="5"/>
        <v>4</v>
      </c>
      <c r="C51">
        <f t="shared" ca="1" si="6"/>
        <v>5.0411384729083908</v>
      </c>
      <c r="D51">
        <f t="shared" ca="1" si="7"/>
        <v>49.590620771120022</v>
      </c>
      <c r="K51">
        <f t="shared" ca="1" si="2"/>
        <v>61.329216387135155</v>
      </c>
      <c r="L51">
        <f t="shared" ca="1" si="3"/>
        <v>-1.0850275763425383</v>
      </c>
      <c r="M51">
        <f t="shared" ca="1" si="4"/>
        <v>1.1772848414237629</v>
      </c>
    </row>
    <row r="52" spans="2:13">
      <c r="B52" s="46">
        <f t="shared" si="5"/>
        <v>5</v>
      </c>
      <c r="C52">
        <f t="shared" ca="1" si="6"/>
        <v>5.6346750626380837</v>
      </c>
      <c r="D52">
        <f t="shared" ca="1" si="7"/>
        <v>59.538368207422103</v>
      </c>
      <c r="K52">
        <f t="shared" ca="1" si="2"/>
        <v>67.723025070014813</v>
      </c>
      <c r="L52">
        <f t="shared" ca="1" si="3"/>
        <v>-0.75652818184642057</v>
      </c>
      <c r="M52">
        <f t="shared" ca="1" si="4"/>
        <v>0.57233488992785075</v>
      </c>
    </row>
    <row r="53" spans="2:13">
      <c r="B53" s="46">
        <f t="shared" si="5"/>
        <v>1</v>
      </c>
      <c r="C53">
        <f t="shared" ca="1" si="6"/>
        <v>2.4073207749613665</v>
      </c>
      <c r="D53">
        <f t="shared" ca="1" si="7"/>
        <v>20.386340677385711</v>
      </c>
      <c r="K53">
        <f t="shared" ca="1" si="2"/>
        <v>32.956700256453004</v>
      </c>
      <c r="L53">
        <f t="shared" ca="1" si="3"/>
        <v>-1.1619095873122556</v>
      </c>
      <c r="M53">
        <f t="shared" ca="1" si="4"/>
        <v>1.350033889088136</v>
      </c>
    </row>
    <row r="54" spans="2:13">
      <c r="B54" s="46">
        <f t="shared" si="5"/>
        <v>2</v>
      </c>
      <c r="C54">
        <f t="shared" ca="1" si="6"/>
        <v>1.8477342014998641</v>
      </c>
      <c r="D54">
        <f t="shared" ca="1" si="7"/>
        <v>29.5440377130526</v>
      </c>
      <c r="K54">
        <f t="shared" ca="1" si="2"/>
        <v>26.928614449897321</v>
      </c>
      <c r="L54">
        <f t="shared" ca="1" si="3"/>
        <v>0.24175007446884067</v>
      </c>
      <c r="M54">
        <f t="shared" ca="1" si="4"/>
        <v>5.844309850569001E-2</v>
      </c>
    </row>
    <row r="55" spans="2:13">
      <c r="B55" s="46">
        <f t="shared" si="5"/>
        <v>3</v>
      </c>
      <c r="C55">
        <f t="shared" ca="1" si="6"/>
        <v>3.4203876224119503</v>
      </c>
      <c r="D55">
        <f t="shared" ca="1" si="7"/>
        <v>40.126278515066886</v>
      </c>
      <c r="K55">
        <f t="shared" ca="1" si="2"/>
        <v>43.869853240866256</v>
      </c>
      <c r="L55">
        <f t="shared" ca="1" si="3"/>
        <v>-0.34602791888065293</v>
      </c>
      <c r="M55">
        <f t="shared" ca="1" si="4"/>
        <v>0.11973532064487573</v>
      </c>
    </row>
    <row r="56" spans="2:13">
      <c r="B56" s="46">
        <f t="shared" si="5"/>
        <v>4</v>
      </c>
      <c r="C56">
        <f t="shared" ca="1" si="6"/>
        <v>4.2009618751024007</v>
      </c>
      <c r="D56">
        <f t="shared" ca="1" si="7"/>
        <v>50.378706420919542</v>
      </c>
      <c r="K56">
        <f t="shared" ca="1" si="2"/>
        <v>52.278504907577179</v>
      </c>
      <c r="L56">
        <f t="shared" ca="1" si="3"/>
        <v>-0.17560309724828169</v>
      </c>
      <c r="M56">
        <f t="shared" ca="1" si="4"/>
        <v>3.0836447763189476E-2</v>
      </c>
    </row>
    <row r="57" spans="2:13">
      <c r="B57" s="46">
        <f t="shared" si="5"/>
        <v>5</v>
      </c>
      <c r="C57">
        <f t="shared" ca="1" si="6"/>
        <v>6.0253942498090503</v>
      </c>
      <c r="D57">
        <f t="shared" ca="1" si="7"/>
        <v>59.91447146113628</v>
      </c>
      <c r="K57">
        <f t="shared" ca="1" si="2"/>
        <v>71.932005231859804</v>
      </c>
      <c r="L57">
        <f t="shared" ca="1" si="3"/>
        <v>-1.1108105234558872</v>
      </c>
      <c r="M57">
        <f t="shared" ca="1" si="4"/>
        <v>1.233900019020342</v>
      </c>
    </row>
    <row r="58" spans="2:13">
      <c r="B58" s="46">
        <f t="shared" si="5"/>
        <v>1</v>
      </c>
      <c r="C58">
        <f t="shared" ca="1" si="6"/>
        <v>-0.64128929572455706</v>
      </c>
      <c r="D58">
        <f t="shared" ca="1" si="7"/>
        <v>20.619004043174332</v>
      </c>
      <c r="K58">
        <f t="shared" ca="1" si="2"/>
        <v>0.11587817749217866</v>
      </c>
      <c r="L58">
        <f t="shared" ca="1" si="3"/>
        <v>1.8951548969909107</v>
      </c>
      <c r="M58">
        <f t="shared" ca="1" si="4"/>
        <v>3.5916120835886294</v>
      </c>
    </row>
    <row r="59" spans="2:13">
      <c r="B59" s="46">
        <f t="shared" si="5"/>
        <v>2</v>
      </c>
      <c r="C59">
        <f t="shared" ca="1" si="6"/>
        <v>2.7420173004955757</v>
      </c>
      <c r="D59">
        <f t="shared" ca="1" si="7"/>
        <v>30.621011964545151</v>
      </c>
      <c r="K59">
        <f t="shared" ca="1" si="2"/>
        <v>36.562182358348132</v>
      </c>
      <c r="L59">
        <f t="shared" ca="1" si="3"/>
        <v>-0.54915714996019349</v>
      </c>
      <c r="M59">
        <f t="shared" ca="1" si="4"/>
        <v>0.30157357535240242</v>
      </c>
    </row>
    <row r="60" spans="2:13">
      <c r="B60" s="46">
        <f t="shared" si="5"/>
        <v>3</v>
      </c>
      <c r="C60">
        <f t="shared" ca="1" si="6"/>
        <v>4.1172123932609592</v>
      </c>
      <c r="D60">
        <f t="shared" ca="1" si="7"/>
        <v>40.578403628695114</v>
      </c>
      <c r="K60">
        <f t="shared" ca="1" si="2"/>
        <v>51.376322677449885</v>
      </c>
      <c r="L60">
        <f t="shared" ca="1" si="3"/>
        <v>-0.998078502596082</v>
      </c>
      <c r="M60">
        <f t="shared" ca="1" si="4"/>
        <v>0.99616069734443724</v>
      </c>
    </row>
    <row r="61" spans="2:13">
      <c r="B61" s="46">
        <f t="shared" si="5"/>
        <v>4</v>
      </c>
      <c r="C61">
        <f t="shared" ca="1" si="6"/>
        <v>4.6216505766268883</v>
      </c>
      <c r="D61">
        <f t="shared" ca="1" si="7"/>
        <v>51.409026052587109</v>
      </c>
      <c r="K61">
        <f t="shared" ca="1" si="2"/>
        <v>56.810328419623197</v>
      </c>
      <c r="L61">
        <f t="shared" ca="1" si="3"/>
        <v>-0.49925580606957221</v>
      </c>
      <c r="M61">
        <f t="shared" ca="1" si="4"/>
        <v>0.2492563598941783</v>
      </c>
    </row>
    <row r="62" spans="2:13">
      <c r="B62" s="46">
        <f t="shared" si="5"/>
        <v>5</v>
      </c>
      <c r="C62">
        <f t="shared" ca="1" si="6"/>
        <v>6.3620923907093019</v>
      </c>
      <c r="D62">
        <f t="shared" ca="1" si="7"/>
        <v>58.618826591205149</v>
      </c>
      <c r="K62">
        <f t="shared" ca="1" si="2"/>
        <v>75.559049518679387</v>
      </c>
      <c r="L62">
        <f t="shared" ca="1" si="3"/>
        <v>-1.5658269206090332</v>
      </c>
      <c r="M62">
        <f t="shared" ca="1" si="4"/>
        <v>2.4518139453039676</v>
      </c>
    </row>
    <row r="63" spans="2:13">
      <c r="B63" s="46">
        <f t="shared" si="5"/>
        <v>1</v>
      </c>
      <c r="C63">
        <f t="shared" ca="1" si="6"/>
        <v>2.3875671996697232</v>
      </c>
      <c r="D63">
        <f t="shared" ca="1" si="7"/>
        <v>19.898851303465324</v>
      </c>
      <c r="K63">
        <f t="shared" ca="1" si="2"/>
        <v>32.743907004270952</v>
      </c>
      <c r="L63">
        <f t="shared" ca="1" si="3"/>
        <v>-1.1873004327719801</v>
      </c>
      <c r="M63">
        <f t="shared" ca="1" si="4"/>
        <v>1.4096823176605311</v>
      </c>
    </row>
    <row r="64" spans="2:13">
      <c r="B64" s="46">
        <f t="shared" si="5"/>
        <v>2</v>
      </c>
      <c r="C64">
        <f t="shared" ca="1" si="6"/>
        <v>1.960078130485372</v>
      </c>
      <c r="D64">
        <f t="shared" ca="1" si="7"/>
        <v>28.138248258000811</v>
      </c>
      <c r="K64">
        <f t="shared" ca="1" si="2"/>
        <v>28.138827267515669</v>
      </c>
      <c r="L64">
        <f t="shared" ca="1" si="3"/>
        <v>-5.3519288945340026E-5</v>
      </c>
      <c r="M64">
        <f t="shared" ca="1" si="4"/>
        <v>2.864314289214795E-9</v>
      </c>
    </row>
    <row r="65" spans="2:13">
      <c r="B65" s="46">
        <f t="shared" si="5"/>
        <v>3</v>
      </c>
      <c r="C65">
        <f t="shared" ca="1" si="6"/>
        <v>3.3075757893915037</v>
      </c>
      <c r="D65">
        <f t="shared" ca="1" si="7"/>
        <v>39.518111241941</v>
      </c>
      <c r="K65">
        <f t="shared" ca="1" si="2"/>
        <v>42.654599977666102</v>
      </c>
      <c r="L65">
        <f t="shared" ca="1" si="3"/>
        <v>-0.28991345152962567</v>
      </c>
      <c r="M65">
        <f t="shared" ca="1" si="4"/>
        <v>8.4049809377820611E-2</v>
      </c>
    </row>
    <row r="66" spans="2:13">
      <c r="B66" s="46">
        <f t="shared" si="5"/>
        <v>4</v>
      </c>
      <c r="C66">
        <f t="shared" ca="1" si="6"/>
        <v>3.3467499169591148</v>
      </c>
      <c r="D66">
        <f t="shared" ca="1" si="7"/>
        <v>49.008698603297212</v>
      </c>
      <c r="K66">
        <f t="shared" ca="1" si="2"/>
        <v>43.076599027632163</v>
      </c>
      <c r="L66">
        <f t="shared" ca="1" si="3"/>
        <v>0.54831871168856439</v>
      </c>
      <c r="M66">
        <f t="shared" ca="1" si="4"/>
        <v>0.30065340958780701</v>
      </c>
    </row>
    <row r="67" spans="2:13">
      <c r="B67" s="46">
        <f t="shared" si="5"/>
        <v>5</v>
      </c>
      <c r="C67">
        <f t="shared" ca="1" si="6"/>
        <v>4.6857045418921359</v>
      </c>
      <c r="D67">
        <f t="shared" ca="1" si="7"/>
        <v>59.569627567665393</v>
      </c>
      <c r="K67">
        <f t="shared" ca="1" si="2"/>
        <v>57.500342828797748</v>
      </c>
      <c r="L67">
        <f t="shared" ca="1" si="3"/>
        <v>0.19126913290316958</v>
      </c>
      <c r="M67">
        <f t="shared" ca="1" si="4"/>
        <v>3.6583881201530347E-2</v>
      </c>
    </row>
    <row r="68" spans="2:13">
      <c r="B68" s="46">
        <f t="shared" si="5"/>
        <v>1</v>
      </c>
      <c r="C68">
        <f t="shared" ca="1" si="6"/>
        <v>1.9129125086864196</v>
      </c>
      <c r="D68">
        <f t="shared" ca="1" si="7"/>
        <v>21.346152152699869</v>
      </c>
      <c r="K68">
        <f t="shared" ca="1" si="2"/>
        <v>27.630740710747702</v>
      </c>
      <c r="L68">
        <f t="shared" ca="1" si="3"/>
        <v>-0.58090014466002171</v>
      </c>
      <c r="M68">
        <f t="shared" ca="1" si="4"/>
        <v>0.33744497806603413</v>
      </c>
    </row>
    <row r="69" spans="2:13">
      <c r="B69" s="46">
        <f t="shared" si="5"/>
        <v>2</v>
      </c>
      <c r="C69">
        <f t="shared" ca="1" si="6"/>
        <v>3.8532587431842686</v>
      </c>
      <c r="D69">
        <f t="shared" ca="1" si="7"/>
        <v>29.004084006882607</v>
      </c>
      <c r="K69">
        <f t="shared" ca="1" si="2"/>
        <v>48.532910545930385</v>
      </c>
      <c r="L69">
        <f t="shared" ca="1" si="3"/>
        <v>-1.8050979880053084</v>
      </c>
      <c r="M69">
        <f t="shared" ca="1" si="4"/>
        <v>3.2583787463008127</v>
      </c>
    </row>
    <row r="70" spans="2:13">
      <c r="B70" s="46">
        <f t="shared" si="5"/>
        <v>3</v>
      </c>
      <c r="C70">
        <f t="shared" ca="1" si="6"/>
        <v>3.0929142452631542</v>
      </c>
      <c r="D70">
        <f t="shared" ca="1" si="7"/>
        <v>39.684997629791425</v>
      </c>
      <c r="K70">
        <f t="shared" ca="1" si="2"/>
        <v>40.342181723294857</v>
      </c>
      <c r="L70">
        <f t="shared" ca="1" si="3"/>
        <v>-6.0745159600868667E-2</v>
      </c>
      <c r="M70">
        <f t="shared" ca="1" si="4"/>
        <v>3.6899744149350069E-3</v>
      </c>
    </row>
    <row r="71" spans="2:13">
      <c r="B71" s="46">
        <f t="shared" si="5"/>
        <v>4</v>
      </c>
      <c r="C71">
        <f t="shared" ca="1" si="6"/>
        <v>5.2109772075250271</v>
      </c>
      <c r="D71">
        <f t="shared" ca="1" si="7"/>
        <v>48.82701614786783</v>
      </c>
      <c r="K71">
        <f t="shared" ca="1" si="2"/>
        <v>63.158785776573623</v>
      </c>
      <c r="L71">
        <f t="shared" ca="1" si="3"/>
        <v>-1.3247210972766335</v>
      </c>
      <c r="M71">
        <f t="shared" ca="1" si="4"/>
        <v>1.7548859855698078</v>
      </c>
    </row>
    <row r="72" spans="2:13">
      <c r="B72" s="46">
        <f t="shared" si="5"/>
        <v>5</v>
      </c>
      <c r="C72">
        <f t="shared" ca="1" si="6"/>
        <v>4.703187629808971</v>
      </c>
      <c r="D72">
        <f t="shared" ca="1" si="7"/>
        <v>59.317119473650479</v>
      </c>
      <c r="K72">
        <f t="shared" ca="1" si="2"/>
        <v>57.688677501437084</v>
      </c>
      <c r="L72">
        <f t="shared" ca="1" si="3"/>
        <v>0.15052093999341368</v>
      </c>
      <c r="M72">
        <f t="shared" ca="1" si="4"/>
        <v>2.265655337650084E-2</v>
      </c>
    </row>
    <row r="73" spans="2:13">
      <c r="B73" s="46">
        <f t="shared" si="5"/>
        <v>1</v>
      </c>
      <c r="C73">
        <f t="shared" ca="1" si="6"/>
        <v>0.70642718464033827</v>
      </c>
      <c r="D73">
        <f t="shared" ca="1" si="7"/>
        <v>20.490433063264813</v>
      </c>
      <c r="K73">
        <f t="shared" ca="1" si="2"/>
        <v>14.634008118127227</v>
      </c>
      <c r="L73">
        <f t="shared" ca="1" si="3"/>
        <v>0.54132391745271846</v>
      </c>
      <c r="M73">
        <f t="shared" ca="1" si="4"/>
        <v>0.29303158360635756</v>
      </c>
    </row>
    <row r="74" spans="2:13">
      <c r="B74" s="46">
        <f t="shared" si="5"/>
        <v>2</v>
      </c>
      <c r="C74">
        <f t="shared" ca="1" si="6"/>
        <v>1.7448131556180466</v>
      </c>
      <c r="D74">
        <f t="shared" ca="1" si="7"/>
        <v>29.710075762690128</v>
      </c>
      <c r="K74">
        <f t="shared" ca="1" si="2"/>
        <v>25.819908620809496</v>
      </c>
      <c r="L74">
        <f t="shared" ca="1" si="3"/>
        <v>0.35957782034534308</v>
      </c>
      <c r="M74">
        <f t="shared" ca="1" si="4"/>
        <v>0.12929620888430782</v>
      </c>
    </row>
    <row r="75" spans="2:13">
      <c r="B75" s="46">
        <f t="shared" si="5"/>
        <v>3</v>
      </c>
      <c r="C75">
        <f t="shared" ca="1" si="6"/>
        <v>2.2806742025878108</v>
      </c>
      <c r="D75">
        <f t="shared" ca="1" si="7"/>
        <v>40.609778662434081</v>
      </c>
      <c r="K75">
        <f t="shared" ca="1" si="2"/>
        <v>31.592413760707629</v>
      </c>
      <c r="L75">
        <f t="shared" ca="1" si="3"/>
        <v>0.83349745611544457</v>
      </c>
      <c r="M75">
        <f t="shared" ca="1" si="4"/>
        <v>0.69471800935091743</v>
      </c>
    </row>
    <row r="76" spans="2:13">
      <c r="B76" s="46">
        <f t="shared" si="5"/>
        <v>4</v>
      </c>
      <c r="C76">
        <f t="shared" ca="1" si="6"/>
        <v>5.0139660233566001</v>
      </c>
      <c r="D76">
        <f t="shared" ca="1" si="7"/>
        <v>49.771041385368591</v>
      </c>
      <c r="K76">
        <f t="shared" ca="1" si="2"/>
        <v>61.03650411482441</v>
      </c>
      <c r="L76">
        <f t="shared" ca="1" si="3"/>
        <v>-1.041294727372853</v>
      </c>
      <c r="M76">
        <f t="shared" ca="1" si="4"/>
        <v>1.0842947092545043</v>
      </c>
    </row>
    <row r="77" spans="2:13">
      <c r="B77" s="46">
        <f t="shared" si="5"/>
        <v>5</v>
      </c>
      <c r="C77">
        <f t="shared" ref="C77:C108" ca="1" si="8">B77+_xlfn.NORM.INV(RAND(),0,sigmaX)</f>
        <v>6.1140140803582348</v>
      </c>
      <c r="D77">
        <f t="shared" ref="D77:D112" ca="1" si="9">beta0+beta1*B77+_xlfn.NORM.INV(RAND(),0,sigmaY)</f>
        <v>60.858830781144057</v>
      </c>
      <c r="K77">
        <f t="shared" ca="1" si="2"/>
        <v>72.886652766393013</v>
      </c>
      <c r="L77">
        <f t="shared" ca="1" si="3"/>
        <v>-1.1117614887022058</v>
      </c>
      <c r="M77">
        <f t="shared" ca="1" si="4"/>
        <v>1.2360136077613448</v>
      </c>
    </row>
    <row r="78" spans="2:13">
      <c r="B78" s="46">
        <f t="shared" si="5"/>
        <v>1</v>
      </c>
      <c r="C78">
        <f t="shared" ca="1" si="8"/>
        <v>1.0963534557020336</v>
      </c>
      <c r="D78">
        <f t="shared" ca="1" si="9"/>
        <v>19.998827237632664</v>
      </c>
      <c r="K78">
        <f t="shared" ref="K78:K112" ca="1" si="10">$I$13+$I$14*C78</f>
        <v>18.834446676991071</v>
      </c>
      <c r="L78">
        <f t="shared" ref="L78:L112" ca="1" si="11">(D78-K78)/(SQRT(1+$I$14^2))</f>
        <v>0.10762659000959703</v>
      </c>
      <c r="M78">
        <f t="shared" ref="M78:M112" ca="1" si="12">L78^2</f>
        <v>1.158348287709389E-2</v>
      </c>
    </row>
    <row r="79" spans="2:13">
      <c r="B79" s="46">
        <f t="shared" si="5"/>
        <v>2</v>
      </c>
      <c r="C79">
        <f t="shared" ca="1" si="8"/>
        <v>0.46850282584803282</v>
      </c>
      <c r="D79">
        <f t="shared" ca="1" si="9"/>
        <v>30.454704043779255</v>
      </c>
      <c r="K79">
        <f t="shared" ca="1" si="10"/>
        <v>12.070993710190525</v>
      </c>
      <c r="L79">
        <f t="shared" ca="1" si="11"/>
        <v>1.6992520502387278</v>
      </c>
      <c r="M79">
        <f t="shared" ca="1" si="12"/>
        <v>2.8874575302405199</v>
      </c>
    </row>
    <row r="80" spans="2:13">
      <c r="B80" s="46">
        <f t="shared" si="5"/>
        <v>3</v>
      </c>
      <c r="C80">
        <f t="shared" ca="1" si="8"/>
        <v>1.8026810424833004</v>
      </c>
      <c r="D80">
        <f t="shared" ca="1" si="9"/>
        <v>41.327233808312172</v>
      </c>
      <c r="K80">
        <f t="shared" ca="1" si="10"/>
        <v>26.44328416985098</v>
      </c>
      <c r="L80">
        <f t="shared" ca="1" si="11"/>
        <v>1.3757604683639464</v>
      </c>
      <c r="M80">
        <f t="shared" ca="1" si="12"/>
        <v>1.8927168663129852</v>
      </c>
    </row>
    <row r="81" spans="2:13">
      <c r="B81" s="46">
        <f t="shared" si="5"/>
        <v>4</v>
      </c>
      <c r="C81">
        <f t="shared" ca="1" si="8"/>
        <v>1.9459665454479684</v>
      </c>
      <c r="D81">
        <f t="shared" ca="1" si="9"/>
        <v>49.833866855190237</v>
      </c>
      <c r="K81">
        <f t="shared" ca="1" si="10"/>
        <v>27.986811744795432</v>
      </c>
      <c r="L81">
        <f t="shared" ca="1" si="11"/>
        <v>2.0193776182487233</v>
      </c>
      <c r="M81">
        <f t="shared" ca="1" si="12"/>
        <v>4.0778859650838868</v>
      </c>
    </row>
    <row r="82" spans="2:13">
      <c r="B82" s="46">
        <f t="shared" si="5"/>
        <v>5</v>
      </c>
      <c r="C82">
        <f t="shared" ca="1" si="8"/>
        <v>2.5390231911117422</v>
      </c>
      <c r="D82">
        <f t="shared" ca="1" si="9"/>
        <v>58.609734929879437</v>
      </c>
      <c r="K82">
        <f t="shared" ca="1" si="10"/>
        <v>34.375450282162461</v>
      </c>
      <c r="L82">
        <f t="shared" ca="1" si="11"/>
        <v>2.2400351793218838</v>
      </c>
      <c r="M82">
        <f t="shared" ca="1" si="12"/>
        <v>5.0177576045996242</v>
      </c>
    </row>
    <row r="83" spans="2:13">
      <c r="B83" s="46">
        <f t="shared" ref="B83:B112" si="13">B78</f>
        <v>1</v>
      </c>
      <c r="C83">
        <f t="shared" ca="1" si="8"/>
        <v>0.80430861545340182</v>
      </c>
      <c r="D83">
        <f t="shared" ca="1" si="9"/>
        <v>21.532848186030023</v>
      </c>
      <c r="K83">
        <f t="shared" ca="1" si="10"/>
        <v>15.688425239252421</v>
      </c>
      <c r="L83">
        <f t="shared" ca="1" si="11"/>
        <v>0.54021454290589999</v>
      </c>
      <c r="M83">
        <f t="shared" ca="1" si="12"/>
        <v>0.29183175236703046</v>
      </c>
    </row>
    <row r="84" spans="2:13">
      <c r="B84" s="46">
        <f t="shared" si="13"/>
        <v>2</v>
      </c>
      <c r="C84">
        <f t="shared" ca="1" si="8"/>
        <v>0.8592954972138942</v>
      </c>
      <c r="D84">
        <f t="shared" ca="1" si="9"/>
        <v>28.341357203932759</v>
      </c>
      <c r="K84">
        <f t="shared" ca="1" si="10"/>
        <v>16.280765472572877</v>
      </c>
      <c r="L84">
        <f t="shared" ca="1" si="11"/>
        <v>1.1147904778047515</v>
      </c>
      <c r="M84">
        <f t="shared" ca="1" si="12"/>
        <v>1.242757809404146</v>
      </c>
    </row>
    <row r="85" spans="2:13">
      <c r="B85" s="46">
        <f t="shared" si="13"/>
        <v>3</v>
      </c>
      <c r="C85">
        <f t="shared" ca="1" si="8"/>
        <v>3.3037846040526113</v>
      </c>
      <c r="D85">
        <f t="shared" ca="1" si="9"/>
        <v>38.668117451711758</v>
      </c>
      <c r="K85">
        <f t="shared" ca="1" si="10"/>
        <v>42.613759843868692</v>
      </c>
      <c r="L85">
        <f t="shared" ca="1" si="11"/>
        <v>-0.36470553564649638</v>
      </c>
      <c r="M85">
        <f t="shared" ca="1" si="12"/>
        <v>0.13301012773119783</v>
      </c>
    </row>
    <row r="86" spans="2:13">
      <c r="B86" s="46">
        <f t="shared" si="13"/>
        <v>4</v>
      </c>
      <c r="C86">
        <f t="shared" ca="1" si="8"/>
        <v>4.0967277537543314</v>
      </c>
      <c r="D86">
        <f t="shared" ca="1" si="9"/>
        <v>48.555072992321243</v>
      </c>
      <c r="K86">
        <f t="shared" ca="1" si="10"/>
        <v>51.155654115124548</v>
      </c>
      <c r="L86">
        <f t="shared" ca="1" si="11"/>
        <v>-0.24037817853676968</v>
      </c>
      <c r="M86">
        <f t="shared" ca="1" si="12"/>
        <v>5.7781668716655119E-2</v>
      </c>
    </row>
    <row r="87" spans="2:13">
      <c r="B87" s="46">
        <f t="shared" si="13"/>
        <v>5</v>
      </c>
      <c r="C87">
        <f t="shared" ca="1" si="8"/>
        <v>5.6085320936325465</v>
      </c>
      <c r="D87">
        <f t="shared" ca="1" si="9"/>
        <v>58.879539298827247</v>
      </c>
      <c r="K87">
        <f t="shared" ca="1" si="10"/>
        <v>67.441402765482621</v>
      </c>
      <c r="L87">
        <f t="shared" ca="1" si="11"/>
        <v>-0.79139432604071636</v>
      </c>
      <c r="M87">
        <f t="shared" ca="1" si="12"/>
        <v>0.62630497928943962</v>
      </c>
    </row>
    <row r="88" spans="2:13">
      <c r="B88" s="46">
        <f t="shared" si="13"/>
        <v>1</v>
      </c>
      <c r="C88">
        <f t="shared" ca="1" si="8"/>
        <v>2.2252842316039061</v>
      </c>
      <c r="D88">
        <f t="shared" ca="1" si="9"/>
        <v>20.021016293209446</v>
      </c>
      <c r="K88">
        <f t="shared" ca="1" si="10"/>
        <v>30.995731292348548</v>
      </c>
      <c r="L88">
        <f t="shared" ca="1" si="11"/>
        <v>-1.0144201918260076</v>
      </c>
      <c r="M88">
        <f t="shared" ca="1" si="12"/>
        <v>1.0290483255843141</v>
      </c>
    </row>
    <row r="89" spans="2:13">
      <c r="B89" s="46">
        <f t="shared" si="13"/>
        <v>2</v>
      </c>
      <c r="C89">
        <f t="shared" ca="1" si="8"/>
        <v>2.6823700928360004</v>
      </c>
      <c r="D89">
        <f t="shared" ca="1" si="9"/>
        <v>29.967328635192384</v>
      </c>
      <c r="K89">
        <f t="shared" ca="1" si="10"/>
        <v>35.919639268600285</v>
      </c>
      <c r="L89">
        <f t="shared" ca="1" si="11"/>
        <v>-0.55018687000284583</v>
      </c>
      <c r="M89">
        <f t="shared" ca="1" si="12"/>
        <v>0.30270559192352836</v>
      </c>
    </row>
    <row r="90" spans="2:13">
      <c r="B90" s="46">
        <f t="shared" si="13"/>
        <v>3</v>
      </c>
      <c r="C90">
        <f t="shared" ca="1" si="8"/>
        <v>4.1610163081570617</v>
      </c>
      <c r="D90">
        <f t="shared" ca="1" si="9"/>
        <v>39.873187572280358</v>
      </c>
      <c r="K90">
        <f t="shared" ca="1" si="10"/>
        <v>51.848195610396402</v>
      </c>
      <c r="L90">
        <f t="shared" ca="1" si="11"/>
        <v>-1.1068797642669146</v>
      </c>
      <c r="M90">
        <f t="shared" ca="1" si="12"/>
        <v>1.2251828125435804</v>
      </c>
    </row>
    <row r="91" spans="2:13">
      <c r="B91" s="46">
        <f t="shared" si="13"/>
        <v>4</v>
      </c>
      <c r="C91">
        <f t="shared" ca="1" si="8"/>
        <v>2.7496922365303753</v>
      </c>
      <c r="D91">
        <f t="shared" ca="1" si="9"/>
        <v>51.664380725453789</v>
      </c>
      <c r="K91">
        <f t="shared" ca="1" si="10"/>
        <v>36.644859776234362</v>
      </c>
      <c r="L91">
        <f t="shared" ca="1" si="11"/>
        <v>1.3882916616638417</v>
      </c>
      <c r="M91">
        <f t="shared" ca="1" si="12"/>
        <v>1.9273537378453507</v>
      </c>
    </row>
    <row r="92" spans="2:13">
      <c r="B92" s="46">
        <f t="shared" si="13"/>
        <v>5</v>
      </c>
      <c r="C92">
        <f t="shared" ca="1" si="8"/>
        <v>5.3954999322663282</v>
      </c>
      <c r="D92">
        <f t="shared" ca="1" si="9"/>
        <v>59.239967646534211</v>
      </c>
      <c r="K92">
        <f t="shared" ca="1" si="10"/>
        <v>65.146536860591624</v>
      </c>
      <c r="L92">
        <f t="shared" ca="1" si="11"/>
        <v>-0.54595887689363476</v>
      </c>
      <c r="M92">
        <f t="shared" ca="1" si="12"/>
        <v>0.29807109525895903</v>
      </c>
    </row>
    <row r="93" spans="2:13">
      <c r="B93" s="46">
        <f t="shared" si="13"/>
        <v>1</v>
      </c>
      <c r="C93">
        <f t="shared" ca="1" si="8"/>
        <v>0.43494208405636026</v>
      </c>
      <c r="D93">
        <f t="shared" ca="1" si="9"/>
        <v>17.923794628307114</v>
      </c>
      <c r="K93">
        <f t="shared" ca="1" si="10"/>
        <v>11.709464251039234</v>
      </c>
      <c r="L93">
        <f t="shared" ca="1" si="11"/>
        <v>0.57440600634028061</v>
      </c>
      <c r="M93">
        <f t="shared" ca="1" si="12"/>
        <v>0.3299422601197905</v>
      </c>
    </row>
    <row r="94" spans="2:13">
      <c r="B94" s="46">
        <f t="shared" si="13"/>
        <v>2</v>
      </c>
      <c r="C94">
        <f t="shared" ca="1" si="8"/>
        <v>2.0890512828410883</v>
      </c>
      <c r="D94">
        <f t="shared" ca="1" si="9"/>
        <v>29.209985180117442</v>
      </c>
      <c r="K94">
        <f t="shared" ca="1" si="10"/>
        <v>29.52817659434637</v>
      </c>
      <c r="L94">
        <f t="shared" ca="1" si="11"/>
        <v>-2.9411223479135183E-2</v>
      </c>
      <c r="M94">
        <f t="shared" ca="1" si="12"/>
        <v>8.6502006653963262E-4</v>
      </c>
    </row>
    <row r="95" spans="2:13">
      <c r="B95" s="46">
        <f t="shared" si="13"/>
        <v>3</v>
      </c>
      <c r="C95">
        <f t="shared" ca="1" si="8"/>
        <v>3.6689992098665609</v>
      </c>
      <c r="D95">
        <f t="shared" ca="1" si="9"/>
        <v>40.971722909595755</v>
      </c>
      <c r="K95">
        <f t="shared" ca="1" si="10"/>
        <v>46.547994663041599</v>
      </c>
      <c r="L95">
        <f t="shared" ca="1" si="11"/>
        <v>-0.51542866145027111</v>
      </c>
      <c r="M95">
        <f t="shared" ca="1" si="12"/>
        <v>0.26566670504441819</v>
      </c>
    </row>
    <row r="96" spans="2:13">
      <c r="B96" s="46">
        <f t="shared" si="13"/>
        <v>4</v>
      </c>
      <c r="C96">
        <f t="shared" ca="1" si="8"/>
        <v>5.0094358948024027</v>
      </c>
      <c r="D96">
        <f t="shared" ca="1" si="9"/>
        <v>50.966452672852427</v>
      </c>
      <c r="K96">
        <f t="shared" ca="1" si="10"/>
        <v>60.987703795205398</v>
      </c>
      <c r="L96">
        <f t="shared" ca="1" si="11"/>
        <v>-0.92628915526930178</v>
      </c>
      <c r="M96">
        <f t="shared" ca="1" si="12"/>
        <v>0.85801159916951664</v>
      </c>
    </row>
    <row r="97" spans="2:13">
      <c r="B97" s="46">
        <f t="shared" si="13"/>
        <v>5</v>
      </c>
      <c r="C97">
        <f t="shared" ca="1" si="8"/>
        <v>5.5826872924956765</v>
      </c>
      <c r="D97">
        <f t="shared" ca="1" si="9"/>
        <v>60.222517653901733</v>
      </c>
      <c r="K97">
        <f t="shared" ca="1" si="10"/>
        <v>67.162992442049188</v>
      </c>
      <c r="L97">
        <f t="shared" ca="1" si="11"/>
        <v>-0.64152533951983248</v>
      </c>
      <c r="M97">
        <f t="shared" ca="1" si="12"/>
        <v>0.41155476124603635</v>
      </c>
    </row>
    <row r="98" spans="2:13">
      <c r="B98" s="46">
        <f t="shared" si="13"/>
        <v>1</v>
      </c>
      <c r="C98">
        <f t="shared" ca="1" si="8"/>
        <v>1.6564093646343707</v>
      </c>
      <c r="D98">
        <f t="shared" ca="1" si="9"/>
        <v>20.245695038674569</v>
      </c>
      <c r="K98">
        <f t="shared" ca="1" si="10"/>
        <v>24.867588349116854</v>
      </c>
      <c r="L98">
        <f t="shared" ca="1" si="11"/>
        <v>-0.4272130892643673</v>
      </c>
      <c r="M98">
        <f t="shared" ca="1" si="12"/>
        <v>0.18251102363880425</v>
      </c>
    </row>
    <row r="99" spans="2:13">
      <c r="B99" s="46">
        <f t="shared" si="13"/>
        <v>2</v>
      </c>
      <c r="C99">
        <f t="shared" ca="1" si="8"/>
        <v>3.049367287999186</v>
      </c>
      <c r="D99">
        <f t="shared" ca="1" si="9"/>
        <v>31.735436334871974</v>
      </c>
      <c r="K99">
        <f t="shared" ca="1" si="10"/>
        <v>39.873076838633658</v>
      </c>
      <c r="L99">
        <f t="shared" ca="1" si="11"/>
        <v>-0.75218234291137109</v>
      </c>
      <c r="M99">
        <f t="shared" ca="1" si="12"/>
        <v>0.56577827698763949</v>
      </c>
    </row>
    <row r="100" spans="2:13">
      <c r="B100" s="46">
        <f t="shared" si="13"/>
        <v>3</v>
      </c>
      <c r="C100">
        <f t="shared" ca="1" si="8"/>
        <v>3.7155303064558338</v>
      </c>
      <c r="D100">
        <f t="shared" ca="1" si="9"/>
        <v>40.447856867916379</v>
      </c>
      <c r="K100">
        <f t="shared" ca="1" si="10"/>
        <v>47.049245865653887</v>
      </c>
      <c r="L100">
        <f t="shared" ca="1" si="11"/>
        <v>-0.61018279690436461</v>
      </c>
      <c r="M100">
        <f t="shared" ca="1" si="12"/>
        <v>0.37232304563803309</v>
      </c>
    </row>
    <row r="101" spans="2:13">
      <c r="B101" s="46">
        <f t="shared" si="13"/>
        <v>4</v>
      </c>
      <c r="C101">
        <f t="shared" ca="1" si="8"/>
        <v>4.135292645974717</v>
      </c>
      <c r="D101">
        <f t="shared" ca="1" si="9"/>
        <v>51.06904398425997</v>
      </c>
      <c r="K101">
        <f t="shared" ca="1" si="10"/>
        <v>51.571090243241457</v>
      </c>
      <c r="L101">
        <f t="shared" ca="1" si="11"/>
        <v>-4.6405383864772776E-2</v>
      </c>
      <c r="M101">
        <f t="shared" ca="1" si="12"/>
        <v>2.1534596516369136E-3</v>
      </c>
    </row>
    <row r="102" spans="2:13">
      <c r="B102" s="46">
        <f t="shared" si="13"/>
        <v>5</v>
      </c>
      <c r="C102">
        <f t="shared" ca="1" si="8"/>
        <v>4.8388640340155904</v>
      </c>
      <c r="D102">
        <f t="shared" ca="1" si="9"/>
        <v>59.528151788616213</v>
      </c>
      <c r="K102">
        <f t="shared" ca="1" si="10"/>
        <v>59.150236883434481</v>
      </c>
      <c r="L102">
        <f t="shared" ca="1" si="11"/>
        <v>3.4931614227652688E-2</v>
      </c>
      <c r="M102">
        <f t="shared" ca="1" si="12"/>
        <v>1.2202176725495477E-3</v>
      </c>
    </row>
    <row r="103" spans="2:13">
      <c r="B103" s="46">
        <f t="shared" si="13"/>
        <v>1</v>
      </c>
      <c r="C103">
        <f t="shared" ca="1" si="8"/>
        <v>1.5993928125574621</v>
      </c>
      <c r="D103">
        <f t="shared" ca="1" si="9"/>
        <v>19.806728365363053</v>
      </c>
      <c r="K103">
        <f t="shared" ca="1" si="10"/>
        <v>24.253383711955021</v>
      </c>
      <c r="L103">
        <f t="shared" ca="1" si="11"/>
        <v>-0.41101540860312163</v>
      </c>
      <c r="M103">
        <f t="shared" ca="1" si="12"/>
        <v>0.16893366610919103</v>
      </c>
    </row>
    <row r="104" spans="2:13">
      <c r="B104" s="46">
        <f t="shared" si="13"/>
        <v>2</v>
      </c>
      <c r="C104">
        <f t="shared" ca="1" si="8"/>
        <v>3.5617088306272477</v>
      </c>
      <c r="D104">
        <f t="shared" ca="1" si="9"/>
        <v>28.707639189653513</v>
      </c>
      <c r="K104">
        <f t="shared" ca="1" si="10"/>
        <v>45.392220663190663</v>
      </c>
      <c r="L104">
        <f t="shared" ca="1" si="11"/>
        <v>-1.5421973454663636</v>
      </c>
      <c r="M104">
        <f t="shared" ca="1" si="12"/>
        <v>2.3783726523634985</v>
      </c>
    </row>
    <row r="105" spans="2:13">
      <c r="B105" s="46">
        <f t="shared" si="13"/>
        <v>3</v>
      </c>
      <c r="C105">
        <f t="shared" ca="1" si="8"/>
        <v>3.3162610953129525</v>
      </c>
      <c r="D105">
        <f t="shared" ca="1" si="9"/>
        <v>40.075199516552779</v>
      </c>
      <c r="K105">
        <f t="shared" ca="1" si="10"/>
        <v>42.748161495818358</v>
      </c>
      <c r="L105">
        <f t="shared" ca="1" si="11"/>
        <v>-0.2470685210470536</v>
      </c>
      <c r="M105">
        <f t="shared" ca="1" si="12"/>
        <v>6.1042854092378369E-2</v>
      </c>
    </row>
    <row r="106" spans="2:13">
      <c r="B106" s="46">
        <f t="shared" si="13"/>
        <v>4</v>
      </c>
      <c r="C106">
        <f t="shared" ca="1" si="8"/>
        <v>3.3133024554659607</v>
      </c>
      <c r="D106">
        <f t="shared" ca="1" si="9"/>
        <v>50.417336917522306</v>
      </c>
      <c r="K106">
        <f t="shared" ca="1" si="10"/>
        <v>42.716289868237951</v>
      </c>
      <c r="L106">
        <f t="shared" ca="1" si="11"/>
        <v>0.71182692449042684</v>
      </c>
      <c r="M106">
        <f t="shared" ca="1" si="12"/>
        <v>0.50669757042949981</v>
      </c>
    </row>
    <row r="107" spans="2:13">
      <c r="B107" s="46">
        <f t="shared" si="13"/>
        <v>5</v>
      </c>
      <c r="C107">
        <f t="shared" ca="1" si="8"/>
        <v>4.439142525815388</v>
      </c>
      <c r="D107">
        <f t="shared" ca="1" si="9"/>
        <v>61.753503253360229</v>
      </c>
      <c r="K107">
        <f t="shared" ca="1" si="10"/>
        <v>54.844280192494608</v>
      </c>
      <c r="L107">
        <f t="shared" ca="1" si="11"/>
        <v>0.63863666467163649</v>
      </c>
      <c r="M107">
        <f t="shared" ca="1" si="12"/>
        <v>0.40785678946291226</v>
      </c>
    </row>
    <row r="108" spans="2:13">
      <c r="B108" s="46">
        <f t="shared" si="13"/>
        <v>1</v>
      </c>
      <c r="C108">
        <f t="shared" ca="1" si="8"/>
        <v>-1.7022197072316971</v>
      </c>
      <c r="D108">
        <f t="shared" ca="1" si="9"/>
        <v>19.360881530875528</v>
      </c>
      <c r="K108">
        <f t="shared" ca="1" si="10"/>
        <v>-11.312879871130754</v>
      </c>
      <c r="L108">
        <f t="shared" ca="1" si="11"/>
        <v>2.8352520250311066</v>
      </c>
      <c r="M108">
        <f t="shared" ca="1" si="12"/>
        <v>8.0386540454429909</v>
      </c>
    </row>
    <row r="109" spans="2:13">
      <c r="B109" s="46">
        <f t="shared" si="13"/>
        <v>2</v>
      </c>
      <c r="C109">
        <f t="shared" ref="C109:C140" ca="1" si="14">B109+_xlfn.NORM.INV(RAND(),0,sigmaX)</f>
        <v>0.79260872866037668</v>
      </c>
      <c r="D109">
        <f t="shared" ca="1" si="9"/>
        <v>30.338968927391146</v>
      </c>
      <c r="K109">
        <f t="shared" ca="1" si="10"/>
        <v>15.562389474886114</v>
      </c>
      <c r="L109">
        <f t="shared" ca="1" si="11"/>
        <v>1.36583597514088</v>
      </c>
      <c r="M109">
        <f t="shared" ca="1" si="12"/>
        <v>1.8655079109890385</v>
      </c>
    </row>
    <row r="110" spans="2:13">
      <c r="B110" s="46">
        <f t="shared" si="13"/>
        <v>3</v>
      </c>
      <c r="C110">
        <f t="shared" ca="1" si="14"/>
        <v>2.3736266345240904</v>
      </c>
      <c r="D110">
        <f t="shared" ca="1" si="9"/>
        <v>38.682572263957745</v>
      </c>
      <c r="K110">
        <f t="shared" ca="1" si="10"/>
        <v>32.593733774827783</v>
      </c>
      <c r="L110">
        <f t="shared" ca="1" si="11"/>
        <v>0.5628064791318329</v>
      </c>
      <c r="M110">
        <f t="shared" ca="1" si="12"/>
        <v>0.31675113295277024</v>
      </c>
    </row>
    <row r="111" spans="2:13">
      <c r="B111" s="46">
        <f t="shared" si="13"/>
        <v>4</v>
      </c>
      <c r="C111">
        <f t="shared" ca="1" si="14"/>
        <v>2.814139762671152</v>
      </c>
      <c r="D111">
        <f t="shared" ca="1" si="9"/>
        <v>50.46084720919751</v>
      </c>
      <c r="K111">
        <f t="shared" ca="1" si="10"/>
        <v>37.339113777351081</v>
      </c>
      <c r="L111">
        <f t="shared" ca="1" si="11"/>
        <v>1.2128744433060497</v>
      </c>
      <c r="M111">
        <f t="shared" ca="1" si="12"/>
        <v>1.4710644152249599</v>
      </c>
    </row>
    <row r="112" spans="2:13">
      <c r="B112" s="46">
        <f t="shared" si="13"/>
        <v>5</v>
      </c>
      <c r="C112">
        <f t="shared" ca="1" si="14"/>
        <v>4.9479988241529043</v>
      </c>
      <c r="D112">
        <f t="shared" ca="1" si="9"/>
        <v>59.372087103060672</v>
      </c>
      <c r="K112">
        <f t="shared" ca="1" si="10"/>
        <v>60.325879600089898</v>
      </c>
      <c r="L112">
        <f t="shared" ca="1" si="11"/>
        <v>-8.8161411742764415E-2</v>
      </c>
      <c r="M112">
        <f t="shared" ca="1" si="12"/>
        <v>7.7724345204772394E-3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NextScreenEIV">
                <anchor moveWithCells="1" sizeWithCells="1">
                  <from>
                    <xdr:col>16</xdr:col>
                    <xdr:colOff>114300</xdr:colOff>
                    <xdr:row>29</xdr:row>
                    <xdr:rowOff>83820</xdr:rowOff>
                  </from>
                  <to>
                    <xdr:col>18</xdr:col>
                    <xdr:colOff>22860</xdr:colOff>
                    <xdr:row>31</xdr:row>
                    <xdr:rowOff>76200</xdr:rowOff>
                  </to>
                </anchor>
              </controlPr>
            </control>
          </mc:Choice>
        </mc:AlternateContent>
        <mc:AlternateContent xmlns:mc="http://schemas.openxmlformats.org/markup-compatibility/2006">
          <mc:Choice Requires="x14">
            <control shapeId="19458" r:id="rId4" name="Button 2">
              <controlPr defaultSize="0" print="0" autoFill="0" autoPict="0" macro="ShowMCForm">
                <anchor moveWithCells="1" sizeWithCells="1">
                  <from>
                    <xdr:col>12</xdr:col>
                    <xdr:colOff>495300</xdr:colOff>
                    <xdr:row>8</xdr:row>
                    <xdr:rowOff>30480</xdr:rowOff>
                  </from>
                  <to>
                    <xdr:col>14</xdr:col>
                    <xdr:colOff>99060</xdr:colOff>
                    <xdr:row>10</xdr:row>
                    <xdr:rowOff>45720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EF8BC-BEE0-4E9D-9EFD-CCD4EC2CD8DC}">
  <sheetPr codeName="Sheet13"/>
  <dimension ref="A1:A56"/>
  <sheetViews>
    <sheetView showGridLines="0" workbookViewId="0">
      <selection activeCell="I14" sqref="I14"/>
    </sheetView>
  </sheetViews>
  <sheetFormatPr defaultRowHeight="14.4"/>
  <sheetData>
    <row r="1" spans="1:1">
      <c r="A1" s="59" t="s">
        <v>187</v>
      </c>
    </row>
    <row r="3" spans="1:1">
      <c r="A3" t="s">
        <v>191</v>
      </c>
    </row>
    <row r="4" spans="1:1">
      <c r="A4" t="s">
        <v>192</v>
      </c>
    </row>
    <row r="5" spans="1:1">
      <c r="A5" t="s">
        <v>203</v>
      </c>
    </row>
    <row r="7" spans="1:1">
      <c r="A7" s="59" t="s">
        <v>193</v>
      </c>
    </row>
    <row r="8" spans="1:1">
      <c r="A8" t="s">
        <v>204</v>
      </c>
    </row>
    <row r="54" spans="1:1">
      <c r="A54" t="s">
        <v>188</v>
      </c>
    </row>
    <row r="55" spans="1:1">
      <c r="A55" t="s">
        <v>189</v>
      </c>
    </row>
    <row r="56" spans="1:1">
      <c r="A56" t="s">
        <v>190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12968-DCE2-47FF-812F-EC7E3E0CD36F}">
  <sheetPr codeName="Sheet14"/>
  <dimension ref="A1:BN103"/>
  <sheetViews>
    <sheetView showGridLines="0" workbookViewId="0">
      <selection activeCell="C2" sqref="C2"/>
    </sheetView>
  </sheetViews>
  <sheetFormatPr defaultColWidth="10" defaultRowHeight="15.6"/>
  <cols>
    <col min="1" max="1" width="8.88671875" style="17" customWidth="1"/>
    <col min="2" max="2" width="11.77734375" style="75" customWidth="1"/>
    <col min="3" max="3" width="11.77734375" style="8" customWidth="1"/>
    <col min="4" max="4" width="8.44140625" style="8" customWidth="1"/>
    <col min="5" max="5" width="8.44140625" style="9" customWidth="1"/>
    <col min="6" max="6" width="12.88671875" style="10" customWidth="1"/>
    <col min="7" max="7" width="10" style="9"/>
    <col min="8" max="8" width="6.44140625" style="9" customWidth="1"/>
    <col min="9" max="14" width="10.21875" style="9" customWidth="1"/>
    <col min="15" max="17" width="10" style="9"/>
    <col min="18" max="19" width="10" style="8"/>
    <col min="20" max="20" width="15.77734375" style="8" customWidth="1"/>
    <col min="21" max="22" width="12.44140625" style="8" customWidth="1"/>
    <col min="23" max="24" width="10" style="8"/>
    <col min="25" max="26" width="9.6640625" style="47" customWidth="1"/>
    <col min="27" max="33" width="10" style="8"/>
    <col min="34" max="43" width="10" style="9"/>
    <col min="44" max="50" width="10" style="8"/>
    <col min="51" max="256" width="10" style="9"/>
    <col min="257" max="257" width="8.88671875" style="9" customWidth="1"/>
    <col min="258" max="259" width="11.77734375" style="9" customWidth="1"/>
    <col min="260" max="261" width="8.44140625" style="9" customWidth="1"/>
    <col min="262" max="262" width="12.88671875" style="9" customWidth="1"/>
    <col min="263" max="263" width="10" style="9"/>
    <col min="264" max="264" width="6.44140625" style="9" customWidth="1"/>
    <col min="265" max="270" width="10.21875" style="9" customWidth="1"/>
    <col min="271" max="275" width="10" style="9"/>
    <col min="276" max="276" width="15.77734375" style="9" customWidth="1"/>
    <col min="277" max="278" width="12.44140625" style="9" customWidth="1"/>
    <col min="279" max="280" width="10" style="9"/>
    <col min="281" max="282" width="9.6640625" style="9" customWidth="1"/>
    <col min="283" max="512" width="10" style="9"/>
    <col min="513" max="513" width="8.88671875" style="9" customWidth="1"/>
    <col min="514" max="515" width="11.77734375" style="9" customWidth="1"/>
    <col min="516" max="517" width="8.44140625" style="9" customWidth="1"/>
    <col min="518" max="518" width="12.88671875" style="9" customWidth="1"/>
    <col min="519" max="519" width="10" style="9"/>
    <col min="520" max="520" width="6.44140625" style="9" customWidth="1"/>
    <col min="521" max="526" width="10.21875" style="9" customWidth="1"/>
    <col min="527" max="531" width="10" style="9"/>
    <col min="532" max="532" width="15.77734375" style="9" customWidth="1"/>
    <col min="533" max="534" width="12.44140625" style="9" customWidth="1"/>
    <col min="535" max="536" width="10" style="9"/>
    <col min="537" max="538" width="9.6640625" style="9" customWidth="1"/>
    <col min="539" max="768" width="10" style="9"/>
    <col min="769" max="769" width="8.88671875" style="9" customWidth="1"/>
    <col min="770" max="771" width="11.77734375" style="9" customWidth="1"/>
    <col min="772" max="773" width="8.44140625" style="9" customWidth="1"/>
    <col min="774" max="774" width="12.88671875" style="9" customWidth="1"/>
    <col min="775" max="775" width="10" style="9"/>
    <col min="776" max="776" width="6.44140625" style="9" customWidth="1"/>
    <col min="777" max="782" width="10.21875" style="9" customWidth="1"/>
    <col min="783" max="787" width="10" style="9"/>
    <col min="788" max="788" width="15.77734375" style="9" customWidth="1"/>
    <col min="789" max="790" width="12.44140625" style="9" customWidth="1"/>
    <col min="791" max="792" width="10" style="9"/>
    <col min="793" max="794" width="9.6640625" style="9" customWidth="1"/>
    <col min="795" max="1024" width="10" style="9"/>
    <col min="1025" max="1025" width="8.88671875" style="9" customWidth="1"/>
    <col min="1026" max="1027" width="11.77734375" style="9" customWidth="1"/>
    <col min="1028" max="1029" width="8.44140625" style="9" customWidth="1"/>
    <col min="1030" max="1030" width="12.88671875" style="9" customWidth="1"/>
    <col min="1031" max="1031" width="10" style="9"/>
    <col min="1032" max="1032" width="6.44140625" style="9" customWidth="1"/>
    <col min="1033" max="1038" width="10.21875" style="9" customWidth="1"/>
    <col min="1039" max="1043" width="10" style="9"/>
    <col min="1044" max="1044" width="15.77734375" style="9" customWidth="1"/>
    <col min="1045" max="1046" width="12.44140625" style="9" customWidth="1"/>
    <col min="1047" max="1048" width="10" style="9"/>
    <col min="1049" max="1050" width="9.6640625" style="9" customWidth="1"/>
    <col min="1051" max="1280" width="10" style="9"/>
    <col min="1281" max="1281" width="8.88671875" style="9" customWidth="1"/>
    <col min="1282" max="1283" width="11.77734375" style="9" customWidth="1"/>
    <col min="1284" max="1285" width="8.44140625" style="9" customWidth="1"/>
    <col min="1286" max="1286" width="12.88671875" style="9" customWidth="1"/>
    <col min="1287" max="1287" width="10" style="9"/>
    <col min="1288" max="1288" width="6.44140625" style="9" customWidth="1"/>
    <col min="1289" max="1294" width="10.21875" style="9" customWidth="1"/>
    <col min="1295" max="1299" width="10" style="9"/>
    <col min="1300" max="1300" width="15.77734375" style="9" customWidth="1"/>
    <col min="1301" max="1302" width="12.44140625" style="9" customWidth="1"/>
    <col min="1303" max="1304" width="10" style="9"/>
    <col min="1305" max="1306" width="9.6640625" style="9" customWidth="1"/>
    <col min="1307" max="1536" width="10" style="9"/>
    <col min="1537" max="1537" width="8.88671875" style="9" customWidth="1"/>
    <col min="1538" max="1539" width="11.77734375" style="9" customWidth="1"/>
    <col min="1540" max="1541" width="8.44140625" style="9" customWidth="1"/>
    <col min="1542" max="1542" width="12.88671875" style="9" customWidth="1"/>
    <col min="1543" max="1543" width="10" style="9"/>
    <col min="1544" max="1544" width="6.44140625" style="9" customWidth="1"/>
    <col min="1545" max="1550" width="10.21875" style="9" customWidth="1"/>
    <col min="1551" max="1555" width="10" style="9"/>
    <col min="1556" max="1556" width="15.77734375" style="9" customWidth="1"/>
    <col min="1557" max="1558" width="12.44140625" style="9" customWidth="1"/>
    <col min="1559" max="1560" width="10" style="9"/>
    <col min="1561" max="1562" width="9.6640625" style="9" customWidth="1"/>
    <col min="1563" max="1792" width="10" style="9"/>
    <col min="1793" max="1793" width="8.88671875" style="9" customWidth="1"/>
    <col min="1794" max="1795" width="11.77734375" style="9" customWidth="1"/>
    <col min="1796" max="1797" width="8.44140625" style="9" customWidth="1"/>
    <col min="1798" max="1798" width="12.88671875" style="9" customWidth="1"/>
    <col min="1799" max="1799" width="10" style="9"/>
    <col min="1800" max="1800" width="6.44140625" style="9" customWidth="1"/>
    <col min="1801" max="1806" width="10.21875" style="9" customWidth="1"/>
    <col min="1807" max="1811" width="10" style="9"/>
    <col min="1812" max="1812" width="15.77734375" style="9" customWidth="1"/>
    <col min="1813" max="1814" width="12.44140625" style="9" customWidth="1"/>
    <col min="1815" max="1816" width="10" style="9"/>
    <col min="1817" max="1818" width="9.6640625" style="9" customWidth="1"/>
    <col min="1819" max="2048" width="10" style="9"/>
    <col min="2049" max="2049" width="8.88671875" style="9" customWidth="1"/>
    <col min="2050" max="2051" width="11.77734375" style="9" customWidth="1"/>
    <col min="2052" max="2053" width="8.44140625" style="9" customWidth="1"/>
    <col min="2054" max="2054" width="12.88671875" style="9" customWidth="1"/>
    <col min="2055" max="2055" width="10" style="9"/>
    <col min="2056" max="2056" width="6.44140625" style="9" customWidth="1"/>
    <col min="2057" max="2062" width="10.21875" style="9" customWidth="1"/>
    <col min="2063" max="2067" width="10" style="9"/>
    <col min="2068" max="2068" width="15.77734375" style="9" customWidth="1"/>
    <col min="2069" max="2070" width="12.44140625" style="9" customWidth="1"/>
    <col min="2071" max="2072" width="10" style="9"/>
    <col min="2073" max="2074" width="9.6640625" style="9" customWidth="1"/>
    <col min="2075" max="2304" width="10" style="9"/>
    <col min="2305" max="2305" width="8.88671875" style="9" customWidth="1"/>
    <col min="2306" max="2307" width="11.77734375" style="9" customWidth="1"/>
    <col min="2308" max="2309" width="8.44140625" style="9" customWidth="1"/>
    <col min="2310" max="2310" width="12.88671875" style="9" customWidth="1"/>
    <col min="2311" max="2311" width="10" style="9"/>
    <col min="2312" max="2312" width="6.44140625" style="9" customWidth="1"/>
    <col min="2313" max="2318" width="10.21875" style="9" customWidth="1"/>
    <col min="2319" max="2323" width="10" style="9"/>
    <col min="2324" max="2324" width="15.77734375" style="9" customWidth="1"/>
    <col min="2325" max="2326" width="12.44140625" style="9" customWidth="1"/>
    <col min="2327" max="2328" width="10" style="9"/>
    <col min="2329" max="2330" width="9.6640625" style="9" customWidth="1"/>
    <col min="2331" max="2560" width="10" style="9"/>
    <col min="2561" max="2561" width="8.88671875" style="9" customWidth="1"/>
    <col min="2562" max="2563" width="11.77734375" style="9" customWidth="1"/>
    <col min="2564" max="2565" width="8.44140625" style="9" customWidth="1"/>
    <col min="2566" max="2566" width="12.88671875" style="9" customWidth="1"/>
    <col min="2567" max="2567" width="10" style="9"/>
    <col min="2568" max="2568" width="6.44140625" style="9" customWidth="1"/>
    <col min="2569" max="2574" width="10.21875" style="9" customWidth="1"/>
    <col min="2575" max="2579" width="10" style="9"/>
    <col min="2580" max="2580" width="15.77734375" style="9" customWidth="1"/>
    <col min="2581" max="2582" width="12.44140625" style="9" customWidth="1"/>
    <col min="2583" max="2584" width="10" style="9"/>
    <col min="2585" max="2586" width="9.6640625" style="9" customWidth="1"/>
    <col min="2587" max="2816" width="10" style="9"/>
    <col min="2817" max="2817" width="8.88671875" style="9" customWidth="1"/>
    <col min="2818" max="2819" width="11.77734375" style="9" customWidth="1"/>
    <col min="2820" max="2821" width="8.44140625" style="9" customWidth="1"/>
    <col min="2822" max="2822" width="12.88671875" style="9" customWidth="1"/>
    <col min="2823" max="2823" width="10" style="9"/>
    <col min="2824" max="2824" width="6.44140625" style="9" customWidth="1"/>
    <col min="2825" max="2830" width="10.21875" style="9" customWidth="1"/>
    <col min="2831" max="2835" width="10" style="9"/>
    <col min="2836" max="2836" width="15.77734375" style="9" customWidth="1"/>
    <col min="2837" max="2838" width="12.44140625" style="9" customWidth="1"/>
    <col min="2839" max="2840" width="10" style="9"/>
    <col min="2841" max="2842" width="9.6640625" style="9" customWidth="1"/>
    <col min="2843" max="3072" width="10" style="9"/>
    <col min="3073" max="3073" width="8.88671875" style="9" customWidth="1"/>
    <col min="3074" max="3075" width="11.77734375" style="9" customWidth="1"/>
    <col min="3076" max="3077" width="8.44140625" style="9" customWidth="1"/>
    <col min="3078" max="3078" width="12.88671875" style="9" customWidth="1"/>
    <col min="3079" max="3079" width="10" style="9"/>
    <col min="3080" max="3080" width="6.44140625" style="9" customWidth="1"/>
    <col min="3081" max="3086" width="10.21875" style="9" customWidth="1"/>
    <col min="3087" max="3091" width="10" style="9"/>
    <col min="3092" max="3092" width="15.77734375" style="9" customWidth="1"/>
    <col min="3093" max="3094" width="12.44140625" style="9" customWidth="1"/>
    <col min="3095" max="3096" width="10" style="9"/>
    <col min="3097" max="3098" width="9.6640625" style="9" customWidth="1"/>
    <col min="3099" max="3328" width="10" style="9"/>
    <col min="3329" max="3329" width="8.88671875" style="9" customWidth="1"/>
    <col min="3330" max="3331" width="11.77734375" style="9" customWidth="1"/>
    <col min="3332" max="3333" width="8.44140625" style="9" customWidth="1"/>
    <col min="3334" max="3334" width="12.88671875" style="9" customWidth="1"/>
    <col min="3335" max="3335" width="10" style="9"/>
    <col min="3336" max="3336" width="6.44140625" style="9" customWidth="1"/>
    <col min="3337" max="3342" width="10.21875" style="9" customWidth="1"/>
    <col min="3343" max="3347" width="10" style="9"/>
    <col min="3348" max="3348" width="15.77734375" style="9" customWidth="1"/>
    <col min="3349" max="3350" width="12.44140625" style="9" customWidth="1"/>
    <col min="3351" max="3352" width="10" style="9"/>
    <col min="3353" max="3354" width="9.6640625" style="9" customWidth="1"/>
    <col min="3355" max="3584" width="10" style="9"/>
    <col min="3585" max="3585" width="8.88671875" style="9" customWidth="1"/>
    <col min="3586" max="3587" width="11.77734375" style="9" customWidth="1"/>
    <col min="3588" max="3589" width="8.44140625" style="9" customWidth="1"/>
    <col min="3590" max="3590" width="12.88671875" style="9" customWidth="1"/>
    <col min="3591" max="3591" width="10" style="9"/>
    <col min="3592" max="3592" width="6.44140625" style="9" customWidth="1"/>
    <col min="3593" max="3598" width="10.21875" style="9" customWidth="1"/>
    <col min="3599" max="3603" width="10" style="9"/>
    <col min="3604" max="3604" width="15.77734375" style="9" customWidth="1"/>
    <col min="3605" max="3606" width="12.44140625" style="9" customWidth="1"/>
    <col min="3607" max="3608" width="10" style="9"/>
    <col min="3609" max="3610" width="9.6640625" style="9" customWidth="1"/>
    <col min="3611" max="3840" width="10" style="9"/>
    <col min="3841" max="3841" width="8.88671875" style="9" customWidth="1"/>
    <col min="3842" max="3843" width="11.77734375" style="9" customWidth="1"/>
    <col min="3844" max="3845" width="8.44140625" style="9" customWidth="1"/>
    <col min="3846" max="3846" width="12.88671875" style="9" customWidth="1"/>
    <col min="3847" max="3847" width="10" style="9"/>
    <col min="3848" max="3848" width="6.44140625" style="9" customWidth="1"/>
    <col min="3849" max="3854" width="10.21875" style="9" customWidth="1"/>
    <col min="3855" max="3859" width="10" style="9"/>
    <col min="3860" max="3860" width="15.77734375" style="9" customWidth="1"/>
    <col min="3861" max="3862" width="12.44140625" style="9" customWidth="1"/>
    <col min="3863" max="3864" width="10" style="9"/>
    <col min="3865" max="3866" width="9.6640625" style="9" customWidth="1"/>
    <col min="3867" max="4096" width="10" style="9"/>
    <col min="4097" max="4097" width="8.88671875" style="9" customWidth="1"/>
    <col min="4098" max="4099" width="11.77734375" style="9" customWidth="1"/>
    <col min="4100" max="4101" width="8.44140625" style="9" customWidth="1"/>
    <col min="4102" max="4102" width="12.88671875" style="9" customWidth="1"/>
    <col min="4103" max="4103" width="10" style="9"/>
    <col min="4104" max="4104" width="6.44140625" style="9" customWidth="1"/>
    <col min="4105" max="4110" width="10.21875" style="9" customWidth="1"/>
    <col min="4111" max="4115" width="10" style="9"/>
    <col min="4116" max="4116" width="15.77734375" style="9" customWidth="1"/>
    <col min="4117" max="4118" width="12.44140625" style="9" customWidth="1"/>
    <col min="4119" max="4120" width="10" style="9"/>
    <col min="4121" max="4122" width="9.6640625" style="9" customWidth="1"/>
    <col min="4123" max="4352" width="10" style="9"/>
    <col min="4353" max="4353" width="8.88671875" style="9" customWidth="1"/>
    <col min="4354" max="4355" width="11.77734375" style="9" customWidth="1"/>
    <col min="4356" max="4357" width="8.44140625" style="9" customWidth="1"/>
    <col min="4358" max="4358" width="12.88671875" style="9" customWidth="1"/>
    <col min="4359" max="4359" width="10" style="9"/>
    <col min="4360" max="4360" width="6.44140625" style="9" customWidth="1"/>
    <col min="4361" max="4366" width="10.21875" style="9" customWidth="1"/>
    <col min="4367" max="4371" width="10" style="9"/>
    <col min="4372" max="4372" width="15.77734375" style="9" customWidth="1"/>
    <col min="4373" max="4374" width="12.44140625" style="9" customWidth="1"/>
    <col min="4375" max="4376" width="10" style="9"/>
    <col min="4377" max="4378" width="9.6640625" style="9" customWidth="1"/>
    <col min="4379" max="4608" width="10" style="9"/>
    <col min="4609" max="4609" width="8.88671875" style="9" customWidth="1"/>
    <col min="4610" max="4611" width="11.77734375" style="9" customWidth="1"/>
    <col min="4612" max="4613" width="8.44140625" style="9" customWidth="1"/>
    <col min="4614" max="4614" width="12.88671875" style="9" customWidth="1"/>
    <col min="4615" max="4615" width="10" style="9"/>
    <col min="4616" max="4616" width="6.44140625" style="9" customWidth="1"/>
    <col min="4617" max="4622" width="10.21875" style="9" customWidth="1"/>
    <col min="4623" max="4627" width="10" style="9"/>
    <col min="4628" max="4628" width="15.77734375" style="9" customWidth="1"/>
    <col min="4629" max="4630" width="12.44140625" style="9" customWidth="1"/>
    <col min="4631" max="4632" width="10" style="9"/>
    <col min="4633" max="4634" width="9.6640625" style="9" customWidth="1"/>
    <col min="4635" max="4864" width="10" style="9"/>
    <col min="4865" max="4865" width="8.88671875" style="9" customWidth="1"/>
    <col min="4866" max="4867" width="11.77734375" style="9" customWidth="1"/>
    <col min="4868" max="4869" width="8.44140625" style="9" customWidth="1"/>
    <col min="4870" max="4870" width="12.88671875" style="9" customWidth="1"/>
    <col min="4871" max="4871" width="10" style="9"/>
    <col min="4872" max="4872" width="6.44140625" style="9" customWidth="1"/>
    <col min="4873" max="4878" width="10.21875" style="9" customWidth="1"/>
    <col min="4879" max="4883" width="10" style="9"/>
    <col min="4884" max="4884" width="15.77734375" style="9" customWidth="1"/>
    <col min="4885" max="4886" width="12.44140625" style="9" customWidth="1"/>
    <col min="4887" max="4888" width="10" style="9"/>
    <col min="4889" max="4890" width="9.6640625" style="9" customWidth="1"/>
    <col min="4891" max="5120" width="10" style="9"/>
    <col min="5121" max="5121" width="8.88671875" style="9" customWidth="1"/>
    <col min="5122" max="5123" width="11.77734375" style="9" customWidth="1"/>
    <col min="5124" max="5125" width="8.44140625" style="9" customWidth="1"/>
    <col min="5126" max="5126" width="12.88671875" style="9" customWidth="1"/>
    <col min="5127" max="5127" width="10" style="9"/>
    <col min="5128" max="5128" width="6.44140625" style="9" customWidth="1"/>
    <col min="5129" max="5134" width="10.21875" style="9" customWidth="1"/>
    <col min="5135" max="5139" width="10" style="9"/>
    <col min="5140" max="5140" width="15.77734375" style="9" customWidth="1"/>
    <col min="5141" max="5142" width="12.44140625" style="9" customWidth="1"/>
    <col min="5143" max="5144" width="10" style="9"/>
    <col min="5145" max="5146" width="9.6640625" style="9" customWidth="1"/>
    <col min="5147" max="5376" width="10" style="9"/>
    <col min="5377" max="5377" width="8.88671875" style="9" customWidth="1"/>
    <col min="5378" max="5379" width="11.77734375" style="9" customWidth="1"/>
    <col min="5380" max="5381" width="8.44140625" style="9" customWidth="1"/>
    <col min="5382" max="5382" width="12.88671875" style="9" customWidth="1"/>
    <col min="5383" max="5383" width="10" style="9"/>
    <col min="5384" max="5384" width="6.44140625" style="9" customWidth="1"/>
    <col min="5385" max="5390" width="10.21875" style="9" customWidth="1"/>
    <col min="5391" max="5395" width="10" style="9"/>
    <col min="5396" max="5396" width="15.77734375" style="9" customWidth="1"/>
    <col min="5397" max="5398" width="12.44140625" style="9" customWidth="1"/>
    <col min="5399" max="5400" width="10" style="9"/>
    <col min="5401" max="5402" width="9.6640625" style="9" customWidth="1"/>
    <col min="5403" max="5632" width="10" style="9"/>
    <col min="5633" max="5633" width="8.88671875" style="9" customWidth="1"/>
    <col min="5634" max="5635" width="11.77734375" style="9" customWidth="1"/>
    <col min="5636" max="5637" width="8.44140625" style="9" customWidth="1"/>
    <col min="5638" max="5638" width="12.88671875" style="9" customWidth="1"/>
    <col min="5639" max="5639" width="10" style="9"/>
    <col min="5640" max="5640" width="6.44140625" style="9" customWidth="1"/>
    <col min="5641" max="5646" width="10.21875" style="9" customWidth="1"/>
    <col min="5647" max="5651" width="10" style="9"/>
    <col min="5652" max="5652" width="15.77734375" style="9" customWidth="1"/>
    <col min="5653" max="5654" width="12.44140625" style="9" customWidth="1"/>
    <col min="5655" max="5656" width="10" style="9"/>
    <col min="5657" max="5658" width="9.6640625" style="9" customWidth="1"/>
    <col min="5659" max="5888" width="10" style="9"/>
    <col min="5889" max="5889" width="8.88671875" style="9" customWidth="1"/>
    <col min="5890" max="5891" width="11.77734375" style="9" customWidth="1"/>
    <col min="5892" max="5893" width="8.44140625" style="9" customWidth="1"/>
    <col min="5894" max="5894" width="12.88671875" style="9" customWidth="1"/>
    <col min="5895" max="5895" width="10" style="9"/>
    <col min="5896" max="5896" width="6.44140625" style="9" customWidth="1"/>
    <col min="5897" max="5902" width="10.21875" style="9" customWidth="1"/>
    <col min="5903" max="5907" width="10" style="9"/>
    <col min="5908" max="5908" width="15.77734375" style="9" customWidth="1"/>
    <col min="5909" max="5910" width="12.44140625" style="9" customWidth="1"/>
    <col min="5911" max="5912" width="10" style="9"/>
    <col min="5913" max="5914" width="9.6640625" style="9" customWidth="1"/>
    <col min="5915" max="6144" width="10" style="9"/>
    <col min="6145" max="6145" width="8.88671875" style="9" customWidth="1"/>
    <col min="6146" max="6147" width="11.77734375" style="9" customWidth="1"/>
    <col min="6148" max="6149" width="8.44140625" style="9" customWidth="1"/>
    <col min="6150" max="6150" width="12.88671875" style="9" customWidth="1"/>
    <col min="6151" max="6151" width="10" style="9"/>
    <col min="6152" max="6152" width="6.44140625" style="9" customWidth="1"/>
    <col min="6153" max="6158" width="10.21875" style="9" customWidth="1"/>
    <col min="6159" max="6163" width="10" style="9"/>
    <col min="6164" max="6164" width="15.77734375" style="9" customWidth="1"/>
    <col min="6165" max="6166" width="12.44140625" style="9" customWidth="1"/>
    <col min="6167" max="6168" width="10" style="9"/>
    <col min="6169" max="6170" width="9.6640625" style="9" customWidth="1"/>
    <col min="6171" max="6400" width="10" style="9"/>
    <col min="6401" max="6401" width="8.88671875" style="9" customWidth="1"/>
    <col min="6402" max="6403" width="11.77734375" style="9" customWidth="1"/>
    <col min="6404" max="6405" width="8.44140625" style="9" customWidth="1"/>
    <col min="6406" max="6406" width="12.88671875" style="9" customWidth="1"/>
    <col min="6407" max="6407" width="10" style="9"/>
    <col min="6408" max="6408" width="6.44140625" style="9" customWidth="1"/>
    <col min="6409" max="6414" width="10.21875" style="9" customWidth="1"/>
    <col min="6415" max="6419" width="10" style="9"/>
    <col min="6420" max="6420" width="15.77734375" style="9" customWidth="1"/>
    <col min="6421" max="6422" width="12.44140625" style="9" customWidth="1"/>
    <col min="6423" max="6424" width="10" style="9"/>
    <col min="6425" max="6426" width="9.6640625" style="9" customWidth="1"/>
    <col min="6427" max="6656" width="10" style="9"/>
    <col min="6657" max="6657" width="8.88671875" style="9" customWidth="1"/>
    <col min="6658" max="6659" width="11.77734375" style="9" customWidth="1"/>
    <col min="6660" max="6661" width="8.44140625" style="9" customWidth="1"/>
    <col min="6662" max="6662" width="12.88671875" style="9" customWidth="1"/>
    <col min="6663" max="6663" width="10" style="9"/>
    <col min="6664" max="6664" width="6.44140625" style="9" customWidth="1"/>
    <col min="6665" max="6670" width="10.21875" style="9" customWidth="1"/>
    <col min="6671" max="6675" width="10" style="9"/>
    <col min="6676" max="6676" width="15.77734375" style="9" customWidth="1"/>
    <col min="6677" max="6678" width="12.44140625" style="9" customWidth="1"/>
    <col min="6679" max="6680" width="10" style="9"/>
    <col min="6681" max="6682" width="9.6640625" style="9" customWidth="1"/>
    <col min="6683" max="6912" width="10" style="9"/>
    <col min="6913" max="6913" width="8.88671875" style="9" customWidth="1"/>
    <col min="6914" max="6915" width="11.77734375" style="9" customWidth="1"/>
    <col min="6916" max="6917" width="8.44140625" style="9" customWidth="1"/>
    <col min="6918" max="6918" width="12.88671875" style="9" customWidth="1"/>
    <col min="6919" max="6919" width="10" style="9"/>
    <col min="6920" max="6920" width="6.44140625" style="9" customWidth="1"/>
    <col min="6921" max="6926" width="10.21875" style="9" customWidth="1"/>
    <col min="6927" max="6931" width="10" style="9"/>
    <col min="6932" max="6932" width="15.77734375" style="9" customWidth="1"/>
    <col min="6933" max="6934" width="12.44140625" style="9" customWidth="1"/>
    <col min="6935" max="6936" width="10" style="9"/>
    <col min="6937" max="6938" width="9.6640625" style="9" customWidth="1"/>
    <col min="6939" max="7168" width="10" style="9"/>
    <col min="7169" max="7169" width="8.88671875" style="9" customWidth="1"/>
    <col min="7170" max="7171" width="11.77734375" style="9" customWidth="1"/>
    <col min="7172" max="7173" width="8.44140625" style="9" customWidth="1"/>
    <col min="7174" max="7174" width="12.88671875" style="9" customWidth="1"/>
    <col min="7175" max="7175" width="10" style="9"/>
    <col min="7176" max="7176" width="6.44140625" style="9" customWidth="1"/>
    <col min="7177" max="7182" width="10.21875" style="9" customWidth="1"/>
    <col min="7183" max="7187" width="10" style="9"/>
    <col min="7188" max="7188" width="15.77734375" style="9" customWidth="1"/>
    <col min="7189" max="7190" width="12.44140625" style="9" customWidth="1"/>
    <col min="7191" max="7192" width="10" style="9"/>
    <col min="7193" max="7194" width="9.6640625" style="9" customWidth="1"/>
    <col min="7195" max="7424" width="10" style="9"/>
    <col min="7425" max="7425" width="8.88671875" style="9" customWidth="1"/>
    <col min="7426" max="7427" width="11.77734375" style="9" customWidth="1"/>
    <col min="7428" max="7429" width="8.44140625" style="9" customWidth="1"/>
    <col min="7430" max="7430" width="12.88671875" style="9" customWidth="1"/>
    <col min="7431" max="7431" width="10" style="9"/>
    <col min="7432" max="7432" width="6.44140625" style="9" customWidth="1"/>
    <col min="7433" max="7438" width="10.21875" style="9" customWidth="1"/>
    <col min="7439" max="7443" width="10" style="9"/>
    <col min="7444" max="7444" width="15.77734375" style="9" customWidth="1"/>
    <col min="7445" max="7446" width="12.44140625" style="9" customWidth="1"/>
    <col min="7447" max="7448" width="10" style="9"/>
    <col min="7449" max="7450" width="9.6640625" style="9" customWidth="1"/>
    <col min="7451" max="7680" width="10" style="9"/>
    <col min="7681" max="7681" width="8.88671875" style="9" customWidth="1"/>
    <col min="7682" max="7683" width="11.77734375" style="9" customWidth="1"/>
    <col min="7684" max="7685" width="8.44140625" style="9" customWidth="1"/>
    <col min="7686" max="7686" width="12.88671875" style="9" customWidth="1"/>
    <col min="7687" max="7687" width="10" style="9"/>
    <col min="7688" max="7688" width="6.44140625" style="9" customWidth="1"/>
    <col min="7689" max="7694" width="10.21875" style="9" customWidth="1"/>
    <col min="7695" max="7699" width="10" style="9"/>
    <col min="7700" max="7700" width="15.77734375" style="9" customWidth="1"/>
    <col min="7701" max="7702" width="12.44140625" style="9" customWidth="1"/>
    <col min="7703" max="7704" width="10" style="9"/>
    <col min="7705" max="7706" width="9.6640625" style="9" customWidth="1"/>
    <col min="7707" max="7936" width="10" style="9"/>
    <col min="7937" max="7937" width="8.88671875" style="9" customWidth="1"/>
    <col min="7938" max="7939" width="11.77734375" style="9" customWidth="1"/>
    <col min="7940" max="7941" width="8.44140625" style="9" customWidth="1"/>
    <col min="7942" max="7942" width="12.88671875" style="9" customWidth="1"/>
    <col min="7943" max="7943" width="10" style="9"/>
    <col min="7944" max="7944" width="6.44140625" style="9" customWidth="1"/>
    <col min="7945" max="7950" width="10.21875" style="9" customWidth="1"/>
    <col min="7951" max="7955" width="10" style="9"/>
    <col min="7956" max="7956" width="15.77734375" style="9" customWidth="1"/>
    <col min="7957" max="7958" width="12.44140625" style="9" customWidth="1"/>
    <col min="7959" max="7960" width="10" style="9"/>
    <col min="7961" max="7962" width="9.6640625" style="9" customWidth="1"/>
    <col min="7963" max="8192" width="10" style="9"/>
    <col min="8193" max="8193" width="8.88671875" style="9" customWidth="1"/>
    <col min="8194" max="8195" width="11.77734375" style="9" customWidth="1"/>
    <col min="8196" max="8197" width="8.44140625" style="9" customWidth="1"/>
    <col min="8198" max="8198" width="12.88671875" style="9" customWidth="1"/>
    <col min="8199" max="8199" width="10" style="9"/>
    <col min="8200" max="8200" width="6.44140625" style="9" customWidth="1"/>
    <col min="8201" max="8206" width="10.21875" style="9" customWidth="1"/>
    <col min="8207" max="8211" width="10" style="9"/>
    <col min="8212" max="8212" width="15.77734375" style="9" customWidth="1"/>
    <col min="8213" max="8214" width="12.44140625" style="9" customWidth="1"/>
    <col min="8215" max="8216" width="10" style="9"/>
    <col min="8217" max="8218" width="9.6640625" style="9" customWidth="1"/>
    <col min="8219" max="8448" width="10" style="9"/>
    <col min="8449" max="8449" width="8.88671875" style="9" customWidth="1"/>
    <col min="8450" max="8451" width="11.77734375" style="9" customWidth="1"/>
    <col min="8452" max="8453" width="8.44140625" style="9" customWidth="1"/>
    <col min="8454" max="8454" width="12.88671875" style="9" customWidth="1"/>
    <col min="8455" max="8455" width="10" style="9"/>
    <col min="8456" max="8456" width="6.44140625" style="9" customWidth="1"/>
    <col min="8457" max="8462" width="10.21875" style="9" customWidth="1"/>
    <col min="8463" max="8467" width="10" style="9"/>
    <col min="8468" max="8468" width="15.77734375" style="9" customWidth="1"/>
    <col min="8469" max="8470" width="12.44140625" style="9" customWidth="1"/>
    <col min="8471" max="8472" width="10" style="9"/>
    <col min="8473" max="8474" width="9.6640625" style="9" customWidth="1"/>
    <col min="8475" max="8704" width="10" style="9"/>
    <col min="8705" max="8705" width="8.88671875" style="9" customWidth="1"/>
    <col min="8706" max="8707" width="11.77734375" style="9" customWidth="1"/>
    <col min="8708" max="8709" width="8.44140625" style="9" customWidth="1"/>
    <col min="8710" max="8710" width="12.88671875" style="9" customWidth="1"/>
    <col min="8711" max="8711" width="10" style="9"/>
    <col min="8712" max="8712" width="6.44140625" style="9" customWidth="1"/>
    <col min="8713" max="8718" width="10.21875" style="9" customWidth="1"/>
    <col min="8719" max="8723" width="10" style="9"/>
    <col min="8724" max="8724" width="15.77734375" style="9" customWidth="1"/>
    <col min="8725" max="8726" width="12.44140625" style="9" customWidth="1"/>
    <col min="8727" max="8728" width="10" style="9"/>
    <col min="8729" max="8730" width="9.6640625" style="9" customWidth="1"/>
    <col min="8731" max="8960" width="10" style="9"/>
    <col min="8961" max="8961" width="8.88671875" style="9" customWidth="1"/>
    <col min="8962" max="8963" width="11.77734375" style="9" customWidth="1"/>
    <col min="8964" max="8965" width="8.44140625" style="9" customWidth="1"/>
    <col min="8966" max="8966" width="12.88671875" style="9" customWidth="1"/>
    <col min="8967" max="8967" width="10" style="9"/>
    <col min="8968" max="8968" width="6.44140625" style="9" customWidth="1"/>
    <col min="8969" max="8974" width="10.21875" style="9" customWidth="1"/>
    <col min="8975" max="8979" width="10" style="9"/>
    <col min="8980" max="8980" width="15.77734375" style="9" customWidth="1"/>
    <col min="8981" max="8982" width="12.44140625" style="9" customWidth="1"/>
    <col min="8983" max="8984" width="10" style="9"/>
    <col min="8985" max="8986" width="9.6640625" style="9" customWidth="1"/>
    <col min="8987" max="9216" width="10" style="9"/>
    <col min="9217" max="9217" width="8.88671875" style="9" customWidth="1"/>
    <col min="9218" max="9219" width="11.77734375" style="9" customWidth="1"/>
    <col min="9220" max="9221" width="8.44140625" style="9" customWidth="1"/>
    <col min="9222" max="9222" width="12.88671875" style="9" customWidth="1"/>
    <col min="9223" max="9223" width="10" style="9"/>
    <col min="9224" max="9224" width="6.44140625" style="9" customWidth="1"/>
    <col min="9225" max="9230" width="10.21875" style="9" customWidth="1"/>
    <col min="9231" max="9235" width="10" style="9"/>
    <col min="9236" max="9236" width="15.77734375" style="9" customWidth="1"/>
    <col min="9237" max="9238" width="12.44140625" style="9" customWidth="1"/>
    <col min="9239" max="9240" width="10" style="9"/>
    <col min="9241" max="9242" width="9.6640625" style="9" customWidth="1"/>
    <col min="9243" max="9472" width="10" style="9"/>
    <col min="9473" max="9473" width="8.88671875" style="9" customWidth="1"/>
    <col min="9474" max="9475" width="11.77734375" style="9" customWidth="1"/>
    <col min="9476" max="9477" width="8.44140625" style="9" customWidth="1"/>
    <col min="9478" max="9478" width="12.88671875" style="9" customWidth="1"/>
    <col min="9479" max="9479" width="10" style="9"/>
    <col min="9480" max="9480" width="6.44140625" style="9" customWidth="1"/>
    <col min="9481" max="9486" width="10.21875" style="9" customWidth="1"/>
    <col min="9487" max="9491" width="10" style="9"/>
    <col min="9492" max="9492" width="15.77734375" style="9" customWidth="1"/>
    <col min="9493" max="9494" width="12.44140625" style="9" customWidth="1"/>
    <col min="9495" max="9496" width="10" style="9"/>
    <col min="9497" max="9498" width="9.6640625" style="9" customWidth="1"/>
    <col min="9499" max="9728" width="10" style="9"/>
    <col min="9729" max="9729" width="8.88671875" style="9" customWidth="1"/>
    <col min="9730" max="9731" width="11.77734375" style="9" customWidth="1"/>
    <col min="9732" max="9733" width="8.44140625" style="9" customWidth="1"/>
    <col min="9734" max="9734" width="12.88671875" style="9" customWidth="1"/>
    <col min="9735" max="9735" width="10" style="9"/>
    <col min="9736" max="9736" width="6.44140625" style="9" customWidth="1"/>
    <col min="9737" max="9742" width="10.21875" style="9" customWidth="1"/>
    <col min="9743" max="9747" width="10" style="9"/>
    <col min="9748" max="9748" width="15.77734375" style="9" customWidth="1"/>
    <col min="9749" max="9750" width="12.44140625" style="9" customWidth="1"/>
    <col min="9751" max="9752" width="10" style="9"/>
    <col min="9753" max="9754" width="9.6640625" style="9" customWidth="1"/>
    <col min="9755" max="9984" width="10" style="9"/>
    <col min="9985" max="9985" width="8.88671875" style="9" customWidth="1"/>
    <col min="9986" max="9987" width="11.77734375" style="9" customWidth="1"/>
    <col min="9988" max="9989" width="8.44140625" style="9" customWidth="1"/>
    <col min="9990" max="9990" width="12.88671875" style="9" customWidth="1"/>
    <col min="9991" max="9991" width="10" style="9"/>
    <col min="9992" max="9992" width="6.44140625" style="9" customWidth="1"/>
    <col min="9993" max="9998" width="10.21875" style="9" customWidth="1"/>
    <col min="9999" max="10003" width="10" style="9"/>
    <col min="10004" max="10004" width="15.77734375" style="9" customWidth="1"/>
    <col min="10005" max="10006" width="12.44140625" style="9" customWidth="1"/>
    <col min="10007" max="10008" width="10" style="9"/>
    <col min="10009" max="10010" width="9.6640625" style="9" customWidth="1"/>
    <col min="10011" max="10240" width="10" style="9"/>
    <col min="10241" max="10241" width="8.88671875" style="9" customWidth="1"/>
    <col min="10242" max="10243" width="11.77734375" style="9" customWidth="1"/>
    <col min="10244" max="10245" width="8.44140625" style="9" customWidth="1"/>
    <col min="10246" max="10246" width="12.88671875" style="9" customWidth="1"/>
    <col min="10247" max="10247" width="10" style="9"/>
    <col min="10248" max="10248" width="6.44140625" style="9" customWidth="1"/>
    <col min="10249" max="10254" width="10.21875" style="9" customWidth="1"/>
    <col min="10255" max="10259" width="10" style="9"/>
    <col min="10260" max="10260" width="15.77734375" style="9" customWidth="1"/>
    <col min="10261" max="10262" width="12.44140625" style="9" customWidth="1"/>
    <col min="10263" max="10264" width="10" style="9"/>
    <col min="10265" max="10266" width="9.6640625" style="9" customWidth="1"/>
    <col min="10267" max="10496" width="10" style="9"/>
    <col min="10497" max="10497" width="8.88671875" style="9" customWidth="1"/>
    <col min="10498" max="10499" width="11.77734375" style="9" customWidth="1"/>
    <col min="10500" max="10501" width="8.44140625" style="9" customWidth="1"/>
    <col min="10502" max="10502" width="12.88671875" style="9" customWidth="1"/>
    <col min="10503" max="10503" width="10" style="9"/>
    <col min="10504" max="10504" width="6.44140625" style="9" customWidth="1"/>
    <col min="10505" max="10510" width="10.21875" style="9" customWidth="1"/>
    <col min="10511" max="10515" width="10" style="9"/>
    <col min="10516" max="10516" width="15.77734375" style="9" customWidth="1"/>
    <col min="10517" max="10518" width="12.44140625" style="9" customWidth="1"/>
    <col min="10519" max="10520" width="10" style="9"/>
    <col min="10521" max="10522" width="9.6640625" style="9" customWidth="1"/>
    <col min="10523" max="10752" width="10" style="9"/>
    <col min="10753" max="10753" width="8.88671875" style="9" customWidth="1"/>
    <col min="10754" max="10755" width="11.77734375" style="9" customWidth="1"/>
    <col min="10756" max="10757" width="8.44140625" style="9" customWidth="1"/>
    <col min="10758" max="10758" width="12.88671875" style="9" customWidth="1"/>
    <col min="10759" max="10759" width="10" style="9"/>
    <col min="10760" max="10760" width="6.44140625" style="9" customWidth="1"/>
    <col min="10761" max="10766" width="10.21875" style="9" customWidth="1"/>
    <col min="10767" max="10771" width="10" style="9"/>
    <col min="10772" max="10772" width="15.77734375" style="9" customWidth="1"/>
    <col min="10773" max="10774" width="12.44140625" style="9" customWidth="1"/>
    <col min="10775" max="10776" width="10" style="9"/>
    <col min="10777" max="10778" width="9.6640625" style="9" customWidth="1"/>
    <col min="10779" max="11008" width="10" style="9"/>
    <col min="11009" max="11009" width="8.88671875" style="9" customWidth="1"/>
    <col min="11010" max="11011" width="11.77734375" style="9" customWidth="1"/>
    <col min="11012" max="11013" width="8.44140625" style="9" customWidth="1"/>
    <col min="11014" max="11014" width="12.88671875" style="9" customWidth="1"/>
    <col min="11015" max="11015" width="10" style="9"/>
    <col min="11016" max="11016" width="6.44140625" style="9" customWidth="1"/>
    <col min="11017" max="11022" width="10.21875" style="9" customWidth="1"/>
    <col min="11023" max="11027" width="10" style="9"/>
    <col min="11028" max="11028" width="15.77734375" style="9" customWidth="1"/>
    <col min="11029" max="11030" width="12.44140625" style="9" customWidth="1"/>
    <col min="11031" max="11032" width="10" style="9"/>
    <col min="11033" max="11034" width="9.6640625" style="9" customWidth="1"/>
    <col min="11035" max="11264" width="10" style="9"/>
    <col min="11265" max="11265" width="8.88671875" style="9" customWidth="1"/>
    <col min="11266" max="11267" width="11.77734375" style="9" customWidth="1"/>
    <col min="11268" max="11269" width="8.44140625" style="9" customWidth="1"/>
    <col min="11270" max="11270" width="12.88671875" style="9" customWidth="1"/>
    <col min="11271" max="11271" width="10" style="9"/>
    <col min="11272" max="11272" width="6.44140625" style="9" customWidth="1"/>
    <col min="11273" max="11278" width="10.21875" style="9" customWidth="1"/>
    <col min="11279" max="11283" width="10" style="9"/>
    <col min="11284" max="11284" width="15.77734375" style="9" customWidth="1"/>
    <col min="11285" max="11286" width="12.44140625" style="9" customWidth="1"/>
    <col min="11287" max="11288" width="10" style="9"/>
    <col min="11289" max="11290" width="9.6640625" style="9" customWidth="1"/>
    <col min="11291" max="11520" width="10" style="9"/>
    <col min="11521" max="11521" width="8.88671875" style="9" customWidth="1"/>
    <col min="11522" max="11523" width="11.77734375" style="9" customWidth="1"/>
    <col min="11524" max="11525" width="8.44140625" style="9" customWidth="1"/>
    <col min="11526" max="11526" width="12.88671875" style="9" customWidth="1"/>
    <col min="11527" max="11527" width="10" style="9"/>
    <col min="11528" max="11528" width="6.44140625" style="9" customWidth="1"/>
    <col min="11529" max="11534" width="10.21875" style="9" customWidth="1"/>
    <col min="11535" max="11539" width="10" style="9"/>
    <col min="11540" max="11540" width="15.77734375" style="9" customWidth="1"/>
    <col min="11541" max="11542" width="12.44140625" style="9" customWidth="1"/>
    <col min="11543" max="11544" width="10" style="9"/>
    <col min="11545" max="11546" width="9.6640625" style="9" customWidth="1"/>
    <col min="11547" max="11776" width="10" style="9"/>
    <col min="11777" max="11777" width="8.88671875" style="9" customWidth="1"/>
    <col min="11778" max="11779" width="11.77734375" style="9" customWidth="1"/>
    <col min="11780" max="11781" width="8.44140625" style="9" customWidth="1"/>
    <col min="11782" max="11782" width="12.88671875" style="9" customWidth="1"/>
    <col min="11783" max="11783" width="10" style="9"/>
    <col min="11784" max="11784" width="6.44140625" style="9" customWidth="1"/>
    <col min="11785" max="11790" width="10.21875" style="9" customWidth="1"/>
    <col min="11791" max="11795" width="10" style="9"/>
    <col min="11796" max="11796" width="15.77734375" style="9" customWidth="1"/>
    <col min="11797" max="11798" width="12.44140625" style="9" customWidth="1"/>
    <col min="11799" max="11800" width="10" style="9"/>
    <col min="11801" max="11802" width="9.6640625" style="9" customWidth="1"/>
    <col min="11803" max="12032" width="10" style="9"/>
    <col min="12033" max="12033" width="8.88671875" style="9" customWidth="1"/>
    <col min="12034" max="12035" width="11.77734375" style="9" customWidth="1"/>
    <col min="12036" max="12037" width="8.44140625" style="9" customWidth="1"/>
    <col min="12038" max="12038" width="12.88671875" style="9" customWidth="1"/>
    <col min="12039" max="12039" width="10" style="9"/>
    <col min="12040" max="12040" width="6.44140625" style="9" customWidth="1"/>
    <col min="12041" max="12046" width="10.21875" style="9" customWidth="1"/>
    <col min="12047" max="12051" width="10" style="9"/>
    <col min="12052" max="12052" width="15.77734375" style="9" customWidth="1"/>
    <col min="12053" max="12054" width="12.44140625" style="9" customWidth="1"/>
    <col min="12055" max="12056" width="10" style="9"/>
    <col min="12057" max="12058" width="9.6640625" style="9" customWidth="1"/>
    <col min="12059" max="12288" width="10" style="9"/>
    <col min="12289" max="12289" width="8.88671875" style="9" customWidth="1"/>
    <col min="12290" max="12291" width="11.77734375" style="9" customWidth="1"/>
    <col min="12292" max="12293" width="8.44140625" style="9" customWidth="1"/>
    <col min="12294" max="12294" width="12.88671875" style="9" customWidth="1"/>
    <col min="12295" max="12295" width="10" style="9"/>
    <col min="12296" max="12296" width="6.44140625" style="9" customWidth="1"/>
    <col min="12297" max="12302" width="10.21875" style="9" customWidth="1"/>
    <col min="12303" max="12307" width="10" style="9"/>
    <col min="12308" max="12308" width="15.77734375" style="9" customWidth="1"/>
    <col min="12309" max="12310" width="12.44140625" style="9" customWidth="1"/>
    <col min="12311" max="12312" width="10" style="9"/>
    <col min="12313" max="12314" width="9.6640625" style="9" customWidth="1"/>
    <col min="12315" max="12544" width="10" style="9"/>
    <col min="12545" max="12545" width="8.88671875" style="9" customWidth="1"/>
    <col min="12546" max="12547" width="11.77734375" style="9" customWidth="1"/>
    <col min="12548" max="12549" width="8.44140625" style="9" customWidth="1"/>
    <col min="12550" max="12550" width="12.88671875" style="9" customWidth="1"/>
    <col min="12551" max="12551" width="10" style="9"/>
    <col min="12552" max="12552" width="6.44140625" style="9" customWidth="1"/>
    <col min="12553" max="12558" width="10.21875" style="9" customWidth="1"/>
    <col min="12559" max="12563" width="10" style="9"/>
    <col min="12564" max="12564" width="15.77734375" style="9" customWidth="1"/>
    <col min="12565" max="12566" width="12.44140625" style="9" customWidth="1"/>
    <col min="12567" max="12568" width="10" style="9"/>
    <col min="12569" max="12570" width="9.6640625" style="9" customWidth="1"/>
    <col min="12571" max="12800" width="10" style="9"/>
    <col min="12801" max="12801" width="8.88671875" style="9" customWidth="1"/>
    <col min="12802" max="12803" width="11.77734375" style="9" customWidth="1"/>
    <col min="12804" max="12805" width="8.44140625" style="9" customWidth="1"/>
    <col min="12806" max="12806" width="12.88671875" style="9" customWidth="1"/>
    <col min="12807" max="12807" width="10" style="9"/>
    <col min="12808" max="12808" width="6.44140625" style="9" customWidth="1"/>
    <col min="12809" max="12814" width="10.21875" style="9" customWidth="1"/>
    <col min="12815" max="12819" width="10" style="9"/>
    <col min="12820" max="12820" width="15.77734375" style="9" customWidth="1"/>
    <col min="12821" max="12822" width="12.44140625" style="9" customWidth="1"/>
    <col min="12823" max="12824" width="10" style="9"/>
    <col min="12825" max="12826" width="9.6640625" style="9" customWidth="1"/>
    <col min="12827" max="13056" width="10" style="9"/>
    <col min="13057" max="13057" width="8.88671875" style="9" customWidth="1"/>
    <col min="13058" max="13059" width="11.77734375" style="9" customWidth="1"/>
    <col min="13060" max="13061" width="8.44140625" style="9" customWidth="1"/>
    <col min="13062" max="13062" width="12.88671875" style="9" customWidth="1"/>
    <col min="13063" max="13063" width="10" style="9"/>
    <col min="13064" max="13064" width="6.44140625" style="9" customWidth="1"/>
    <col min="13065" max="13070" width="10.21875" style="9" customWidth="1"/>
    <col min="13071" max="13075" width="10" style="9"/>
    <col min="13076" max="13076" width="15.77734375" style="9" customWidth="1"/>
    <col min="13077" max="13078" width="12.44140625" style="9" customWidth="1"/>
    <col min="13079" max="13080" width="10" style="9"/>
    <col min="13081" max="13082" width="9.6640625" style="9" customWidth="1"/>
    <col min="13083" max="13312" width="10" style="9"/>
    <col min="13313" max="13313" width="8.88671875" style="9" customWidth="1"/>
    <col min="13314" max="13315" width="11.77734375" style="9" customWidth="1"/>
    <col min="13316" max="13317" width="8.44140625" style="9" customWidth="1"/>
    <col min="13318" max="13318" width="12.88671875" style="9" customWidth="1"/>
    <col min="13319" max="13319" width="10" style="9"/>
    <col min="13320" max="13320" width="6.44140625" style="9" customWidth="1"/>
    <col min="13321" max="13326" width="10.21875" style="9" customWidth="1"/>
    <col min="13327" max="13331" width="10" style="9"/>
    <col min="13332" max="13332" width="15.77734375" style="9" customWidth="1"/>
    <col min="13333" max="13334" width="12.44140625" style="9" customWidth="1"/>
    <col min="13335" max="13336" width="10" style="9"/>
    <col min="13337" max="13338" width="9.6640625" style="9" customWidth="1"/>
    <col min="13339" max="13568" width="10" style="9"/>
    <col min="13569" max="13569" width="8.88671875" style="9" customWidth="1"/>
    <col min="13570" max="13571" width="11.77734375" style="9" customWidth="1"/>
    <col min="13572" max="13573" width="8.44140625" style="9" customWidth="1"/>
    <col min="13574" max="13574" width="12.88671875" style="9" customWidth="1"/>
    <col min="13575" max="13575" width="10" style="9"/>
    <col min="13576" max="13576" width="6.44140625" style="9" customWidth="1"/>
    <col min="13577" max="13582" width="10.21875" style="9" customWidth="1"/>
    <col min="13583" max="13587" width="10" style="9"/>
    <col min="13588" max="13588" width="15.77734375" style="9" customWidth="1"/>
    <col min="13589" max="13590" width="12.44140625" style="9" customWidth="1"/>
    <col min="13591" max="13592" width="10" style="9"/>
    <col min="13593" max="13594" width="9.6640625" style="9" customWidth="1"/>
    <col min="13595" max="13824" width="10" style="9"/>
    <col min="13825" max="13825" width="8.88671875" style="9" customWidth="1"/>
    <col min="13826" max="13827" width="11.77734375" style="9" customWidth="1"/>
    <col min="13828" max="13829" width="8.44140625" style="9" customWidth="1"/>
    <col min="13830" max="13830" width="12.88671875" style="9" customWidth="1"/>
    <col min="13831" max="13831" width="10" style="9"/>
    <col min="13832" max="13832" width="6.44140625" style="9" customWidth="1"/>
    <col min="13833" max="13838" width="10.21875" style="9" customWidth="1"/>
    <col min="13839" max="13843" width="10" style="9"/>
    <col min="13844" max="13844" width="15.77734375" style="9" customWidth="1"/>
    <col min="13845" max="13846" width="12.44140625" style="9" customWidth="1"/>
    <col min="13847" max="13848" width="10" style="9"/>
    <col min="13849" max="13850" width="9.6640625" style="9" customWidth="1"/>
    <col min="13851" max="14080" width="10" style="9"/>
    <col min="14081" max="14081" width="8.88671875" style="9" customWidth="1"/>
    <col min="14082" max="14083" width="11.77734375" style="9" customWidth="1"/>
    <col min="14084" max="14085" width="8.44140625" style="9" customWidth="1"/>
    <col min="14086" max="14086" width="12.88671875" style="9" customWidth="1"/>
    <col min="14087" max="14087" width="10" style="9"/>
    <col min="14088" max="14088" width="6.44140625" style="9" customWidth="1"/>
    <col min="14089" max="14094" width="10.21875" style="9" customWidth="1"/>
    <col min="14095" max="14099" width="10" style="9"/>
    <col min="14100" max="14100" width="15.77734375" style="9" customWidth="1"/>
    <col min="14101" max="14102" width="12.44140625" style="9" customWidth="1"/>
    <col min="14103" max="14104" width="10" style="9"/>
    <col min="14105" max="14106" width="9.6640625" style="9" customWidth="1"/>
    <col min="14107" max="14336" width="10" style="9"/>
    <col min="14337" max="14337" width="8.88671875" style="9" customWidth="1"/>
    <col min="14338" max="14339" width="11.77734375" style="9" customWidth="1"/>
    <col min="14340" max="14341" width="8.44140625" style="9" customWidth="1"/>
    <col min="14342" max="14342" width="12.88671875" style="9" customWidth="1"/>
    <col min="14343" max="14343" width="10" style="9"/>
    <col min="14344" max="14344" width="6.44140625" style="9" customWidth="1"/>
    <col min="14345" max="14350" width="10.21875" style="9" customWidth="1"/>
    <col min="14351" max="14355" width="10" style="9"/>
    <col min="14356" max="14356" width="15.77734375" style="9" customWidth="1"/>
    <col min="14357" max="14358" width="12.44140625" style="9" customWidth="1"/>
    <col min="14359" max="14360" width="10" style="9"/>
    <col min="14361" max="14362" width="9.6640625" style="9" customWidth="1"/>
    <col min="14363" max="14592" width="10" style="9"/>
    <col min="14593" max="14593" width="8.88671875" style="9" customWidth="1"/>
    <col min="14594" max="14595" width="11.77734375" style="9" customWidth="1"/>
    <col min="14596" max="14597" width="8.44140625" style="9" customWidth="1"/>
    <col min="14598" max="14598" width="12.88671875" style="9" customWidth="1"/>
    <col min="14599" max="14599" width="10" style="9"/>
    <col min="14600" max="14600" width="6.44140625" style="9" customWidth="1"/>
    <col min="14601" max="14606" width="10.21875" style="9" customWidth="1"/>
    <col min="14607" max="14611" width="10" style="9"/>
    <col min="14612" max="14612" width="15.77734375" style="9" customWidth="1"/>
    <col min="14613" max="14614" width="12.44140625" style="9" customWidth="1"/>
    <col min="14615" max="14616" width="10" style="9"/>
    <col min="14617" max="14618" width="9.6640625" style="9" customWidth="1"/>
    <col min="14619" max="14848" width="10" style="9"/>
    <col min="14849" max="14849" width="8.88671875" style="9" customWidth="1"/>
    <col min="14850" max="14851" width="11.77734375" style="9" customWidth="1"/>
    <col min="14852" max="14853" width="8.44140625" style="9" customWidth="1"/>
    <col min="14854" max="14854" width="12.88671875" style="9" customWidth="1"/>
    <col min="14855" max="14855" width="10" style="9"/>
    <col min="14856" max="14856" width="6.44140625" style="9" customWidth="1"/>
    <col min="14857" max="14862" width="10.21875" style="9" customWidth="1"/>
    <col min="14863" max="14867" width="10" style="9"/>
    <col min="14868" max="14868" width="15.77734375" style="9" customWidth="1"/>
    <col min="14869" max="14870" width="12.44140625" style="9" customWidth="1"/>
    <col min="14871" max="14872" width="10" style="9"/>
    <col min="14873" max="14874" width="9.6640625" style="9" customWidth="1"/>
    <col min="14875" max="15104" width="10" style="9"/>
    <col min="15105" max="15105" width="8.88671875" style="9" customWidth="1"/>
    <col min="15106" max="15107" width="11.77734375" style="9" customWidth="1"/>
    <col min="15108" max="15109" width="8.44140625" style="9" customWidth="1"/>
    <col min="15110" max="15110" width="12.88671875" style="9" customWidth="1"/>
    <col min="15111" max="15111" width="10" style="9"/>
    <col min="15112" max="15112" width="6.44140625" style="9" customWidth="1"/>
    <col min="15113" max="15118" width="10.21875" style="9" customWidth="1"/>
    <col min="15119" max="15123" width="10" style="9"/>
    <col min="15124" max="15124" width="15.77734375" style="9" customWidth="1"/>
    <col min="15125" max="15126" width="12.44140625" style="9" customWidth="1"/>
    <col min="15127" max="15128" width="10" style="9"/>
    <col min="15129" max="15130" width="9.6640625" style="9" customWidth="1"/>
    <col min="15131" max="15360" width="10" style="9"/>
    <col min="15361" max="15361" width="8.88671875" style="9" customWidth="1"/>
    <col min="15362" max="15363" width="11.77734375" style="9" customWidth="1"/>
    <col min="15364" max="15365" width="8.44140625" style="9" customWidth="1"/>
    <col min="15366" max="15366" width="12.88671875" style="9" customWidth="1"/>
    <col min="15367" max="15367" width="10" style="9"/>
    <col min="15368" max="15368" width="6.44140625" style="9" customWidth="1"/>
    <col min="15369" max="15374" width="10.21875" style="9" customWidth="1"/>
    <col min="15375" max="15379" width="10" style="9"/>
    <col min="15380" max="15380" width="15.77734375" style="9" customWidth="1"/>
    <col min="15381" max="15382" width="12.44140625" style="9" customWidth="1"/>
    <col min="15383" max="15384" width="10" style="9"/>
    <col min="15385" max="15386" width="9.6640625" style="9" customWidth="1"/>
    <col min="15387" max="15616" width="10" style="9"/>
    <col min="15617" max="15617" width="8.88671875" style="9" customWidth="1"/>
    <col min="15618" max="15619" width="11.77734375" style="9" customWidth="1"/>
    <col min="15620" max="15621" width="8.44140625" style="9" customWidth="1"/>
    <col min="15622" max="15622" width="12.88671875" style="9" customWidth="1"/>
    <col min="15623" max="15623" width="10" style="9"/>
    <col min="15624" max="15624" width="6.44140625" style="9" customWidth="1"/>
    <col min="15625" max="15630" width="10.21875" style="9" customWidth="1"/>
    <col min="15631" max="15635" width="10" style="9"/>
    <col min="15636" max="15636" width="15.77734375" style="9" customWidth="1"/>
    <col min="15637" max="15638" width="12.44140625" style="9" customWidth="1"/>
    <col min="15639" max="15640" width="10" style="9"/>
    <col min="15641" max="15642" width="9.6640625" style="9" customWidth="1"/>
    <col min="15643" max="15872" width="10" style="9"/>
    <col min="15873" max="15873" width="8.88671875" style="9" customWidth="1"/>
    <col min="15874" max="15875" width="11.77734375" style="9" customWidth="1"/>
    <col min="15876" max="15877" width="8.44140625" style="9" customWidth="1"/>
    <col min="15878" max="15878" width="12.88671875" style="9" customWidth="1"/>
    <col min="15879" max="15879" width="10" style="9"/>
    <col min="15880" max="15880" width="6.44140625" style="9" customWidth="1"/>
    <col min="15881" max="15886" width="10.21875" style="9" customWidth="1"/>
    <col min="15887" max="15891" width="10" style="9"/>
    <col min="15892" max="15892" width="15.77734375" style="9" customWidth="1"/>
    <col min="15893" max="15894" width="12.44140625" style="9" customWidth="1"/>
    <col min="15895" max="15896" width="10" style="9"/>
    <col min="15897" max="15898" width="9.6640625" style="9" customWidth="1"/>
    <col min="15899" max="16128" width="10" style="9"/>
    <col min="16129" max="16129" width="8.88671875" style="9" customWidth="1"/>
    <col min="16130" max="16131" width="11.77734375" style="9" customWidth="1"/>
    <col min="16132" max="16133" width="8.44140625" style="9" customWidth="1"/>
    <col min="16134" max="16134" width="12.88671875" style="9" customWidth="1"/>
    <col min="16135" max="16135" width="10" style="9"/>
    <col min="16136" max="16136" width="6.44140625" style="9" customWidth="1"/>
    <col min="16137" max="16142" width="10.21875" style="9" customWidth="1"/>
    <col min="16143" max="16147" width="10" style="9"/>
    <col min="16148" max="16148" width="15.77734375" style="9" customWidth="1"/>
    <col min="16149" max="16150" width="12.44140625" style="9" customWidth="1"/>
    <col min="16151" max="16152" width="10" style="9"/>
    <col min="16153" max="16154" width="9.6640625" style="9" customWidth="1"/>
    <col min="16155" max="16384" width="10" style="9"/>
  </cols>
  <sheetData>
    <row r="1" spans="1:66" ht="31.2" thickBot="1">
      <c r="A1" s="5" t="s">
        <v>35</v>
      </c>
      <c r="I1" s="8"/>
      <c r="J1" s="8"/>
      <c r="K1" s="8"/>
      <c r="L1" s="8"/>
      <c r="M1" s="8"/>
      <c r="N1" s="8"/>
      <c r="O1" s="8"/>
      <c r="Q1" s="8"/>
      <c r="AH1" s="8"/>
      <c r="AI1" s="8"/>
      <c r="AJ1" s="8"/>
      <c r="AK1" s="8">
        <v>0</v>
      </c>
      <c r="AL1" s="8">
        <v>0</v>
      </c>
      <c r="AM1" s="8"/>
      <c r="AN1" s="8"/>
      <c r="AO1" s="8"/>
      <c r="AP1" s="8"/>
      <c r="AQ1" s="8"/>
      <c r="AY1" s="8"/>
      <c r="AZ1" s="8"/>
      <c r="BA1" s="8"/>
      <c r="BB1" s="8"/>
      <c r="BC1" s="8"/>
      <c r="BD1" s="8"/>
      <c r="BE1" s="8"/>
      <c r="BF1" s="8"/>
      <c r="BG1" s="8"/>
      <c r="BH1" s="8"/>
      <c r="BI1" s="8"/>
      <c r="BJ1" s="8"/>
      <c r="BK1" s="8"/>
      <c r="BL1" s="8"/>
      <c r="BM1" s="8"/>
      <c r="BN1" s="8"/>
    </row>
    <row r="2" spans="1:66" s="15" customFormat="1" ht="42" customHeight="1" thickBot="1">
      <c r="A2" s="12" t="s">
        <v>36</v>
      </c>
      <c r="B2" s="76"/>
      <c r="C2" s="8"/>
      <c r="D2" s="8"/>
      <c r="F2" s="67" t="s">
        <v>37</v>
      </c>
      <c r="G2" s="77"/>
      <c r="I2" s="16"/>
      <c r="J2" s="16"/>
      <c r="K2" s="16"/>
      <c r="L2" s="16"/>
      <c r="M2" s="16"/>
      <c r="N2" s="16"/>
      <c r="O2" s="16"/>
      <c r="Q2" s="16"/>
      <c r="R2" s="8"/>
      <c r="S2" s="8"/>
      <c r="T2" s="8"/>
      <c r="U2" s="8"/>
      <c r="V2" s="8"/>
      <c r="W2" s="16"/>
      <c r="X2" s="16"/>
      <c r="Y2" s="47"/>
      <c r="Z2" s="47"/>
      <c r="AA2" s="16"/>
      <c r="AB2" s="16"/>
      <c r="AC2" s="16"/>
      <c r="AD2" s="16"/>
      <c r="AE2" s="16"/>
      <c r="AF2" s="16"/>
      <c r="AG2" s="16"/>
      <c r="AH2" s="16">
        <v>0</v>
      </c>
      <c r="AI2" s="16"/>
      <c r="AJ2" s="16"/>
      <c r="AK2" s="16">
        <v>0</v>
      </c>
      <c r="AL2" s="16">
        <v>0</v>
      </c>
      <c r="AM2" s="16"/>
      <c r="AN2" s="16"/>
      <c r="AO2" s="16"/>
      <c r="AP2" s="16"/>
      <c r="AQ2" s="16"/>
      <c r="AR2" s="8"/>
      <c r="AS2" s="8"/>
      <c r="AT2" s="8"/>
      <c r="AU2" s="8"/>
      <c r="AV2" s="8"/>
      <c r="AW2" s="8"/>
      <c r="AX2" s="8"/>
      <c r="AY2" s="16"/>
      <c r="AZ2" s="16"/>
      <c r="BA2" s="16"/>
      <c r="BB2" s="16"/>
      <c r="BC2" s="16"/>
      <c r="BD2" s="16"/>
      <c r="BE2" s="16"/>
      <c r="BF2" s="16"/>
      <c r="BG2" s="16"/>
      <c r="BH2" s="16"/>
      <c r="BI2" s="16"/>
      <c r="BJ2" s="16"/>
      <c r="BK2" s="16"/>
      <c r="BL2" s="16"/>
      <c r="BM2" s="16"/>
      <c r="BN2" s="16"/>
    </row>
    <row r="3" spans="1:66" ht="16.2" thickBot="1">
      <c r="A3" s="17">
        <v>1</v>
      </c>
      <c r="B3" s="78"/>
      <c r="F3" s="20"/>
      <c r="G3" s="21" t="s">
        <v>38</v>
      </c>
      <c r="AH3" s="8">
        <v>0.12903225421905518</v>
      </c>
      <c r="AI3" s="8">
        <v>0</v>
      </c>
      <c r="AJ3" s="8"/>
      <c r="AK3" s="8">
        <v>0.12903225421905518</v>
      </c>
      <c r="AL3" s="8">
        <v>0</v>
      </c>
      <c r="AM3" s="8"/>
      <c r="AN3" s="8"/>
      <c r="AO3" s="8"/>
      <c r="AP3" s="8"/>
      <c r="AQ3" s="8"/>
      <c r="AY3" s="8"/>
      <c r="AZ3" s="8"/>
      <c r="BA3" s="8"/>
      <c r="BB3" s="8"/>
      <c r="BC3" s="8"/>
      <c r="BD3" s="8"/>
      <c r="BE3" s="8"/>
      <c r="BF3" s="8"/>
      <c r="BG3" s="8"/>
      <c r="BH3" s="8"/>
      <c r="BI3" s="8"/>
      <c r="BJ3" s="8"/>
      <c r="BK3" s="8"/>
      <c r="BL3" s="8"/>
      <c r="BM3" s="8"/>
      <c r="BN3" s="8"/>
    </row>
    <row r="4" spans="1:66" ht="16.2" thickBot="1">
      <c r="A4" s="17">
        <v>2</v>
      </c>
      <c r="B4" s="78"/>
      <c r="F4" s="22"/>
      <c r="G4" s="23" t="s">
        <v>206</v>
      </c>
      <c r="I4" s="79" t="s">
        <v>207</v>
      </c>
      <c r="J4" s="80"/>
      <c r="K4" s="81"/>
      <c r="L4" s="73" t="s">
        <v>40</v>
      </c>
      <c r="M4" s="73"/>
      <c r="N4" s="74"/>
      <c r="P4" s="24"/>
      <c r="AH4" s="8">
        <v>0.25806450843811035</v>
      </c>
      <c r="AI4" s="8">
        <v>3</v>
      </c>
      <c r="AJ4" s="8"/>
      <c r="AK4" s="8">
        <v>0.12903225421905518</v>
      </c>
      <c r="AL4" s="8">
        <v>3</v>
      </c>
      <c r="AM4" s="8"/>
      <c r="AN4" s="8"/>
      <c r="AO4" s="8"/>
      <c r="AP4" s="8"/>
      <c r="AQ4" s="8"/>
      <c r="AY4" s="8"/>
      <c r="AZ4" s="8"/>
      <c r="BA4" s="8"/>
      <c r="BB4" s="8"/>
      <c r="BC4" s="8"/>
      <c r="BD4" s="8"/>
      <c r="BE4" s="8"/>
      <c r="BF4" s="8"/>
      <c r="BG4" s="8"/>
      <c r="BH4" s="8"/>
      <c r="BI4" s="8"/>
      <c r="BJ4" s="8"/>
      <c r="BK4" s="8"/>
      <c r="BL4" s="8"/>
      <c r="BM4" s="8"/>
      <c r="BN4" s="8"/>
    </row>
    <row r="5" spans="1:66">
      <c r="A5" s="17">
        <v>3</v>
      </c>
      <c r="B5" s="78"/>
      <c r="I5" s="82" t="s">
        <v>41</v>
      </c>
      <c r="J5" s="83">
        <v>1.1671042295446972</v>
      </c>
      <c r="K5" s="36"/>
      <c r="L5" s="84"/>
      <c r="M5" s="29"/>
      <c r="N5" s="85"/>
      <c r="P5" s="24"/>
      <c r="AH5" s="8">
        <v>0.38709676265716553</v>
      </c>
      <c r="AI5" s="8">
        <v>4</v>
      </c>
      <c r="AJ5" s="8"/>
      <c r="AK5" s="8">
        <v>0.25806450843811035</v>
      </c>
      <c r="AL5" s="8">
        <v>3</v>
      </c>
      <c r="AM5" s="8"/>
      <c r="AN5" s="8"/>
      <c r="AO5" s="8"/>
      <c r="AP5" s="8"/>
      <c r="AQ5" s="8"/>
      <c r="AY5" s="8"/>
      <c r="AZ5" s="8"/>
      <c r="BA5" s="8"/>
      <c r="BB5" s="8"/>
      <c r="BC5" s="8"/>
      <c r="BD5" s="8"/>
      <c r="BE5" s="8"/>
      <c r="BF5" s="8"/>
      <c r="BG5" s="8"/>
      <c r="BH5" s="8"/>
      <c r="BI5" s="8"/>
      <c r="BJ5" s="8"/>
      <c r="BK5" s="8"/>
      <c r="BL5" s="8"/>
      <c r="BM5" s="8"/>
      <c r="BN5" s="8"/>
    </row>
    <row r="6" spans="1:66">
      <c r="A6" s="17">
        <v>4</v>
      </c>
      <c r="B6" s="78"/>
      <c r="I6" s="86" t="s">
        <v>42</v>
      </c>
      <c r="J6" s="87">
        <v>0.57603988214435031</v>
      </c>
      <c r="K6" s="36"/>
      <c r="L6" s="88"/>
      <c r="M6" s="89"/>
      <c r="N6" s="36"/>
      <c r="AH6" s="8">
        <v>0.5161290168762207</v>
      </c>
      <c r="AI6" s="8">
        <v>8</v>
      </c>
      <c r="AJ6" s="8"/>
      <c r="AK6" s="8">
        <v>0.25806450843811035</v>
      </c>
      <c r="AL6" s="8">
        <v>4</v>
      </c>
      <c r="AM6" s="8"/>
      <c r="AN6" s="8"/>
      <c r="AO6" s="8"/>
      <c r="AP6" s="8"/>
      <c r="AQ6" s="8"/>
      <c r="AY6" s="8"/>
      <c r="AZ6" s="8"/>
      <c r="BA6" s="8"/>
      <c r="BB6" s="8"/>
      <c r="BC6" s="8"/>
      <c r="BD6" s="8"/>
      <c r="BE6" s="8"/>
      <c r="BF6" s="8"/>
      <c r="BG6" s="8"/>
      <c r="BH6" s="8"/>
      <c r="BI6" s="8"/>
      <c r="BJ6" s="8"/>
      <c r="BK6" s="8"/>
      <c r="BL6" s="8"/>
      <c r="BM6" s="8"/>
      <c r="BN6" s="8"/>
    </row>
    <row r="7" spans="1:66">
      <c r="A7" s="17">
        <v>5</v>
      </c>
      <c r="B7" s="78"/>
      <c r="F7" s="90"/>
      <c r="I7" s="86" t="s">
        <v>43</v>
      </c>
      <c r="J7" s="91">
        <v>2.5793023004401907</v>
      </c>
      <c r="K7" s="36"/>
      <c r="L7" s="92"/>
      <c r="N7" s="36"/>
      <c r="AH7" s="8">
        <v>0.64516127109527588</v>
      </c>
      <c r="AI7" s="8">
        <v>4</v>
      </c>
      <c r="AJ7" s="8"/>
      <c r="AK7" s="8">
        <v>0.38709676265716553</v>
      </c>
      <c r="AL7" s="8">
        <v>4</v>
      </c>
      <c r="AM7" s="8"/>
      <c r="AN7" s="8"/>
      <c r="AO7" s="8"/>
      <c r="AP7" s="8"/>
      <c r="AQ7" s="8"/>
      <c r="AY7" s="8"/>
      <c r="AZ7" s="8"/>
      <c r="BA7" s="8"/>
      <c r="BB7" s="8"/>
      <c r="BC7" s="8"/>
      <c r="BD7" s="8"/>
      <c r="BE7" s="8"/>
      <c r="BF7" s="8"/>
      <c r="BG7" s="8"/>
      <c r="BH7" s="8"/>
      <c r="BI7" s="8"/>
      <c r="BJ7" s="8"/>
      <c r="BK7" s="8"/>
      <c r="BL7" s="8"/>
      <c r="BM7" s="8"/>
      <c r="BN7" s="8"/>
    </row>
    <row r="8" spans="1:66" ht="16.2" thickBot="1">
      <c r="A8" s="17">
        <v>6</v>
      </c>
      <c r="B8" s="78"/>
      <c r="F8" s="90"/>
      <c r="I8" s="93" t="s">
        <v>44</v>
      </c>
      <c r="J8" s="94">
        <v>0.21342784181531316</v>
      </c>
      <c r="K8" s="42"/>
      <c r="L8" s="95"/>
      <c r="M8" s="41"/>
      <c r="N8" s="42"/>
      <c r="AH8" s="8">
        <v>0.77419352531433105</v>
      </c>
      <c r="AI8" s="8">
        <v>9</v>
      </c>
      <c r="AJ8" s="8"/>
      <c r="AK8" s="8">
        <v>0.38709676265716553</v>
      </c>
      <c r="AL8" s="8">
        <v>8</v>
      </c>
      <c r="AM8" s="8"/>
      <c r="AN8" s="8"/>
      <c r="AO8" s="8"/>
      <c r="AP8" s="8"/>
      <c r="AQ8" s="8"/>
      <c r="AY8" s="8"/>
      <c r="AZ8" s="8"/>
      <c r="BA8" s="8"/>
      <c r="BB8" s="8"/>
      <c r="BC8" s="8"/>
      <c r="BD8" s="8"/>
      <c r="BE8" s="8"/>
      <c r="BF8" s="8"/>
      <c r="BG8" s="8"/>
      <c r="BH8" s="8"/>
      <c r="BI8" s="8"/>
      <c r="BJ8" s="8"/>
      <c r="BK8" s="8"/>
      <c r="BL8" s="8"/>
      <c r="BM8" s="8"/>
      <c r="BN8" s="8"/>
    </row>
    <row r="9" spans="1:66">
      <c r="A9" s="17">
        <v>7</v>
      </c>
      <c r="B9" s="78"/>
      <c r="F9" s="90"/>
      <c r="J9" s="8"/>
      <c r="AH9" s="8">
        <v>0.90322577953338623</v>
      </c>
      <c r="AI9" s="8">
        <v>9</v>
      </c>
      <c r="AJ9" s="8"/>
      <c r="AK9" s="8">
        <v>0.5161290168762207</v>
      </c>
      <c r="AL9" s="8">
        <v>8</v>
      </c>
      <c r="AM9" s="8"/>
      <c r="AN9" s="8"/>
      <c r="AO9" s="8"/>
      <c r="AP9" s="8"/>
      <c r="AQ9" s="8"/>
      <c r="AY9" s="8"/>
      <c r="AZ9" s="8"/>
      <c r="BA9" s="8"/>
      <c r="BB9" s="8"/>
      <c r="BC9" s="8"/>
      <c r="BD9" s="8"/>
      <c r="BE9" s="8"/>
      <c r="BF9" s="8"/>
      <c r="BG9" s="8"/>
      <c r="BH9" s="8"/>
      <c r="BI9" s="8"/>
      <c r="BJ9" s="8"/>
      <c r="BK9" s="8"/>
      <c r="BL9" s="8"/>
      <c r="BM9" s="8"/>
      <c r="BN9" s="8"/>
    </row>
    <row r="10" spans="1:66">
      <c r="A10" s="17">
        <v>8</v>
      </c>
      <c r="B10" s="78"/>
      <c r="F10" s="90"/>
      <c r="J10" s="8"/>
      <c r="P10" s="24"/>
      <c r="AH10" s="8">
        <v>1.0322580337524414</v>
      </c>
      <c r="AI10" s="8">
        <v>12</v>
      </c>
      <c r="AJ10" s="8"/>
      <c r="AK10" s="8">
        <v>0.5161290168762207</v>
      </c>
      <c r="AL10" s="8">
        <v>4</v>
      </c>
      <c r="AM10" s="8"/>
      <c r="AN10" s="8"/>
      <c r="AO10" s="8"/>
      <c r="AP10" s="8"/>
      <c r="AQ10" s="8"/>
      <c r="AY10" s="8"/>
      <c r="AZ10" s="8"/>
      <c r="BA10" s="8"/>
      <c r="BB10" s="8"/>
      <c r="BC10" s="8"/>
      <c r="BD10" s="8"/>
      <c r="BE10" s="8"/>
      <c r="BF10" s="8"/>
      <c r="BG10" s="8"/>
      <c r="BH10" s="8"/>
      <c r="BI10" s="8"/>
      <c r="BJ10" s="8"/>
      <c r="BK10" s="8"/>
      <c r="BL10" s="8"/>
      <c r="BM10" s="8"/>
      <c r="BN10" s="8"/>
    </row>
    <row r="11" spans="1:66">
      <c r="A11" s="17">
        <v>9</v>
      </c>
      <c r="B11" s="78"/>
      <c r="J11" s="8"/>
      <c r="P11" s="24"/>
      <c r="AH11" s="8">
        <v>1.1612902879714966</v>
      </c>
      <c r="AI11" s="8">
        <v>8</v>
      </c>
      <c r="AJ11" s="8"/>
      <c r="AK11" s="8">
        <v>0.64516127109527588</v>
      </c>
      <c r="AL11" s="8">
        <v>4</v>
      </c>
      <c r="AM11" s="8"/>
      <c r="AN11" s="8"/>
      <c r="AO11" s="8"/>
      <c r="AP11" s="8"/>
      <c r="AQ11" s="8"/>
      <c r="AY11" s="8"/>
      <c r="AZ11" s="8"/>
      <c r="BA11" s="8"/>
      <c r="BB11" s="8"/>
      <c r="BC11" s="8"/>
      <c r="BD11" s="8"/>
      <c r="BE11" s="8"/>
      <c r="BF11" s="8"/>
      <c r="BG11" s="8"/>
      <c r="BH11" s="8"/>
      <c r="BI11" s="8"/>
      <c r="BJ11" s="8"/>
      <c r="BK11" s="8"/>
      <c r="BL11" s="8"/>
      <c r="BM11" s="8"/>
      <c r="BN11" s="8"/>
    </row>
    <row r="12" spans="1:66">
      <c r="A12" s="17">
        <v>10</v>
      </c>
      <c r="B12" s="78"/>
      <c r="P12" s="24"/>
      <c r="AH12" s="8">
        <v>1.2903225421905518</v>
      </c>
      <c r="AI12" s="8">
        <v>3</v>
      </c>
      <c r="AJ12" s="8"/>
      <c r="AK12" s="8">
        <v>0.64516127109527588</v>
      </c>
      <c r="AL12" s="8">
        <v>9</v>
      </c>
      <c r="AM12" s="8"/>
      <c r="AN12" s="8"/>
      <c r="AO12" s="8"/>
      <c r="AP12" s="8"/>
      <c r="AQ12" s="8"/>
      <c r="AY12" s="8"/>
      <c r="AZ12" s="8"/>
      <c r="BA12" s="8"/>
      <c r="BB12" s="8"/>
      <c r="BC12" s="8"/>
      <c r="BD12" s="8"/>
      <c r="BE12" s="8"/>
      <c r="BF12" s="8"/>
      <c r="BG12" s="8"/>
      <c r="BH12" s="8"/>
      <c r="BI12" s="8"/>
      <c r="BJ12" s="8"/>
      <c r="BK12" s="8"/>
      <c r="BL12" s="8"/>
      <c r="BM12" s="8"/>
      <c r="BN12" s="8"/>
    </row>
    <row r="13" spans="1:66">
      <c r="A13" s="17">
        <v>11</v>
      </c>
      <c r="B13" s="78"/>
      <c r="AH13" s="8">
        <v>1.4193547964096069</v>
      </c>
      <c r="AI13" s="8">
        <v>6</v>
      </c>
      <c r="AJ13" s="8"/>
      <c r="AK13" s="8">
        <v>0.77419352531433105</v>
      </c>
      <c r="AL13" s="8">
        <v>9</v>
      </c>
      <c r="AM13" s="8"/>
      <c r="AN13" s="8"/>
      <c r="AO13" s="8"/>
      <c r="AP13" s="8"/>
      <c r="AQ13" s="8"/>
      <c r="AY13" s="8"/>
      <c r="AZ13" s="8"/>
      <c r="BA13" s="8"/>
      <c r="BB13" s="8"/>
      <c r="BC13" s="8"/>
      <c r="BD13" s="8"/>
      <c r="BE13" s="8"/>
      <c r="BF13" s="8"/>
      <c r="BG13" s="8"/>
      <c r="BH13" s="8"/>
      <c r="BI13" s="8"/>
      <c r="BJ13" s="8"/>
      <c r="BK13" s="8"/>
      <c r="BL13" s="8"/>
      <c r="BM13" s="8"/>
      <c r="BN13" s="8"/>
    </row>
    <row r="14" spans="1:66">
      <c r="A14" s="17">
        <v>12</v>
      </c>
      <c r="B14" s="78"/>
      <c r="E14" s="43"/>
      <c r="AH14" s="8">
        <v>1.5483870506286621</v>
      </c>
      <c r="AI14" s="8">
        <v>7</v>
      </c>
      <c r="AJ14" s="8"/>
      <c r="AK14" s="8">
        <v>0.77419352531433105</v>
      </c>
      <c r="AL14" s="8">
        <v>9</v>
      </c>
      <c r="AM14" s="8"/>
      <c r="AN14" s="8"/>
      <c r="AO14" s="8"/>
      <c r="AP14" s="8"/>
      <c r="AQ14" s="8"/>
      <c r="AY14" s="8"/>
      <c r="AZ14" s="8"/>
      <c r="BA14" s="8"/>
      <c r="BB14" s="8"/>
      <c r="BC14" s="8"/>
      <c r="BD14" s="8"/>
      <c r="BE14" s="8"/>
      <c r="BF14" s="8"/>
      <c r="BG14" s="8"/>
      <c r="BH14" s="8"/>
      <c r="BI14" s="8"/>
      <c r="BJ14" s="8"/>
      <c r="BK14" s="8"/>
      <c r="BL14" s="8"/>
      <c r="BM14" s="8"/>
      <c r="BN14" s="8"/>
    </row>
    <row r="15" spans="1:66">
      <c r="A15" s="17">
        <v>13</v>
      </c>
      <c r="B15" s="78"/>
      <c r="E15" s="43"/>
      <c r="AH15" s="8">
        <v>1.6774193048477173</v>
      </c>
      <c r="AI15" s="8">
        <v>6</v>
      </c>
      <c r="AJ15" s="8"/>
      <c r="AK15" s="8">
        <v>0.90322577953338623</v>
      </c>
      <c r="AL15" s="8">
        <v>9</v>
      </c>
      <c r="AM15" s="8"/>
      <c r="AN15" s="8"/>
      <c r="AO15" s="8"/>
      <c r="AP15" s="8"/>
      <c r="AQ15" s="8"/>
      <c r="AY15" s="8"/>
      <c r="AZ15" s="8"/>
      <c r="BA15" s="8"/>
      <c r="BB15" s="8"/>
      <c r="BC15" s="8"/>
      <c r="BD15" s="8"/>
      <c r="BE15" s="8"/>
      <c r="BF15" s="8"/>
      <c r="BG15" s="8"/>
      <c r="BH15" s="8"/>
      <c r="BI15" s="8"/>
      <c r="BJ15" s="8"/>
      <c r="BK15" s="8"/>
      <c r="BL15" s="8"/>
      <c r="BM15" s="8"/>
      <c r="BN15" s="8"/>
    </row>
    <row r="16" spans="1:66">
      <c r="A16" s="17">
        <v>14</v>
      </c>
      <c r="B16" s="78"/>
      <c r="E16" s="43"/>
      <c r="AH16" s="8">
        <v>1.8064515590667725</v>
      </c>
      <c r="AI16" s="8">
        <v>6</v>
      </c>
      <c r="AJ16" s="8"/>
      <c r="AK16" s="8">
        <v>0.90322577953338623</v>
      </c>
      <c r="AL16" s="8">
        <v>12</v>
      </c>
      <c r="AM16" s="8"/>
      <c r="AN16" s="8"/>
      <c r="AO16" s="8"/>
      <c r="AP16" s="8"/>
      <c r="AQ16" s="8"/>
      <c r="AY16" s="8"/>
      <c r="AZ16" s="8"/>
      <c r="BA16" s="8"/>
      <c r="BB16" s="8"/>
      <c r="BC16" s="8"/>
      <c r="BD16" s="8"/>
      <c r="BE16" s="8"/>
      <c r="BF16" s="8"/>
      <c r="BG16" s="8"/>
      <c r="BH16" s="8"/>
      <c r="BI16" s="8"/>
      <c r="BJ16" s="8"/>
      <c r="BK16" s="8"/>
      <c r="BL16" s="8"/>
      <c r="BM16" s="8"/>
      <c r="BN16" s="8"/>
    </row>
    <row r="17" spans="1:66">
      <c r="A17" s="17">
        <v>15</v>
      </c>
      <c r="B17" s="78"/>
      <c r="AH17" s="8">
        <v>1.9354838132858276</v>
      </c>
      <c r="AI17" s="8">
        <v>2</v>
      </c>
      <c r="AJ17" s="8"/>
      <c r="AK17" s="8">
        <v>1.0322580337524414</v>
      </c>
      <c r="AL17" s="8">
        <v>12</v>
      </c>
      <c r="AM17" s="8"/>
      <c r="AN17" s="8"/>
      <c r="AO17" s="8"/>
      <c r="AP17" s="8"/>
      <c r="AQ17" s="8"/>
      <c r="AY17" s="8"/>
      <c r="AZ17" s="8"/>
      <c r="BA17" s="8"/>
      <c r="BB17" s="8"/>
      <c r="BC17" s="8"/>
      <c r="BD17" s="8"/>
      <c r="BE17" s="8"/>
      <c r="BF17" s="8"/>
      <c r="BG17" s="8"/>
      <c r="BH17" s="8"/>
      <c r="BI17" s="8"/>
      <c r="BJ17" s="8"/>
      <c r="BK17" s="8"/>
      <c r="BL17" s="8"/>
      <c r="BM17" s="8"/>
      <c r="BN17" s="8"/>
    </row>
    <row r="18" spans="1:66">
      <c r="A18" s="17">
        <v>16</v>
      </c>
      <c r="B18" s="78"/>
      <c r="AH18" s="8">
        <v>2.0645160675048828</v>
      </c>
      <c r="AI18" s="8">
        <v>5</v>
      </c>
      <c r="AJ18" s="8"/>
      <c r="AK18" s="8">
        <v>1.0322580337524414</v>
      </c>
      <c r="AL18" s="8">
        <v>8</v>
      </c>
      <c r="AM18" s="8"/>
      <c r="AN18" s="8"/>
      <c r="AO18" s="8"/>
      <c r="AP18" s="8"/>
      <c r="AQ18" s="8"/>
      <c r="AY18" s="8"/>
      <c r="AZ18" s="8"/>
      <c r="BA18" s="8"/>
      <c r="BB18" s="8"/>
      <c r="BC18" s="8"/>
      <c r="BD18" s="8"/>
      <c r="BE18" s="8"/>
      <c r="BF18" s="8"/>
      <c r="BG18" s="8"/>
      <c r="BH18" s="8"/>
      <c r="BI18" s="8"/>
      <c r="BJ18" s="8"/>
      <c r="BK18" s="8"/>
      <c r="BL18" s="8"/>
      <c r="BM18" s="8"/>
      <c r="BN18" s="8"/>
    </row>
    <row r="19" spans="1:66">
      <c r="A19" s="17">
        <v>17</v>
      </c>
      <c r="B19" s="78"/>
      <c r="AH19" s="8">
        <v>2.193548321723938</v>
      </c>
      <c r="AI19" s="8">
        <v>2</v>
      </c>
      <c r="AJ19" s="8"/>
      <c r="AK19" s="8">
        <v>1.1612902879714966</v>
      </c>
      <c r="AL19" s="8">
        <v>8</v>
      </c>
      <c r="AM19" s="8"/>
      <c r="AN19" s="8"/>
      <c r="AO19" s="8"/>
      <c r="AP19" s="8"/>
      <c r="AQ19" s="8"/>
      <c r="AY19" s="8"/>
      <c r="AZ19" s="8"/>
      <c r="BA19" s="8"/>
      <c r="BB19" s="8"/>
      <c r="BC19" s="8"/>
      <c r="BD19" s="8"/>
      <c r="BE19" s="8"/>
      <c r="BF19" s="8"/>
      <c r="BG19" s="8"/>
      <c r="BH19" s="8"/>
      <c r="BI19" s="8"/>
      <c r="BJ19" s="8"/>
      <c r="BK19" s="8"/>
      <c r="BL19" s="8"/>
      <c r="BM19" s="8"/>
      <c r="BN19" s="8"/>
    </row>
    <row r="20" spans="1:66">
      <c r="A20" s="17">
        <v>18</v>
      </c>
      <c r="B20" s="78"/>
      <c r="AH20" s="8">
        <v>2.3225805759429932</v>
      </c>
      <c r="AI20" s="8">
        <v>3</v>
      </c>
      <c r="AJ20" s="8"/>
      <c r="AK20" s="8">
        <v>1.1612902879714966</v>
      </c>
      <c r="AL20" s="8">
        <v>3</v>
      </c>
      <c r="AM20" s="8"/>
      <c r="AN20" s="8"/>
      <c r="AO20" s="8"/>
      <c r="AP20" s="8"/>
      <c r="AQ20" s="8"/>
      <c r="AY20" s="8"/>
      <c r="AZ20" s="8"/>
      <c r="BA20" s="8"/>
      <c r="BB20" s="8"/>
      <c r="BC20" s="8"/>
      <c r="BD20" s="8"/>
      <c r="BE20" s="8"/>
      <c r="BF20" s="8"/>
      <c r="BG20" s="8"/>
      <c r="BH20" s="8"/>
      <c r="BI20" s="8"/>
      <c r="BJ20" s="8"/>
      <c r="BK20" s="8"/>
      <c r="BL20" s="8"/>
      <c r="BM20" s="8"/>
      <c r="BN20" s="8"/>
    </row>
    <row r="21" spans="1:66">
      <c r="A21" s="17">
        <v>19</v>
      </c>
      <c r="B21" s="78"/>
      <c r="AH21" s="8">
        <v>2.4516128301620483</v>
      </c>
      <c r="AI21" s="8">
        <v>2</v>
      </c>
      <c r="AJ21" s="8"/>
      <c r="AK21" s="8">
        <v>1.2903225421905518</v>
      </c>
      <c r="AL21" s="8">
        <v>3</v>
      </c>
      <c r="AM21" s="8"/>
      <c r="AN21" s="8"/>
      <c r="AO21" s="8"/>
      <c r="AP21" s="8"/>
      <c r="AQ21" s="8"/>
      <c r="AY21" s="8"/>
      <c r="AZ21" s="8"/>
      <c r="BA21" s="8"/>
      <c r="BB21" s="8"/>
      <c r="BC21" s="8"/>
      <c r="BD21" s="8"/>
      <c r="BE21" s="8"/>
      <c r="BF21" s="8"/>
      <c r="BG21" s="8"/>
      <c r="BH21" s="8"/>
      <c r="BI21" s="8"/>
      <c r="BJ21" s="8"/>
      <c r="BK21" s="8"/>
      <c r="BL21" s="8"/>
      <c r="BM21" s="8"/>
      <c r="BN21" s="8"/>
    </row>
    <row r="22" spans="1:66">
      <c r="A22" s="17">
        <v>20</v>
      </c>
      <c r="B22" s="78"/>
      <c r="AH22" s="8">
        <v>2.5806450843811035</v>
      </c>
      <c r="AI22" s="8">
        <v>1</v>
      </c>
      <c r="AJ22" s="8"/>
      <c r="AK22" s="8">
        <v>1.2903225421905518</v>
      </c>
      <c r="AL22" s="8">
        <v>6</v>
      </c>
      <c r="AM22" s="8"/>
      <c r="AN22" s="8"/>
      <c r="AO22" s="8"/>
      <c r="AP22" s="8"/>
      <c r="AQ22" s="8"/>
      <c r="AY22" s="8"/>
      <c r="AZ22" s="8"/>
      <c r="BA22" s="8"/>
      <c r="BB22" s="8"/>
      <c r="BC22" s="8"/>
      <c r="BD22" s="8"/>
      <c r="BE22" s="8"/>
      <c r="BF22" s="8"/>
      <c r="BG22" s="8"/>
      <c r="BH22" s="8"/>
      <c r="BI22" s="8"/>
      <c r="BJ22" s="8"/>
      <c r="BK22" s="8"/>
      <c r="BL22" s="8"/>
      <c r="BM22" s="8"/>
      <c r="BN22" s="8"/>
    </row>
    <row r="23" spans="1:66">
      <c r="A23" s="17">
        <v>21</v>
      </c>
      <c r="B23" s="78"/>
      <c r="AH23" s="8">
        <v>2.7096773386001587</v>
      </c>
      <c r="AI23" s="8">
        <v>0</v>
      </c>
      <c r="AJ23" s="8"/>
      <c r="AK23" s="8">
        <v>1.4193547964096069</v>
      </c>
      <c r="AL23" s="8">
        <v>6</v>
      </c>
      <c r="AM23" s="8"/>
      <c r="AN23" s="8"/>
      <c r="AO23" s="8"/>
      <c r="AP23" s="8"/>
      <c r="AQ23" s="8"/>
      <c r="AY23" s="8"/>
      <c r="AZ23" s="8"/>
      <c r="BA23" s="8"/>
      <c r="BB23" s="8"/>
      <c r="BC23" s="8"/>
      <c r="BD23" s="8"/>
      <c r="BE23" s="8"/>
      <c r="BF23" s="8"/>
      <c r="BG23" s="8"/>
      <c r="BH23" s="8"/>
      <c r="BI23" s="8"/>
      <c r="BJ23" s="8"/>
      <c r="BK23" s="8"/>
      <c r="BL23" s="8"/>
      <c r="BM23" s="8"/>
      <c r="BN23" s="8"/>
    </row>
    <row r="24" spans="1:66">
      <c r="A24" s="17">
        <v>22</v>
      </c>
      <c r="B24" s="78"/>
      <c r="AH24" s="8">
        <v>2.8387095928192139</v>
      </c>
      <c r="AI24" s="8">
        <v>0</v>
      </c>
      <c r="AJ24" s="8"/>
      <c r="AK24" s="8">
        <v>1.4193547964096069</v>
      </c>
      <c r="AL24" s="8">
        <v>7</v>
      </c>
      <c r="AM24" s="8"/>
      <c r="AN24" s="8"/>
      <c r="AO24" s="8"/>
      <c r="AP24" s="8"/>
      <c r="AQ24" s="8"/>
      <c r="AY24" s="8"/>
      <c r="AZ24" s="8"/>
      <c r="BA24" s="8"/>
      <c r="BB24" s="8"/>
      <c r="BC24" s="8"/>
      <c r="BD24" s="8"/>
      <c r="BE24" s="8"/>
      <c r="BF24" s="8"/>
      <c r="BG24" s="8"/>
      <c r="BH24" s="8"/>
      <c r="BI24" s="8"/>
      <c r="BJ24" s="8"/>
      <c r="BK24" s="8"/>
      <c r="BL24" s="8"/>
      <c r="BM24" s="8"/>
      <c r="BN24" s="8"/>
    </row>
    <row r="25" spans="1:66">
      <c r="A25" s="17">
        <v>23</v>
      </c>
      <c r="B25" s="78"/>
      <c r="AH25" s="8">
        <v>2.967741847038269</v>
      </c>
      <c r="AI25" s="8">
        <v>0</v>
      </c>
      <c r="AJ25" s="8"/>
      <c r="AK25" s="8">
        <v>1.5483870506286621</v>
      </c>
      <c r="AL25" s="8">
        <v>7</v>
      </c>
      <c r="AM25" s="8"/>
      <c r="AN25" s="8"/>
      <c r="AO25" s="8"/>
      <c r="AP25" s="8"/>
      <c r="AQ25" s="8"/>
      <c r="AY25" s="8"/>
      <c r="AZ25" s="8"/>
      <c r="BA25" s="8"/>
      <c r="BB25" s="8"/>
      <c r="BC25" s="8"/>
      <c r="BD25" s="8"/>
      <c r="BE25" s="8"/>
      <c r="BF25" s="8"/>
      <c r="BG25" s="8"/>
      <c r="BH25" s="8"/>
      <c r="BI25" s="8"/>
      <c r="BJ25" s="8"/>
      <c r="BK25" s="8"/>
      <c r="BL25" s="8"/>
      <c r="BM25" s="8"/>
      <c r="BN25" s="8"/>
    </row>
    <row r="26" spans="1:66">
      <c r="A26" s="17">
        <v>24</v>
      </c>
      <c r="B26" s="78"/>
      <c r="AH26" s="8">
        <v>3.0967741012573242</v>
      </c>
      <c r="AI26" s="8">
        <v>0</v>
      </c>
      <c r="AJ26" s="8"/>
      <c r="AK26" s="8">
        <v>1.5483870506286621</v>
      </c>
      <c r="AL26" s="8">
        <v>6</v>
      </c>
      <c r="AM26" s="8"/>
      <c r="AN26" s="8"/>
      <c r="AO26" s="8"/>
      <c r="AP26" s="8"/>
      <c r="AQ26" s="8"/>
      <c r="AY26" s="8"/>
      <c r="AZ26" s="8"/>
      <c r="BA26" s="8"/>
      <c r="BB26" s="8"/>
      <c r="BC26" s="8"/>
      <c r="BD26" s="8"/>
      <c r="BE26" s="8"/>
      <c r="BF26" s="8"/>
      <c r="BG26" s="8"/>
      <c r="BH26" s="8"/>
      <c r="BI26" s="8"/>
      <c r="BJ26" s="8"/>
      <c r="BK26" s="8"/>
      <c r="BL26" s="8"/>
      <c r="BM26" s="8"/>
      <c r="BN26" s="8"/>
    </row>
    <row r="27" spans="1:66">
      <c r="A27" s="17">
        <v>25</v>
      </c>
      <c r="B27" s="78"/>
      <c r="AH27" s="8">
        <v>3.2258063554763794</v>
      </c>
      <c r="AI27" s="8">
        <v>0</v>
      </c>
      <c r="AJ27" s="8"/>
      <c r="AK27" s="8">
        <v>1.6774193048477173</v>
      </c>
      <c r="AL27" s="8">
        <v>6</v>
      </c>
      <c r="AM27" s="8"/>
      <c r="AN27" s="8"/>
      <c r="AO27" s="8"/>
      <c r="AP27" s="8"/>
      <c r="AQ27" s="8"/>
      <c r="AY27" s="8"/>
      <c r="AZ27" s="8"/>
      <c r="BA27" s="8"/>
      <c r="BB27" s="8"/>
      <c r="BC27" s="8"/>
      <c r="BD27" s="8"/>
      <c r="BE27" s="8"/>
      <c r="BF27" s="8"/>
      <c r="BG27" s="8"/>
      <c r="BH27" s="8"/>
      <c r="BI27" s="8"/>
      <c r="BJ27" s="8"/>
      <c r="BK27" s="8"/>
      <c r="BL27" s="8"/>
      <c r="BM27" s="8"/>
      <c r="BN27" s="8"/>
    </row>
    <row r="28" spans="1:66">
      <c r="A28" s="17">
        <v>26</v>
      </c>
      <c r="B28" s="78"/>
      <c r="AH28" s="8">
        <v>3.3548386096954346</v>
      </c>
      <c r="AI28" s="8">
        <v>0</v>
      </c>
      <c r="AJ28" s="8"/>
      <c r="AK28" s="8">
        <v>1.6774193048477173</v>
      </c>
      <c r="AL28" s="8">
        <v>6</v>
      </c>
      <c r="AM28" s="8"/>
      <c r="AN28" s="8"/>
      <c r="AO28" s="8"/>
      <c r="AP28" s="8"/>
      <c r="AQ28" s="8"/>
      <c r="AY28" s="8"/>
      <c r="AZ28" s="8"/>
      <c r="BA28" s="8"/>
      <c r="BB28" s="8"/>
      <c r="BC28" s="8"/>
      <c r="BD28" s="8"/>
      <c r="BE28" s="8"/>
      <c r="BF28" s="8"/>
      <c r="BG28" s="8"/>
      <c r="BH28" s="8"/>
      <c r="BI28" s="8"/>
      <c r="BJ28" s="8"/>
      <c r="BK28" s="8"/>
      <c r="BL28" s="8"/>
      <c r="BM28" s="8"/>
      <c r="BN28" s="8"/>
    </row>
    <row r="29" spans="1:66">
      <c r="A29" s="17">
        <v>27</v>
      </c>
      <c r="B29" s="78"/>
      <c r="AH29" s="8">
        <v>3.4838708639144897</v>
      </c>
      <c r="AI29" s="8">
        <v>0</v>
      </c>
      <c r="AJ29" s="8"/>
      <c r="AK29" s="8">
        <v>1.8064515590667725</v>
      </c>
      <c r="AL29" s="8">
        <v>6</v>
      </c>
      <c r="AM29" s="8"/>
      <c r="AN29" s="8"/>
      <c r="AO29" s="8"/>
      <c r="AP29" s="8"/>
      <c r="AQ29" s="8"/>
      <c r="AY29" s="8"/>
      <c r="AZ29" s="8"/>
      <c r="BA29" s="8"/>
      <c r="BB29" s="8"/>
      <c r="BC29" s="8"/>
      <c r="BD29" s="8"/>
      <c r="BE29" s="8"/>
      <c r="BF29" s="8"/>
      <c r="BG29" s="8"/>
      <c r="BH29" s="8"/>
      <c r="BI29" s="8"/>
      <c r="BJ29" s="8"/>
      <c r="BK29" s="8"/>
      <c r="BL29" s="8"/>
      <c r="BM29" s="8"/>
      <c r="BN29" s="8"/>
    </row>
    <row r="30" spans="1:66">
      <c r="A30" s="17">
        <v>28</v>
      </c>
      <c r="B30" s="78"/>
      <c r="AH30" s="8">
        <v>3.6129031181335449</v>
      </c>
      <c r="AI30" s="8">
        <v>0</v>
      </c>
      <c r="AJ30" s="8"/>
      <c r="AK30" s="8">
        <v>1.8064515590667725</v>
      </c>
      <c r="AL30" s="8">
        <v>2</v>
      </c>
      <c r="AM30" s="8"/>
      <c r="AN30" s="8"/>
      <c r="AO30" s="8"/>
      <c r="AP30" s="8"/>
      <c r="AQ30" s="8"/>
      <c r="AY30" s="8"/>
      <c r="AZ30" s="8"/>
      <c r="BA30" s="8"/>
      <c r="BB30" s="8"/>
      <c r="BC30" s="8"/>
      <c r="BD30" s="8"/>
      <c r="BE30" s="8"/>
      <c r="BF30" s="8"/>
      <c r="BG30" s="8"/>
      <c r="BH30" s="8"/>
      <c r="BI30" s="8"/>
      <c r="BJ30" s="8"/>
      <c r="BK30" s="8"/>
      <c r="BL30" s="8"/>
      <c r="BM30" s="8"/>
      <c r="BN30" s="8"/>
    </row>
    <row r="31" spans="1:66">
      <c r="A31" s="17">
        <v>29</v>
      </c>
      <c r="B31" s="78"/>
      <c r="AH31" s="8">
        <v>3.7419353723526001</v>
      </c>
      <c r="AI31" s="8">
        <v>0</v>
      </c>
      <c r="AJ31" s="8"/>
      <c r="AK31" s="8">
        <v>1.9354838132858276</v>
      </c>
      <c r="AL31" s="8">
        <v>2</v>
      </c>
      <c r="AM31" s="8"/>
      <c r="AN31" s="8"/>
      <c r="AO31" s="8"/>
      <c r="AP31" s="8"/>
      <c r="AQ31" s="8"/>
      <c r="AY31" s="8"/>
      <c r="AZ31" s="8"/>
      <c r="BA31" s="8"/>
      <c r="BB31" s="8"/>
      <c r="BC31" s="8"/>
      <c r="BD31" s="8"/>
      <c r="BE31" s="8"/>
      <c r="BF31" s="8"/>
      <c r="BG31" s="8"/>
      <c r="BH31" s="8"/>
      <c r="BI31" s="8"/>
      <c r="BJ31" s="8"/>
      <c r="BK31" s="8"/>
      <c r="BL31" s="8"/>
      <c r="BM31" s="8"/>
      <c r="BN31" s="8"/>
    </row>
    <row r="32" spans="1:66">
      <c r="A32" s="17">
        <v>30</v>
      </c>
      <c r="B32" s="78"/>
      <c r="AH32" s="8">
        <v>3.8709676265716553</v>
      </c>
      <c r="AI32" s="8">
        <v>0</v>
      </c>
      <c r="AJ32" s="8"/>
      <c r="AK32" s="8">
        <v>1.9354838132858276</v>
      </c>
      <c r="AL32" s="8">
        <v>5</v>
      </c>
      <c r="AM32" s="8"/>
      <c r="AN32" s="8"/>
      <c r="AO32" s="8"/>
      <c r="AP32" s="8"/>
      <c r="AQ32" s="8"/>
      <c r="AY32" s="8"/>
      <c r="AZ32" s="8"/>
      <c r="BA32" s="8"/>
      <c r="BB32" s="8"/>
      <c r="BC32" s="8"/>
      <c r="BD32" s="8"/>
      <c r="BE32" s="8"/>
      <c r="BF32" s="8"/>
      <c r="BG32" s="8"/>
      <c r="BH32" s="8"/>
      <c r="BI32" s="8"/>
      <c r="BJ32" s="8"/>
      <c r="BK32" s="8"/>
      <c r="BL32" s="8"/>
      <c r="BM32" s="8"/>
      <c r="BN32" s="8"/>
    </row>
    <row r="33" spans="1:66">
      <c r="A33" s="17">
        <v>31</v>
      </c>
      <c r="B33" s="78"/>
      <c r="AH33" s="8">
        <v>3.9999998807907104</v>
      </c>
      <c r="AI33" s="8">
        <v>0</v>
      </c>
      <c r="AJ33" s="8"/>
      <c r="AK33" s="8">
        <v>2.0645160675048828</v>
      </c>
      <c r="AL33" s="8">
        <v>5</v>
      </c>
      <c r="AM33" s="8"/>
      <c r="AN33" s="8"/>
      <c r="AO33" s="8"/>
      <c r="AP33" s="8"/>
      <c r="AQ33" s="8"/>
      <c r="AY33" s="8"/>
      <c r="AZ33" s="8"/>
      <c r="BA33" s="8"/>
      <c r="BB33" s="8"/>
      <c r="BC33" s="8"/>
      <c r="BD33" s="8"/>
      <c r="BE33" s="8"/>
      <c r="BF33" s="8"/>
      <c r="BG33" s="8"/>
      <c r="BH33" s="8"/>
      <c r="BI33" s="8"/>
      <c r="BJ33" s="8"/>
      <c r="BK33" s="8"/>
      <c r="BL33" s="8"/>
      <c r="BM33" s="8"/>
      <c r="BN33" s="8"/>
    </row>
    <row r="34" spans="1:66">
      <c r="A34" s="17">
        <v>32</v>
      </c>
      <c r="B34" s="78"/>
      <c r="AH34" s="8"/>
      <c r="AI34" s="8"/>
      <c r="AJ34" s="8"/>
      <c r="AK34" s="8">
        <v>2.0645160675048828</v>
      </c>
      <c r="AL34" s="8">
        <v>2</v>
      </c>
      <c r="AM34" s="8"/>
      <c r="AN34" s="8"/>
      <c r="AO34" s="8"/>
      <c r="AP34" s="8"/>
      <c r="AQ34" s="8"/>
      <c r="AY34" s="8"/>
      <c r="AZ34" s="8"/>
      <c r="BA34" s="8"/>
      <c r="BB34" s="8"/>
      <c r="BC34" s="8"/>
      <c r="BD34" s="8"/>
      <c r="BE34" s="8"/>
      <c r="BF34" s="8"/>
      <c r="BG34" s="8"/>
      <c r="BH34" s="8"/>
      <c r="BI34" s="8"/>
      <c r="BJ34" s="8"/>
      <c r="BK34" s="8"/>
      <c r="BL34" s="8"/>
      <c r="BM34" s="8"/>
      <c r="BN34" s="8"/>
    </row>
    <row r="35" spans="1:66">
      <c r="A35" s="17">
        <v>33</v>
      </c>
      <c r="B35" s="78"/>
      <c r="AH35" s="8"/>
      <c r="AI35" s="8"/>
      <c r="AJ35" s="8"/>
      <c r="AK35" s="8">
        <v>2.193548321723938</v>
      </c>
      <c r="AL35" s="8">
        <v>2</v>
      </c>
      <c r="AM35" s="8"/>
      <c r="AN35" s="8"/>
      <c r="AO35" s="8"/>
      <c r="AP35" s="8"/>
      <c r="AQ35" s="8"/>
      <c r="AY35" s="8"/>
      <c r="AZ35" s="8"/>
      <c r="BA35" s="8"/>
      <c r="BB35" s="8"/>
      <c r="BC35" s="8"/>
      <c r="BD35" s="8"/>
      <c r="BE35" s="8"/>
      <c r="BF35" s="8"/>
      <c r="BG35" s="8"/>
      <c r="BH35" s="8"/>
      <c r="BI35" s="8"/>
      <c r="BJ35" s="8"/>
      <c r="BK35" s="8"/>
      <c r="BL35" s="8"/>
      <c r="BM35" s="8"/>
      <c r="BN35" s="8"/>
    </row>
    <row r="36" spans="1:66">
      <c r="A36" s="17">
        <v>34</v>
      </c>
      <c r="B36" s="78"/>
      <c r="AH36" s="8"/>
      <c r="AI36" s="8"/>
      <c r="AJ36" s="8"/>
      <c r="AK36" s="8">
        <v>2.193548321723938</v>
      </c>
      <c r="AL36" s="8">
        <v>3</v>
      </c>
      <c r="AM36" s="8"/>
      <c r="AN36" s="8"/>
      <c r="AO36" s="8"/>
      <c r="AP36" s="8"/>
      <c r="AQ36" s="8"/>
      <c r="AY36" s="8"/>
      <c r="AZ36" s="8"/>
      <c r="BA36" s="8"/>
      <c r="BB36" s="8"/>
      <c r="BC36" s="8"/>
      <c r="BD36" s="8"/>
      <c r="BE36" s="8"/>
      <c r="BF36" s="8"/>
      <c r="BG36" s="8"/>
      <c r="BH36" s="8"/>
      <c r="BI36" s="8"/>
      <c r="BJ36" s="8"/>
      <c r="BK36" s="8"/>
      <c r="BL36" s="8"/>
      <c r="BM36" s="8"/>
      <c r="BN36" s="8"/>
    </row>
    <row r="37" spans="1:66">
      <c r="A37" s="17">
        <v>35</v>
      </c>
      <c r="B37" s="78"/>
      <c r="AH37" s="8"/>
      <c r="AI37" s="8"/>
      <c r="AJ37" s="8"/>
      <c r="AK37" s="8">
        <v>2.3225805759429932</v>
      </c>
      <c r="AL37" s="8">
        <v>3</v>
      </c>
      <c r="AM37" s="8"/>
      <c r="AN37" s="8"/>
      <c r="AO37" s="8"/>
      <c r="AP37" s="8"/>
      <c r="AQ37" s="8"/>
      <c r="AY37" s="8"/>
      <c r="AZ37" s="8"/>
      <c r="BA37" s="8"/>
      <c r="BB37" s="8"/>
      <c r="BC37" s="8"/>
      <c r="BD37" s="8"/>
      <c r="BE37" s="8"/>
      <c r="BF37" s="8"/>
      <c r="BG37" s="8"/>
      <c r="BH37" s="8"/>
      <c r="BI37" s="8"/>
      <c r="BJ37" s="8"/>
      <c r="BK37" s="8"/>
      <c r="BL37" s="8"/>
      <c r="BM37" s="8"/>
      <c r="BN37" s="8"/>
    </row>
    <row r="38" spans="1:66">
      <c r="A38" s="17">
        <v>36</v>
      </c>
      <c r="B38" s="78"/>
      <c r="AH38" s="8"/>
      <c r="AI38" s="8"/>
      <c r="AJ38" s="8"/>
      <c r="AK38" s="8">
        <v>2.3225805759429932</v>
      </c>
      <c r="AL38" s="8">
        <v>2</v>
      </c>
      <c r="AM38" s="8"/>
      <c r="AN38" s="8"/>
      <c r="AO38" s="8"/>
      <c r="AP38" s="8"/>
      <c r="AQ38" s="8"/>
      <c r="AY38" s="8"/>
      <c r="AZ38" s="8"/>
      <c r="BA38" s="8"/>
      <c r="BB38" s="8"/>
      <c r="BC38" s="8"/>
      <c r="BD38" s="8"/>
      <c r="BE38" s="8"/>
      <c r="BF38" s="8"/>
      <c r="BG38" s="8"/>
      <c r="BH38" s="8"/>
      <c r="BI38" s="8"/>
      <c r="BJ38" s="8"/>
      <c r="BK38" s="8"/>
      <c r="BL38" s="8"/>
      <c r="BM38" s="8"/>
      <c r="BN38" s="8"/>
    </row>
    <row r="39" spans="1:66">
      <c r="A39" s="17">
        <v>37</v>
      </c>
      <c r="B39" s="78"/>
      <c r="AH39" s="8"/>
      <c r="AI39" s="8"/>
      <c r="AJ39" s="8"/>
      <c r="AK39" s="8">
        <v>2.4516128301620483</v>
      </c>
      <c r="AL39" s="8">
        <v>2</v>
      </c>
      <c r="AM39" s="8"/>
      <c r="AN39" s="8"/>
      <c r="AO39" s="8"/>
      <c r="AP39" s="8"/>
      <c r="AQ39" s="8"/>
      <c r="AY39" s="8"/>
      <c r="AZ39" s="8"/>
      <c r="BA39" s="8"/>
      <c r="BB39" s="8"/>
      <c r="BC39" s="8"/>
      <c r="BD39" s="8"/>
      <c r="BE39" s="8"/>
      <c r="BF39" s="8"/>
      <c r="BG39" s="8"/>
      <c r="BH39" s="8"/>
      <c r="BI39" s="8"/>
      <c r="BJ39" s="8"/>
      <c r="BK39" s="8"/>
      <c r="BL39" s="8"/>
      <c r="BM39" s="8"/>
      <c r="BN39" s="8"/>
    </row>
    <row r="40" spans="1:66">
      <c r="A40" s="17">
        <v>38</v>
      </c>
      <c r="B40" s="78"/>
      <c r="AH40" s="8"/>
      <c r="AI40" s="8"/>
      <c r="AJ40" s="8"/>
      <c r="AK40" s="8">
        <v>2.4516128301620483</v>
      </c>
      <c r="AL40" s="8">
        <v>1</v>
      </c>
      <c r="AM40" s="8"/>
      <c r="AN40" s="8"/>
      <c r="AO40" s="8"/>
      <c r="AP40" s="8"/>
      <c r="AQ40" s="8"/>
      <c r="AY40" s="8"/>
      <c r="AZ40" s="8"/>
      <c r="BA40" s="8"/>
      <c r="BB40" s="8"/>
      <c r="BC40" s="8"/>
      <c r="BD40" s="8"/>
      <c r="BE40" s="8"/>
      <c r="BF40" s="8"/>
      <c r="BG40" s="8"/>
      <c r="BH40" s="8"/>
      <c r="BI40" s="8"/>
      <c r="BJ40" s="8"/>
      <c r="BK40" s="8"/>
      <c r="BL40" s="8"/>
      <c r="BM40" s="8"/>
      <c r="BN40" s="8"/>
    </row>
    <row r="41" spans="1:66">
      <c r="A41" s="17">
        <v>39</v>
      </c>
      <c r="B41" s="78"/>
      <c r="AH41" s="8"/>
      <c r="AI41" s="8"/>
      <c r="AJ41" s="8"/>
      <c r="AK41" s="8">
        <v>2.5806450843811035</v>
      </c>
      <c r="AL41" s="8">
        <v>1</v>
      </c>
      <c r="AM41" s="8"/>
      <c r="AN41" s="8"/>
      <c r="AO41" s="8"/>
      <c r="AP41" s="8"/>
      <c r="AQ41" s="8"/>
      <c r="AY41" s="8"/>
      <c r="AZ41" s="8"/>
      <c r="BA41" s="8"/>
      <c r="BB41" s="8"/>
      <c r="BC41" s="8"/>
      <c r="BD41" s="8"/>
      <c r="BE41" s="8"/>
      <c r="BF41" s="8"/>
      <c r="BG41" s="8"/>
      <c r="BH41" s="8"/>
      <c r="BI41" s="8"/>
      <c r="BJ41" s="8"/>
      <c r="BK41" s="8"/>
      <c r="BL41" s="8"/>
      <c r="BM41" s="8"/>
      <c r="BN41" s="8"/>
    </row>
    <row r="42" spans="1:66">
      <c r="A42" s="17">
        <v>40</v>
      </c>
      <c r="B42" s="78"/>
      <c r="AH42" s="8"/>
      <c r="AI42" s="8"/>
      <c r="AJ42" s="8"/>
      <c r="AK42" s="8">
        <v>2.5806450843811035</v>
      </c>
      <c r="AL42" s="8">
        <v>0</v>
      </c>
      <c r="AM42" s="8"/>
      <c r="AN42" s="8"/>
      <c r="AO42" s="8"/>
      <c r="AP42" s="8"/>
      <c r="AQ42" s="8"/>
      <c r="AY42" s="8"/>
      <c r="AZ42" s="8"/>
      <c r="BA42" s="8"/>
      <c r="BB42" s="8"/>
      <c r="BC42" s="8"/>
      <c r="BD42" s="8"/>
      <c r="BE42" s="8"/>
      <c r="BF42" s="8"/>
      <c r="BG42" s="8"/>
      <c r="BH42" s="8"/>
      <c r="BI42" s="8"/>
      <c r="BJ42" s="8"/>
      <c r="BK42" s="8"/>
      <c r="BL42" s="8"/>
      <c r="BM42" s="8"/>
      <c r="BN42" s="8"/>
    </row>
    <row r="43" spans="1:66">
      <c r="A43" s="17">
        <v>41</v>
      </c>
      <c r="B43" s="78"/>
      <c r="AH43" s="8"/>
      <c r="AI43" s="8"/>
      <c r="AJ43" s="8"/>
      <c r="AK43" s="8">
        <v>2.7096773386001587</v>
      </c>
      <c r="AL43" s="8">
        <v>0</v>
      </c>
      <c r="AM43" s="8"/>
      <c r="AN43" s="8"/>
      <c r="AO43" s="8"/>
      <c r="AP43" s="8"/>
      <c r="AQ43" s="8"/>
      <c r="AY43" s="8"/>
      <c r="AZ43" s="8"/>
      <c r="BA43" s="8"/>
      <c r="BB43" s="8"/>
      <c r="BC43" s="8"/>
      <c r="BD43" s="8"/>
      <c r="BE43" s="8"/>
      <c r="BF43" s="8"/>
      <c r="BG43" s="8"/>
      <c r="BH43" s="8"/>
      <c r="BI43" s="8"/>
      <c r="BJ43" s="8"/>
      <c r="BK43" s="8"/>
      <c r="BL43" s="8"/>
      <c r="BM43" s="8"/>
      <c r="BN43" s="8"/>
    </row>
    <row r="44" spans="1:66">
      <c r="A44" s="17">
        <v>42</v>
      </c>
      <c r="B44" s="78"/>
      <c r="AH44" s="8"/>
      <c r="AI44" s="8"/>
      <c r="AJ44" s="8"/>
      <c r="AK44" s="8">
        <v>2.7096773386001587</v>
      </c>
      <c r="AL44" s="8">
        <v>0</v>
      </c>
      <c r="AM44" s="8"/>
      <c r="AN44" s="8"/>
      <c r="AO44" s="8"/>
      <c r="AP44" s="8"/>
      <c r="AQ44" s="8"/>
      <c r="AY44" s="8"/>
      <c r="AZ44" s="8"/>
      <c r="BA44" s="8"/>
      <c r="BB44" s="8"/>
      <c r="BC44" s="8"/>
      <c r="BD44" s="8"/>
      <c r="BE44" s="8"/>
      <c r="BF44" s="8"/>
      <c r="BG44" s="8"/>
      <c r="BH44" s="8"/>
      <c r="BI44" s="8"/>
      <c r="BJ44" s="8"/>
      <c r="BK44" s="8"/>
      <c r="BL44" s="8"/>
      <c r="BM44" s="8"/>
      <c r="BN44" s="8"/>
    </row>
    <row r="45" spans="1:66">
      <c r="A45" s="17">
        <v>43</v>
      </c>
      <c r="B45" s="78"/>
      <c r="AH45" s="8"/>
      <c r="AI45" s="8"/>
      <c r="AJ45" s="8"/>
      <c r="AK45" s="8">
        <v>2.8387095928192139</v>
      </c>
      <c r="AL45" s="8">
        <v>0</v>
      </c>
      <c r="AM45" s="8"/>
      <c r="AN45" s="8"/>
      <c r="AO45" s="8"/>
      <c r="AP45" s="8"/>
      <c r="AQ45" s="8"/>
      <c r="AY45" s="8"/>
      <c r="AZ45" s="8"/>
      <c r="BA45" s="8"/>
      <c r="BB45" s="8"/>
      <c r="BC45" s="8"/>
      <c r="BD45" s="8"/>
      <c r="BE45" s="8"/>
      <c r="BF45" s="8"/>
      <c r="BG45" s="8"/>
      <c r="BH45" s="8"/>
      <c r="BI45" s="8"/>
      <c r="BJ45" s="8"/>
      <c r="BK45" s="8"/>
      <c r="BL45" s="8"/>
      <c r="BM45" s="8"/>
      <c r="BN45" s="8"/>
    </row>
    <row r="46" spans="1:66">
      <c r="A46" s="17">
        <v>44</v>
      </c>
      <c r="B46" s="78"/>
      <c r="AH46" s="8"/>
      <c r="AI46" s="8"/>
      <c r="AJ46" s="8"/>
      <c r="AK46" s="8">
        <v>2.8387095928192139</v>
      </c>
      <c r="AL46" s="8">
        <v>0</v>
      </c>
      <c r="AM46" s="8"/>
      <c r="AN46" s="8"/>
      <c r="AO46" s="8"/>
      <c r="AP46" s="8"/>
      <c r="AQ46" s="8"/>
      <c r="AY46" s="8"/>
      <c r="AZ46" s="8"/>
      <c r="BA46" s="8"/>
      <c r="BB46" s="8"/>
      <c r="BC46" s="8"/>
      <c r="BD46" s="8"/>
      <c r="BE46" s="8"/>
      <c r="BF46" s="8"/>
      <c r="BG46" s="8"/>
      <c r="BH46" s="8"/>
      <c r="BI46" s="8"/>
      <c r="BJ46" s="8"/>
      <c r="BK46" s="8"/>
      <c r="BL46" s="8"/>
      <c r="BM46" s="8"/>
      <c r="BN46" s="8"/>
    </row>
    <row r="47" spans="1:66">
      <c r="A47" s="17">
        <v>45</v>
      </c>
      <c r="B47" s="78"/>
      <c r="AH47" s="8"/>
      <c r="AI47" s="8"/>
      <c r="AJ47" s="8"/>
      <c r="AK47" s="8">
        <v>2.967741847038269</v>
      </c>
      <c r="AL47" s="8">
        <v>0</v>
      </c>
      <c r="AM47" s="8"/>
      <c r="AN47" s="8"/>
      <c r="AO47" s="8"/>
      <c r="AP47" s="8"/>
      <c r="AQ47" s="8"/>
      <c r="AY47" s="8"/>
      <c r="AZ47" s="8"/>
      <c r="BA47" s="8"/>
      <c r="BB47" s="8"/>
      <c r="BC47" s="8"/>
      <c r="BD47" s="8"/>
      <c r="BE47" s="8"/>
      <c r="BF47" s="8"/>
      <c r="BG47" s="8"/>
      <c r="BH47" s="8"/>
      <c r="BI47" s="8"/>
      <c r="BJ47" s="8"/>
      <c r="BK47" s="8"/>
      <c r="BL47" s="8"/>
      <c r="BM47" s="8"/>
      <c r="BN47" s="8"/>
    </row>
    <row r="48" spans="1:66">
      <c r="A48" s="17">
        <v>46</v>
      </c>
      <c r="B48" s="78"/>
      <c r="AH48" s="8"/>
      <c r="AI48" s="8"/>
      <c r="AJ48" s="8"/>
      <c r="AK48" s="8">
        <v>2.967741847038269</v>
      </c>
      <c r="AL48" s="8">
        <v>0</v>
      </c>
      <c r="AM48" s="8"/>
      <c r="AN48" s="8"/>
      <c r="AO48" s="8"/>
      <c r="AP48" s="8"/>
      <c r="AQ48" s="8"/>
      <c r="AY48" s="8"/>
      <c r="AZ48" s="8"/>
      <c r="BA48" s="8"/>
      <c r="BB48" s="8"/>
      <c r="BC48" s="8"/>
      <c r="BD48" s="8"/>
      <c r="BE48" s="8"/>
      <c r="BF48" s="8"/>
      <c r="BG48" s="8"/>
      <c r="BH48" s="8"/>
      <c r="BI48" s="8"/>
      <c r="BJ48" s="8"/>
      <c r="BK48" s="8"/>
      <c r="BL48" s="8"/>
      <c r="BM48" s="8"/>
      <c r="BN48" s="8"/>
    </row>
    <row r="49" spans="1:66">
      <c r="A49" s="17">
        <v>47</v>
      </c>
      <c r="B49" s="78"/>
      <c r="AH49" s="8"/>
      <c r="AI49" s="8"/>
      <c r="AJ49" s="8"/>
      <c r="AK49" s="8">
        <v>3.0967741012573242</v>
      </c>
      <c r="AL49" s="8">
        <v>0</v>
      </c>
      <c r="AM49" s="8"/>
      <c r="AN49" s="8"/>
      <c r="AO49" s="8"/>
      <c r="AP49" s="8"/>
      <c r="AQ49" s="8"/>
      <c r="AY49" s="8"/>
      <c r="AZ49" s="8"/>
      <c r="BA49" s="8"/>
      <c r="BB49" s="8"/>
      <c r="BC49" s="8"/>
      <c r="BD49" s="8"/>
      <c r="BE49" s="8"/>
      <c r="BF49" s="8"/>
      <c r="BG49" s="8"/>
      <c r="BH49" s="8"/>
      <c r="BI49" s="8"/>
      <c r="BJ49" s="8"/>
      <c r="BK49" s="8"/>
      <c r="BL49" s="8"/>
      <c r="BM49" s="8"/>
      <c r="BN49" s="8"/>
    </row>
    <row r="50" spans="1:66">
      <c r="A50" s="17">
        <v>48</v>
      </c>
      <c r="B50" s="78"/>
      <c r="AH50" s="8"/>
      <c r="AI50" s="8"/>
      <c r="AJ50" s="8"/>
      <c r="AK50" s="8">
        <v>3.0967741012573242</v>
      </c>
      <c r="AL50" s="8">
        <v>0</v>
      </c>
      <c r="AM50" s="8"/>
      <c r="AN50" s="8"/>
      <c r="AO50" s="8"/>
      <c r="AP50" s="8"/>
      <c r="AQ50" s="8"/>
      <c r="AY50" s="8"/>
      <c r="AZ50" s="8"/>
      <c r="BA50" s="8"/>
      <c r="BB50" s="8"/>
      <c r="BC50" s="8"/>
      <c r="BD50" s="8"/>
      <c r="BE50" s="8"/>
      <c r="BF50" s="8"/>
      <c r="BG50" s="8"/>
      <c r="BH50" s="8"/>
      <c r="BI50" s="8"/>
      <c r="BJ50" s="8"/>
      <c r="BK50" s="8"/>
      <c r="BL50" s="8"/>
      <c r="BM50" s="8"/>
      <c r="BN50" s="8"/>
    </row>
    <row r="51" spans="1:66">
      <c r="A51" s="17">
        <v>49</v>
      </c>
      <c r="B51" s="78"/>
      <c r="AH51" s="8"/>
      <c r="AI51" s="8"/>
      <c r="AJ51" s="8"/>
      <c r="AK51" s="8">
        <v>3.2258063554763794</v>
      </c>
      <c r="AL51" s="8">
        <v>0</v>
      </c>
      <c r="AM51" s="8"/>
      <c r="AN51" s="8"/>
      <c r="AO51" s="8"/>
      <c r="AP51" s="8"/>
      <c r="AQ51" s="8"/>
      <c r="AY51" s="8"/>
      <c r="AZ51" s="8"/>
      <c r="BA51" s="8"/>
      <c r="BB51" s="8"/>
      <c r="BC51" s="8"/>
      <c r="BD51" s="8"/>
      <c r="BE51" s="8"/>
      <c r="BF51" s="8"/>
      <c r="BG51" s="8"/>
      <c r="BH51" s="8"/>
      <c r="BI51" s="8"/>
      <c r="BJ51" s="8"/>
      <c r="BK51" s="8"/>
      <c r="BL51" s="8"/>
      <c r="BM51" s="8"/>
      <c r="BN51" s="8"/>
    </row>
    <row r="52" spans="1:66">
      <c r="A52" s="17">
        <v>50</v>
      </c>
      <c r="B52" s="78"/>
      <c r="AH52" s="8"/>
      <c r="AI52" s="8"/>
      <c r="AJ52" s="8"/>
      <c r="AK52" s="8">
        <v>3.2258063554763794</v>
      </c>
      <c r="AL52" s="8">
        <v>0</v>
      </c>
      <c r="AM52" s="8"/>
      <c r="AN52" s="8"/>
      <c r="AO52" s="8"/>
      <c r="AP52" s="8"/>
      <c r="AQ52" s="8"/>
      <c r="AY52" s="8"/>
      <c r="AZ52" s="8"/>
      <c r="BA52" s="8"/>
      <c r="BB52" s="8"/>
      <c r="BC52" s="8"/>
      <c r="BD52" s="8"/>
      <c r="BE52" s="8"/>
      <c r="BF52" s="8"/>
      <c r="BG52" s="8"/>
      <c r="BH52" s="8"/>
      <c r="BI52" s="8"/>
      <c r="BJ52" s="8"/>
      <c r="BK52" s="8"/>
      <c r="BL52" s="8"/>
      <c r="BM52" s="8"/>
      <c r="BN52" s="8"/>
    </row>
    <row r="53" spans="1:66">
      <c r="A53" s="17">
        <v>51</v>
      </c>
      <c r="B53" s="78"/>
      <c r="AH53" s="8"/>
      <c r="AI53" s="8"/>
      <c r="AJ53" s="8"/>
      <c r="AK53" s="8">
        <v>3.3548386096954346</v>
      </c>
      <c r="AL53" s="8">
        <v>0</v>
      </c>
      <c r="AM53" s="8"/>
      <c r="AN53" s="8"/>
      <c r="AO53" s="8"/>
      <c r="AP53" s="8"/>
      <c r="AQ53" s="8"/>
      <c r="AY53" s="8"/>
      <c r="AZ53" s="8"/>
      <c r="BA53" s="8"/>
      <c r="BB53" s="8"/>
      <c r="BC53" s="8"/>
      <c r="BD53" s="8"/>
      <c r="BE53" s="8"/>
      <c r="BF53" s="8"/>
      <c r="BG53" s="8"/>
      <c r="BH53" s="8"/>
      <c r="BI53" s="8"/>
      <c r="BJ53" s="8"/>
      <c r="BK53" s="8"/>
      <c r="BL53" s="8"/>
      <c r="BM53" s="8"/>
      <c r="BN53" s="8"/>
    </row>
    <row r="54" spans="1:66">
      <c r="A54" s="17">
        <v>52</v>
      </c>
      <c r="B54" s="78"/>
      <c r="AH54" s="8"/>
      <c r="AI54" s="8"/>
      <c r="AJ54" s="8"/>
      <c r="AK54" s="8">
        <v>3.3548386096954346</v>
      </c>
      <c r="AL54" s="8">
        <v>0</v>
      </c>
      <c r="AM54" s="8"/>
      <c r="AN54" s="8"/>
      <c r="AO54" s="8"/>
      <c r="AP54" s="8"/>
      <c r="AQ54" s="8"/>
      <c r="AY54" s="8"/>
      <c r="AZ54" s="8"/>
      <c r="BA54" s="8"/>
      <c r="BB54" s="8"/>
      <c r="BC54" s="8"/>
      <c r="BD54" s="8"/>
      <c r="BE54" s="8"/>
      <c r="BF54" s="8"/>
      <c r="BG54" s="8"/>
      <c r="BH54" s="8"/>
      <c r="BI54" s="8"/>
      <c r="BJ54" s="8"/>
      <c r="BK54" s="8"/>
      <c r="BL54" s="8"/>
      <c r="BM54" s="8"/>
      <c r="BN54" s="8"/>
    </row>
    <row r="55" spans="1:66">
      <c r="A55" s="17">
        <v>53</v>
      </c>
      <c r="B55" s="78"/>
      <c r="AH55" s="8"/>
      <c r="AI55" s="8"/>
      <c r="AJ55" s="8"/>
      <c r="AK55" s="8">
        <v>3.4838708639144897</v>
      </c>
      <c r="AL55" s="8">
        <v>0</v>
      </c>
      <c r="AM55" s="8"/>
      <c r="AN55" s="8"/>
      <c r="AO55" s="8"/>
      <c r="AP55" s="8"/>
      <c r="AQ55" s="8"/>
      <c r="AY55" s="8"/>
      <c r="AZ55" s="8"/>
      <c r="BA55" s="8"/>
      <c r="BB55" s="8"/>
      <c r="BC55" s="8"/>
      <c r="BD55" s="8"/>
      <c r="BE55" s="8"/>
      <c r="BF55" s="8"/>
      <c r="BG55" s="8"/>
      <c r="BH55" s="8"/>
      <c r="BI55" s="8"/>
      <c r="BJ55" s="8"/>
      <c r="BK55" s="8"/>
      <c r="BL55" s="8"/>
      <c r="BM55" s="8"/>
      <c r="BN55" s="8"/>
    </row>
    <row r="56" spans="1:66">
      <c r="A56" s="17">
        <v>54</v>
      </c>
      <c r="B56" s="78"/>
      <c r="AH56" s="8"/>
      <c r="AI56" s="8"/>
      <c r="AJ56" s="8"/>
      <c r="AK56" s="8">
        <v>3.4838708639144897</v>
      </c>
      <c r="AL56" s="8">
        <v>0</v>
      </c>
      <c r="AM56" s="8"/>
      <c r="AN56" s="8"/>
      <c r="AO56" s="8"/>
      <c r="AP56" s="8"/>
      <c r="AQ56" s="8"/>
      <c r="AY56" s="8"/>
      <c r="AZ56" s="8"/>
      <c r="BA56" s="8"/>
      <c r="BB56" s="8"/>
      <c r="BC56" s="8"/>
      <c r="BD56" s="8"/>
      <c r="BE56" s="8"/>
      <c r="BF56" s="8"/>
      <c r="BG56" s="8"/>
      <c r="BH56" s="8"/>
      <c r="BI56" s="8"/>
      <c r="BJ56" s="8"/>
      <c r="BK56" s="8"/>
      <c r="BL56" s="8"/>
      <c r="BM56" s="8"/>
      <c r="BN56" s="8"/>
    </row>
    <row r="57" spans="1:66">
      <c r="A57" s="17">
        <v>55</v>
      </c>
      <c r="B57" s="78"/>
      <c r="AH57" s="8"/>
      <c r="AI57" s="8"/>
      <c r="AJ57" s="8"/>
      <c r="AK57" s="8">
        <v>3.6129031181335449</v>
      </c>
      <c r="AL57" s="8">
        <v>0</v>
      </c>
      <c r="AM57" s="8"/>
      <c r="AN57" s="8"/>
      <c r="AO57" s="8"/>
      <c r="AP57" s="8"/>
      <c r="AQ57" s="8"/>
      <c r="AY57" s="8"/>
      <c r="AZ57" s="8"/>
      <c r="BA57" s="8"/>
      <c r="BB57" s="8"/>
      <c r="BC57" s="8"/>
      <c r="BD57" s="8"/>
      <c r="BE57" s="8"/>
      <c r="BF57" s="8"/>
      <c r="BG57" s="8"/>
      <c r="BH57" s="8"/>
      <c r="BI57" s="8"/>
      <c r="BJ57" s="8"/>
      <c r="BK57" s="8"/>
      <c r="BL57" s="8"/>
      <c r="BM57" s="8"/>
      <c r="BN57" s="8"/>
    </row>
    <row r="58" spans="1:66">
      <c r="A58" s="17">
        <v>56</v>
      </c>
      <c r="B58" s="78"/>
      <c r="AH58" s="8"/>
      <c r="AI58" s="8"/>
      <c r="AJ58" s="8"/>
      <c r="AK58" s="8">
        <v>3.6129031181335449</v>
      </c>
      <c r="AL58" s="8">
        <v>0</v>
      </c>
      <c r="AM58" s="8"/>
      <c r="AN58" s="8"/>
      <c r="AO58" s="8"/>
      <c r="AP58" s="8"/>
      <c r="AQ58" s="8"/>
      <c r="AY58" s="8"/>
      <c r="AZ58" s="8"/>
      <c r="BA58" s="8"/>
      <c r="BB58" s="8"/>
      <c r="BC58" s="8"/>
      <c r="BD58" s="8"/>
      <c r="BE58" s="8"/>
      <c r="BF58" s="8"/>
      <c r="BG58" s="8"/>
      <c r="BH58" s="8"/>
      <c r="BI58" s="8"/>
      <c r="BJ58" s="8"/>
      <c r="BK58" s="8"/>
      <c r="BL58" s="8"/>
      <c r="BM58" s="8"/>
      <c r="BN58" s="8"/>
    </row>
    <row r="59" spans="1:66">
      <c r="A59" s="17">
        <v>57</v>
      </c>
      <c r="B59" s="78"/>
      <c r="AH59" s="8"/>
      <c r="AI59" s="8"/>
      <c r="AJ59" s="8"/>
      <c r="AK59" s="8">
        <v>3.7419353723526001</v>
      </c>
      <c r="AL59" s="8">
        <v>0</v>
      </c>
      <c r="AM59" s="8"/>
      <c r="AN59" s="8"/>
      <c r="AO59" s="8"/>
      <c r="AP59" s="8"/>
      <c r="AQ59" s="8"/>
      <c r="AY59" s="8"/>
      <c r="AZ59" s="8"/>
      <c r="BA59" s="8"/>
      <c r="BB59" s="8"/>
      <c r="BC59" s="8"/>
      <c r="BD59" s="8"/>
      <c r="BE59" s="8"/>
      <c r="BF59" s="8"/>
      <c r="BG59" s="8"/>
      <c r="BH59" s="8"/>
      <c r="BI59" s="8"/>
      <c r="BJ59" s="8"/>
      <c r="BK59" s="8"/>
      <c r="BL59" s="8"/>
      <c r="BM59" s="8"/>
      <c r="BN59" s="8"/>
    </row>
    <row r="60" spans="1:66">
      <c r="A60" s="17">
        <v>58</v>
      </c>
      <c r="B60" s="78"/>
      <c r="AH60" s="8"/>
      <c r="AI60" s="8"/>
      <c r="AJ60" s="8"/>
      <c r="AK60" s="8">
        <v>3.7419353723526001</v>
      </c>
      <c r="AL60" s="8">
        <v>0</v>
      </c>
      <c r="AM60" s="8"/>
      <c r="AN60" s="8"/>
      <c r="AO60" s="8"/>
      <c r="AP60" s="8"/>
      <c r="AQ60" s="8"/>
      <c r="AY60" s="8"/>
      <c r="AZ60" s="8"/>
      <c r="BA60" s="8"/>
      <c r="BB60" s="8"/>
      <c r="BC60" s="8"/>
      <c r="BD60" s="8"/>
      <c r="BE60" s="8"/>
      <c r="BF60" s="8"/>
      <c r="BG60" s="8"/>
      <c r="BH60" s="8"/>
      <c r="BI60" s="8"/>
      <c r="BJ60" s="8"/>
      <c r="BK60" s="8"/>
      <c r="BL60" s="8"/>
      <c r="BM60" s="8"/>
      <c r="BN60" s="8"/>
    </row>
    <row r="61" spans="1:66">
      <c r="A61" s="17">
        <v>59</v>
      </c>
      <c r="B61" s="78"/>
      <c r="AH61" s="8"/>
      <c r="AI61" s="8"/>
      <c r="AJ61" s="8"/>
      <c r="AK61" s="8">
        <v>3.8709676265716553</v>
      </c>
      <c r="AL61" s="8">
        <v>0</v>
      </c>
      <c r="AM61" s="8"/>
      <c r="AN61" s="8"/>
      <c r="AO61" s="8"/>
      <c r="AP61" s="8"/>
      <c r="AQ61" s="8"/>
      <c r="AY61" s="8"/>
      <c r="AZ61" s="8"/>
      <c r="BA61" s="8"/>
      <c r="BB61" s="8"/>
      <c r="BC61" s="8"/>
      <c r="BD61" s="8"/>
      <c r="BE61" s="8"/>
      <c r="BF61" s="8"/>
      <c r="BG61" s="8"/>
      <c r="BH61" s="8"/>
      <c r="BI61" s="8"/>
      <c r="BJ61" s="8"/>
      <c r="BK61" s="8"/>
      <c r="BL61" s="8"/>
      <c r="BM61" s="8"/>
      <c r="BN61" s="8"/>
    </row>
    <row r="62" spans="1:66">
      <c r="A62" s="17">
        <v>60</v>
      </c>
      <c r="B62" s="78"/>
      <c r="AH62" s="8"/>
      <c r="AI62" s="8"/>
      <c r="AJ62" s="8"/>
      <c r="AK62" s="8">
        <v>3.8709676265716553</v>
      </c>
      <c r="AL62" s="8">
        <v>0</v>
      </c>
      <c r="AM62" s="8"/>
      <c r="AN62" s="8"/>
      <c r="AO62" s="8"/>
      <c r="AP62" s="8"/>
      <c r="AQ62" s="8"/>
      <c r="AY62" s="8"/>
      <c r="AZ62" s="8"/>
      <c r="BA62" s="8"/>
      <c r="BB62" s="8"/>
      <c r="BC62" s="8"/>
      <c r="BD62" s="8"/>
      <c r="BE62" s="8"/>
      <c r="BF62" s="8"/>
      <c r="BG62" s="8"/>
      <c r="BH62" s="8"/>
      <c r="BI62" s="8"/>
      <c r="BJ62" s="8"/>
      <c r="BK62" s="8"/>
      <c r="BL62" s="8"/>
      <c r="BM62" s="8"/>
      <c r="BN62" s="8"/>
    </row>
    <row r="63" spans="1:66">
      <c r="A63" s="17">
        <v>61</v>
      </c>
      <c r="B63" s="78"/>
      <c r="AH63" s="8"/>
      <c r="AI63" s="8"/>
      <c r="AJ63" s="8"/>
      <c r="AK63" s="8">
        <v>3.9999998807907104</v>
      </c>
      <c r="AL63" s="8">
        <v>0</v>
      </c>
      <c r="AM63" s="8"/>
      <c r="AN63" s="8"/>
      <c r="AO63" s="8"/>
      <c r="AP63" s="8"/>
      <c r="AQ63" s="8"/>
      <c r="AY63" s="8"/>
      <c r="AZ63" s="8"/>
      <c r="BA63" s="8"/>
      <c r="BB63" s="8"/>
      <c r="BC63" s="8"/>
      <c r="BD63" s="8"/>
      <c r="BE63" s="8"/>
      <c r="BF63" s="8"/>
      <c r="BG63" s="8"/>
      <c r="BH63" s="8"/>
      <c r="BI63" s="8"/>
      <c r="BJ63" s="8"/>
      <c r="BK63" s="8"/>
      <c r="BL63" s="8"/>
      <c r="BM63" s="8"/>
      <c r="BN63" s="8"/>
    </row>
    <row r="64" spans="1:66">
      <c r="A64" s="17">
        <v>62</v>
      </c>
      <c r="B64" s="78"/>
      <c r="AH64" s="8"/>
      <c r="AI64" s="8"/>
      <c r="AJ64" s="8"/>
      <c r="AK64" s="8">
        <v>3.9999998807907104</v>
      </c>
      <c r="AL64" s="8">
        <v>0</v>
      </c>
      <c r="AM64" s="8"/>
      <c r="AN64" s="8"/>
      <c r="AO64" s="8"/>
      <c r="AP64" s="8"/>
      <c r="AQ64" s="8"/>
      <c r="AY64" s="8"/>
      <c r="AZ64" s="8"/>
      <c r="BA64" s="8"/>
      <c r="BB64" s="8"/>
      <c r="BC64" s="8"/>
      <c r="BD64" s="8"/>
      <c r="BE64" s="8"/>
      <c r="BF64" s="8"/>
      <c r="BG64" s="8"/>
      <c r="BH64" s="8"/>
      <c r="BI64" s="8"/>
      <c r="BJ64" s="8"/>
      <c r="BK64" s="8"/>
      <c r="BL64" s="8"/>
      <c r="BM64" s="8"/>
      <c r="BN64" s="8"/>
    </row>
    <row r="65" spans="1:66">
      <c r="A65" s="17">
        <v>63</v>
      </c>
      <c r="B65" s="78"/>
      <c r="AH65" s="8"/>
      <c r="AI65" s="8"/>
      <c r="AJ65" s="8"/>
      <c r="AK65" s="8"/>
      <c r="AL65" s="8"/>
      <c r="AM65" s="8"/>
      <c r="AN65" s="8"/>
      <c r="AO65" s="8"/>
      <c r="AP65" s="8"/>
      <c r="AQ65" s="8"/>
      <c r="AY65" s="8"/>
      <c r="AZ65" s="8"/>
      <c r="BA65" s="8"/>
      <c r="BB65" s="8"/>
      <c r="BC65" s="8"/>
      <c r="BD65" s="8"/>
      <c r="BE65" s="8"/>
      <c r="BF65" s="8"/>
      <c r="BG65" s="8"/>
      <c r="BH65" s="8"/>
      <c r="BI65" s="8"/>
      <c r="BJ65" s="8"/>
      <c r="BK65" s="8"/>
      <c r="BL65" s="8"/>
      <c r="BM65" s="8"/>
      <c r="BN65" s="8"/>
    </row>
    <row r="66" spans="1:66">
      <c r="A66" s="17">
        <v>64</v>
      </c>
      <c r="B66" s="78"/>
      <c r="AH66" s="8"/>
      <c r="AI66" s="8"/>
      <c r="AJ66" s="8"/>
      <c r="AK66" s="8"/>
      <c r="AL66" s="8"/>
      <c r="AM66" s="8"/>
      <c r="AN66" s="8"/>
      <c r="AO66" s="8"/>
      <c r="AP66" s="8"/>
      <c r="AQ66" s="8"/>
      <c r="AY66" s="8"/>
      <c r="AZ66" s="8"/>
      <c r="BA66" s="8"/>
      <c r="BB66" s="8"/>
      <c r="BC66" s="8"/>
      <c r="BD66" s="8"/>
      <c r="BE66" s="8"/>
      <c r="BF66" s="8"/>
      <c r="BG66" s="8"/>
      <c r="BH66" s="8"/>
      <c r="BI66" s="8"/>
      <c r="BJ66" s="8"/>
      <c r="BK66" s="8"/>
      <c r="BL66" s="8"/>
      <c r="BM66" s="8"/>
      <c r="BN66" s="8"/>
    </row>
    <row r="67" spans="1:66">
      <c r="A67" s="17">
        <v>65</v>
      </c>
      <c r="B67" s="78"/>
      <c r="AH67" s="8"/>
      <c r="AI67" s="8"/>
      <c r="AJ67" s="8"/>
      <c r="AK67" s="8"/>
      <c r="AL67" s="8"/>
      <c r="AM67" s="8"/>
      <c r="AN67" s="8"/>
      <c r="AO67" s="8"/>
      <c r="AP67" s="8"/>
      <c r="AQ67" s="8"/>
      <c r="AY67" s="8"/>
      <c r="AZ67" s="8"/>
      <c r="BA67" s="8"/>
      <c r="BB67" s="8"/>
      <c r="BC67" s="8"/>
      <c r="BD67" s="8"/>
      <c r="BE67" s="8"/>
      <c r="BF67" s="8"/>
      <c r="BG67" s="8"/>
      <c r="BH67" s="8"/>
      <c r="BI67" s="8"/>
      <c r="BJ67" s="8"/>
      <c r="BK67" s="8"/>
      <c r="BL67" s="8"/>
      <c r="BM67" s="8"/>
      <c r="BN67" s="8"/>
    </row>
    <row r="68" spans="1:66">
      <c r="A68" s="17">
        <v>66</v>
      </c>
      <c r="B68" s="78"/>
      <c r="AH68" s="8"/>
      <c r="AI68" s="8"/>
      <c r="AJ68" s="8"/>
      <c r="AK68" s="8"/>
      <c r="AL68" s="8"/>
      <c r="AM68" s="8"/>
      <c r="AN68" s="8"/>
      <c r="AO68" s="8"/>
      <c r="AP68" s="8"/>
      <c r="AQ68" s="8"/>
      <c r="AY68" s="8"/>
      <c r="AZ68" s="8"/>
      <c r="BA68" s="8"/>
      <c r="BB68" s="8"/>
      <c r="BC68" s="8"/>
      <c r="BD68" s="8"/>
      <c r="BE68" s="8"/>
      <c r="BF68" s="8"/>
      <c r="BG68" s="8"/>
      <c r="BH68" s="8"/>
      <c r="BI68" s="8"/>
      <c r="BJ68" s="8"/>
      <c r="BK68" s="8"/>
      <c r="BL68" s="8"/>
      <c r="BM68" s="8"/>
      <c r="BN68" s="8"/>
    </row>
    <row r="69" spans="1:66">
      <c r="A69" s="17">
        <v>67</v>
      </c>
      <c r="B69" s="78"/>
      <c r="AH69" s="8"/>
      <c r="AI69" s="8"/>
      <c r="AJ69" s="8"/>
      <c r="AK69" s="8"/>
      <c r="AL69" s="8"/>
      <c r="AM69" s="8"/>
      <c r="AN69" s="8"/>
      <c r="AO69" s="8"/>
      <c r="AP69" s="8"/>
      <c r="AQ69" s="8"/>
      <c r="AY69" s="8"/>
      <c r="AZ69" s="8"/>
      <c r="BA69" s="8"/>
      <c r="BB69" s="8"/>
      <c r="BC69" s="8"/>
      <c r="BD69" s="8"/>
      <c r="BE69" s="8"/>
      <c r="BF69" s="8"/>
      <c r="BG69" s="8"/>
      <c r="BH69" s="8"/>
      <c r="BI69" s="8"/>
      <c r="BJ69" s="8"/>
      <c r="BK69" s="8"/>
      <c r="BL69" s="8"/>
      <c r="BM69" s="8"/>
      <c r="BN69" s="8"/>
    </row>
    <row r="70" spans="1:66">
      <c r="A70" s="17">
        <v>68</v>
      </c>
      <c r="B70" s="78"/>
      <c r="AH70" s="8"/>
      <c r="AI70" s="8"/>
      <c r="AJ70" s="8"/>
      <c r="AK70" s="8"/>
      <c r="AL70" s="8"/>
      <c r="AM70" s="8"/>
      <c r="AN70" s="8"/>
      <c r="AO70" s="8"/>
      <c r="AP70" s="8"/>
      <c r="AQ70" s="8"/>
      <c r="AY70" s="8"/>
      <c r="AZ70" s="8"/>
      <c r="BA70" s="8"/>
      <c r="BB70" s="8"/>
      <c r="BC70" s="8"/>
      <c r="BD70" s="8"/>
      <c r="BE70" s="8"/>
      <c r="BF70" s="8"/>
      <c r="BG70" s="8"/>
      <c r="BH70" s="8"/>
      <c r="BI70" s="8"/>
      <c r="BJ70" s="8"/>
      <c r="BK70" s="8"/>
      <c r="BL70" s="8"/>
      <c r="BM70" s="8"/>
      <c r="BN70" s="8"/>
    </row>
    <row r="71" spans="1:66">
      <c r="A71" s="17">
        <v>69</v>
      </c>
      <c r="B71" s="78"/>
      <c r="AH71" s="8"/>
      <c r="AI71" s="8"/>
      <c r="AJ71" s="8"/>
      <c r="AK71" s="8"/>
      <c r="AL71" s="8"/>
      <c r="AM71" s="8"/>
      <c r="AN71" s="8"/>
      <c r="AO71" s="8"/>
      <c r="AP71" s="8"/>
      <c r="AQ71" s="8"/>
      <c r="AY71" s="8"/>
      <c r="AZ71" s="8"/>
      <c r="BA71" s="8"/>
      <c r="BB71" s="8"/>
      <c r="BC71" s="8"/>
      <c r="BD71" s="8"/>
      <c r="BE71" s="8"/>
      <c r="BF71" s="8"/>
      <c r="BG71" s="8"/>
      <c r="BH71" s="8"/>
      <c r="BI71" s="8"/>
      <c r="BJ71" s="8"/>
      <c r="BK71" s="8"/>
      <c r="BL71" s="8"/>
      <c r="BM71" s="8"/>
      <c r="BN71" s="8"/>
    </row>
    <row r="72" spans="1:66">
      <c r="A72" s="17">
        <v>70</v>
      </c>
      <c r="B72" s="78"/>
      <c r="AH72" s="8"/>
      <c r="AI72" s="8"/>
      <c r="AJ72" s="8"/>
      <c r="AK72" s="8"/>
      <c r="AL72" s="8"/>
      <c r="AM72" s="8"/>
      <c r="AN72" s="8"/>
      <c r="AO72" s="8"/>
      <c r="AP72" s="8"/>
      <c r="AQ72" s="8"/>
      <c r="AY72" s="8"/>
      <c r="AZ72" s="8"/>
      <c r="BA72" s="8"/>
      <c r="BB72" s="8"/>
      <c r="BC72" s="8"/>
      <c r="BD72" s="8"/>
      <c r="BE72" s="8"/>
      <c r="BF72" s="8"/>
      <c r="BG72" s="8"/>
      <c r="BH72" s="8"/>
      <c r="BI72" s="8"/>
      <c r="BJ72" s="8"/>
      <c r="BK72" s="8"/>
      <c r="BL72" s="8"/>
      <c r="BM72" s="8"/>
      <c r="BN72" s="8"/>
    </row>
    <row r="73" spans="1:66">
      <c r="A73" s="17">
        <v>71</v>
      </c>
      <c r="B73" s="78"/>
      <c r="AH73" s="8"/>
      <c r="AI73" s="8"/>
      <c r="AJ73" s="8"/>
      <c r="AK73" s="8"/>
      <c r="AL73" s="8"/>
      <c r="AM73" s="8"/>
      <c r="AN73" s="8"/>
      <c r="AO73" s="8"/>
      <c r="AP73" s="8"/>
      <c r="AQ73" s="8"/>
      <c r="AY73" s="8"/>
      <c r="AZ73" s="8"/>
      <c r="BA73" s="8"/>
      <c r="BB73" s="8"/>
      <c r="BC73" s="8"/>
      <c r="BD73" s="8"/>
      <c r="BE73" s="8"/>
      <c r="BF73" s="8"/>
      <c r="BG73" s="8"/>
      <c r="BH73" s="8"/>
      <c r="BI73" s="8"/>
      <c r="BJ73" s="8"/>
      <c r="BK73" s="8"/>
      <c r="BL73" s="8"/>
      <c r="BM73" s="8"/>
      <c r="BN73" s="8"/>
    </row>
    <row r="74" spans="1:66">
      <c r="A74" s="17">
        <v>72</v>
      </c>
      <c r="B74" s="78"/>
      <c r="AH74" s="8"/>
      <c r="AI74" s="8"/>
      <c r="AJ74" s="8"/>
      <c r="AK74" s="8"/>
      <c r="AL74" s="8"/>
      <c r="AM74" s="8"/>
      <c r="AN74" s="8"/>
      <c r="AO74" s="8"/>
      <c r="AP74" s="8"/>
      <c r="AQ74" s="8"/>
      <c r="AY74" s="8"/>
      <c r="AZ74" s="8"/>
      <c r="BA74" s="8"/>
      <c r="BB74" s="8"/>
      <c r="BC74" s="8"/>
      <c r="BD74" s="8"/>
      <c r="BE74" s="8"/>
      <c r="BF74" s="8"/>
      <c r="BG74" s="8"/>
      <c r="BH74" s="8"/>
      <c r="BI74" s="8"/>
      <c r="BJ74" s="8"/>
      <c r="BK74" s="8"/>
      <c r="BL74" s="8"/>
      <c r="BM74" s="8"/>
      <c r="BN74" s="8"/>
    </row>
    <row r="75" spans="1:66">
      <c r="A75" s="17">
        <v>73</v>
      </c>
      <c r="B75" s="78"/>
      <c r="AH75" s="8"/>
      <c r="AI75" s="8"/>
      <c r="AJ75" s="8"/>
      <c r="AK75" s="8"/>
      <c r="AL75" s="8"/>
      <c r="AM75" s="8"/>
      <c r="AN75" s="8"/>
      <c r="AO75" s="8"/>
      <c r="AP75" s="8"/>
      <c r="AQ75" s="8"/>
      <c r="AY75" s="8"/>
      <c r="AZ75" s="8"/>
      <c r="BA75" s="8"/>
      <c r="BB75" s="8"/>
      <c r="BC75" s="8"/>
      <c r="BD75" s="8"/>
      <c r="BE75" s="8"/>
      <c r="BF75" s="8"/>
      <c r="BG75" s="8"/>
      <c r="BH75" s="8"/>
      <c r="BI75" s="8"/>
      <c r="BJ75" s="8"/>
      <c r="BK75" s="8"/>
      <c r="BL75" s="8"/>
      <c r="BM75" s="8"/>
      <c r="BN75" s="8"/>
    </row>
    <row r="76" spans="1:66">
      <c r="A76" s="17">
        <v>74</v>
      </c>
      <c r="B76" s="78"/>
      <c r="AH76" s="8"/>
      <c r="AI76" s="8"/>
      <c r="AJ76" s="8"/>
      <c r="AK76" s="8"/>
      <c r="AL76" s="8"/>
      <c r="AM76" s="8"/>
      <c r="AN76" s="8"/>
      <c r="AO76" s="8"/>
      <c r="AP76" s="8"/>
      <c r="AQ76" s="8"/>
      <c r="AY76" s="8"/>
      <c r="AZ76" s="8"/>
      <c r="BA76" s="8"/>
      <c r="BB76" s="8"/>
      <c r="BC76" s="8"/>
      <c r="BD76" s="8"/>
      <c r="BE76" s="8"/>
      <c r="BF76" s="8"/>
      <c r="BG76" s="8"/>
      <c r="BH76" s="8"/>
      <c r="BI76" s="8"/>
      <c r="BJ76" s="8"/>
      <c r="BK76" s="8"/>
      <c r="BL76" s="8"/>
      <c r="BM76" s="8"/>
      <c r="BN76" s="8"/>
    </row>
    <row r="77" spans="1:66">
      <c r="A77" s="17">
        <v>75</v>
      </c>
      <c r="B77" s="78"/>
      <c r="AH77" s="8"/>
      <c r="AI77" s="8"/>
      <c r="AJ77" s="8"/>
      <c r="AK77" s="8"/>
      <c r="AL77" s="8"/>
      <c r="AM77" s="8"/>
      <c r="AN77" s="8"/>
      <c r="AO77" s="8"/>
      <c r="AP77" s="8"/>
      <c r="AQ77" s="8"/>
      <c r="AY77" s="8"/>
      <c r="AZ77" s="8"/>
      <c r="BA77" s="8"/>
      <c r="BB77" s="8"/>
      <c r="BC77" s="8"/>
      <c r="BD77" s="8"/>
      <c r="BE77" s="8"/>
      <c r="BF77" s="8"/>
      <c r="BG77" s="8"/>
      <c r="BH77" s="8"/>
      <c r="BI77" s="8"/>
      <c r="BJ77" s="8"/>
      <c r="BK77" s="8"/>
      <c r="BL77" s="8"/>
      <c r="BM77" s="8"/>
      <c r="BN77" s="8"/>
    </row>
    <row r="78" spans="1:66">
      <c r="A78" s="17">
        <v>76</v>
      </c>
      <c r="B78" s="78"/>
      <c r="AH78" s="8"/>
      <c r="AI78" s="8"/>
      <c r="AJ78" s="8"/>
      <c r="AK78" s="8"/>
      <c r="AL78" s="8"/>
      <c r="AM78" s="8"/>
      <c r="AN78" s="8"/>
      <c r="AO78" s="8"/>
      <c r="AP78" s="8"/>
      <c r="AQ78" s="8"/>
      <c r="AY78" s="8"/>
      <c r="AZ78" s="8"/>
      <c r="BA78" s="8"/>
      <c r="BB78" s="8"/>
      <c r="BC78" s="8"/>
      <c r="BD78" s="8"/>
      <c r="BE78" s="8"/>
      <c r="BF78" s="8"/>
      <c r="BG78" s="8"/>
      <c r="BH78" s="8"/>
      <c r="BI78" s="8"/>
      <c r="BJ78" s="8"/>
      <c r="BK78" s="8"/>
      <c r="BL78" s="8"/>
      <c r="BM78" s="8"/>
      <c r="BN78" s="8"/>
    </row>
    <row r="79" spans="1:66">
      <c r="A79" s="17">
        <v>77</v>
      </c>
      <c r="B79" s="78"/>
      <c r="AH79" s="8"/>
      <c r="AI79" s="8"/>
      <c r="AJ79" s="8"/>
      <c r="AK79" s="8"/>
      <c r="AL79" s="8"/>
      <c r="AM79" s="8"/>
      <c r="AN79" s="8"/>
      <c r="AO79" s="8"/>
      <c r="AP79" s="8"/>
      <c r="AQ79" s="8"/>
      <c r="AY79" s="8"/>
      <c r="AZ79" s="8"/>
      <c r="BA79" s="8"/>
      <c r="BB79" s="8"/>
      <c r="BC79" s="8"/>
      <c r="BD79" s="8"/>
      <c r="BE79" s="8"/>
      <c r="BF79" s="8"/>
      <c r="BG79" s="8"/>
      <c r="BH79" s="8"/>
      <c r="BI79" s="8"/>
      <c r="BJ79" s="8"/>
      <c r="BK79" s="8"/>
      <c r="BL79" s="8"/>
      <c r="BM79" s="8"/>
      <c r="BN79" s="8"/>
    </row>
    <row r="80" spans="1:66">
      <c r="A80" s="17">
        <v>78</v>
      </c>
      <c r="B80" s="78"/>
      <c r="AH80" s="8"/>
      <c r="AI80" s="8"/>
      <c r="AJ80" s="8"/>
      <c r="AK80" s="8"/>
      <c r="AL80" s="8"/>
      <c r="AM80" s="8"/>
      <c r="AN80" s="8"/>
      <c r="AO80" s="8"/>
      <c r="AP80" s="8"/>
      <c r="AQ80" s="8"/>
      <c r="AY80" s="8"/>
      <c r="AZ80" s="8"/>
      <c r="BA80" s="8"/>
      <c r="BB80" s="8"/>
      <c r="BC80" s="8"/>
      <c r="BD80" s="8"/>
      <c r="BE80" s="8"/>
      <c r="BF80" s="8"/>
      <c r="BG80" s="8"/>
      <c r="BH80" s="8"/>
      <c r="BI80" s="8"/>
      <c r="BJ80" s="8"/>
      <c r="BK80" s="8"/>
      <c r="BL80" s="8"/>
      <c r="BM80" s="8"/>
      <c r="BN80" s="8"/>
    </row>
    <row r="81" spans="1:66">
      <c r="A81" s="17">
        <v>79</v>
      </c>
      <c r="B81" s="78"/>
      <c r="AH81" s="8"/>
      <c r="AI81" s="8"/>
      <c r="AJ81" s="8"/>
      <c r="AK81" s="8"/>
      <c r="AL81" s="8"/>
      <c r="AM81" s="8"/>
      <c r="AN81" s="8"/>
      <c r="AO81" s="8"/>
      <c r="AP81" s="8"/>
      <c r="AQ81" s="8"/>
      <c r="AY81" s="8"/>
      <c r="AZ81" s="8"/>
      <c r="BA81" s="8"/>
      <c r="BB81" s="8"/>
      <c r="BC81" s="8"/>
      <c r="BD81" s="8"/>
      <c r="BE81" s="8"/>
      <c r="BF81" s="8"/>
      <c r="BG81" s="8"/>
      <c r="BH81" s="8"/>
      <c r="BI81" s="8"/>
      <c r="BJ81" s="8"/>
      <c r="BK81" s="8"/>
      <c r="BL81" s="8"/>
      <c r="BM81" s="8"/>
      <c r="BN81" s="8"/>
    </row>
    <row r="82" spans="1:66">
      <c r="A82" s="17">
        <v>80</v>
      </c>
      <c r="B82" s="78"/>
      <c r="AH82" s="8"/>
      <c r="AI82" s="8"/>
      <c r="AJ82" s="8"/>
      <c r="AK82" s="8"/>
      <c r="AL82" s="8"/>
      <c r="AM82" s="8"/>
      <c r="AN82" s="8"/>
      <c r="AO82" s="8"/>
      <c r="AP82" s="8"/>
      <c r="AQ82" s="8"/>
      <c r="AY82" s="8"/>
      <c r="AZ82" s="8"/>
      <c r="BA82" s="8"/>
      <c r="BB82" s="8"/>
      <c r="BC82" s="8"/>
      <c r="BD82" s="8"/>
      <c r="BE82" s="8"/>
      <c r="BF82" s="8"/>
      <c r="BG82" s="8"/>
      <c r="BH82" s="8"/>
      <c r="BI82" s="8"/>
      <c r="BJ82" s="8"/>
      <c r="BK82" s="8"/>
      <c r="BL82" s="8"/>
      <c r="BM82" s="8"/>
      <c r="BN82" s="8"/>
    </row>
    <row r="83" spans="1:66">
      <c r="A83" s="17">
        <v>81</v>
      </c>
      <c r="B83" s="78"/>
      <c r="AH83" s="8"/>
      <c r="AI83" s="8"/>
      <c r="AJ83" s="8"/>
      <c r="AK83" s="8"/>
      <c r="AL83" s="8"/>
      <c r="AM83" s="8"/>
      <c r="AN83" s="8"/>
      <c r="AO83" s="8"/>
      <c r="AP83" s="8"/>
      <c r="AQ83" s="8"/>
      <c r="AY83" s="8"/>
      <c r="AZ83" s="8"/>
      <c r="BA83" s="8"/>
      <c r="BB83" s="8"/>
      <c r="BC83" s="8"/>
      <c r="BD83" s="8"/>
      <c r="BE83" s="8"/>
      <c r="BF83" s="8"/>
      <c r="BG83" s="8"/>
      <c r="BH83" s="8"/>
      <c r="BI83" s="8"/>
      <c r="BJ83" s="8"/>
      <c r="BK83" s="8"/>
      <c r="BL83" s="8"/>
      <c r="BM83" s="8"/>
      <c r="BN83" s="8"/>
    </row>
    <row r="84" spans="1:66">
      <c r="A84" s="17">
        <v>82</v>
      </c>
      <c r="B84" s="78"/>
      <c r="AH84" s="8"/>
      <c r="AI84" s="8"/>
      <c r="AJ84" s="8"/>
      <c r="AK84" s="8"/>
      <c r="AL84" s="8"/>
      <c r="AM84" s="8"/>
      <c r="AN84" s="8"/>
      <c r="AO84" s="8"/>
      <c r="AP84" s="8"/>
      <c r="AQ84" s="8"/>
      <c r="AY84" s="8"/>
      <c r="AZ84" s="8"/>
      <c r="BA84" s="8"/>
      <c r="BB84" s="8"/>
      <c r="BC84" s="8"/>
      <c r="BD84" s="8"/>
      <c r="BE84" s="8"/>
      <c r="BF84" s="8"/>
      <c r="BG84" s="8"/>
      <c r="BH84" s="8"/>
      <c r="BI84" s="8"/>
      <c r="BJ84" s="8"/>
      <c r="BK84" s="8"/>
      <c r="BL84" s="8"/>
      <c r="BM84" s="8"/>
      <c r="BN84" s="8"/>
    </row>
    <row r="85" spans="1:66">
      <c r="A85" s="17">
        <v>83</v>
      </c>
      <c r="B85" s="78"/>
      <c r="AH85" s="8"/>
      <c r="AI85" s="8"/>
      <c r="AJ85" s="8"/>
      <c r="AK85" s="8"/>
      <c r="AL85" s="8"/>
      <c r="AM85" s="8"/>
      <c r="AN85" s="8"/>
      <c r="AO85" s="8"/>
      <c r="AP85" s="8"/>
      <c r="AQ85" s="8"/>
      <c r="AY85" s="8"/>
      <c r="AZ85" s="8"/>
      <c r="BA85" s="8"/>
      <c r="BB85" s="8"/>
      <c r="BC85" s="8"/>
      <c r="BD85" s="8"/>
      <c r="BE85" s="8"/>
      <c r="BF85" s="8"/>
      <c r="BG85" s="8"/>
      <c r="BH85" s="8"/>
      <c r="BI85" s="8"/>
      <c r="BJ85" s="8"/>
      <c r="BK85" s="8"/>
      <c r="BL85" s="8"/>
      <c r="BM85" s="8"/>
      <c r="BN85" s="8"/>
    </row>
    <row r="86" spans="1:66">
      <c r="A86" s="17">
        <v>84</v>
      </c>
      <c r="B86" s="78"/>
      <c r="AH86" s="8"/>
      <c r="AI86" s="8"/>
      <c r="AJ86" s="8"/>
      <c r="AK86" s="8"/>
      <c r="AL86" s="8"/>
      <c r="AM86" s="8"/>
      <c r="AN86" s="8"/>
      <c r="AO86" s="8"/>
      <c r="AP86" s="8"/>
      <c r="AQ86" s="8"/>
      <c r="AY86" s="8"/>
      <c r="AZ86" s="8"/>
      <c r="BA86" s="8"/>
      <c r="BB86" s="8"/>
      <c r="BC86" s="8"/>
      <c r="BD86" s="8"/>
      <c r="BE86" s="8"/>
      <c r="BF86" s="8"/>
      <c r="BG86" s="8"/>
      <c r="BH86" s="8"/>
      <c r="BI86" s="8"/>
      <c r="BJ86" s="8"/>
      <c r="BK86" s="8"/>
      <c r="BL86" s="8"/>
      <c r="BM86" s="8"/>
      <c r="BN86" s="8"/>
    </row>
    <row r="87" spans="1:66">
      <c r="A87" s="17">
        <v>85</v>
      </c>
      <c r="B87" s="78"/>
      <c r="AH87" s="8"/>
      <c r="AI87" s="8"/>
      <c r="AJ87" s="8"/>
      <c r="AK87" s="8"/>
      <c r="AL87" s="8"/>
      <c r="AM87" s="8"/>
      <c r="AN87" s="8"/>
      <c r="AO87" s="8"/>
      <c r="AP87" s="8"/>
      <c r="AQ87" s="8"/>
      <c r="AY87" s="8"/>
      <c r="AZ87" s="8"/>
      <c r="BA87" s="8"/>
      <c r="BB87" s="8"/>
      <c r="BC87" s="8"/>
      <c r="BD87" s="8"/>
      <c r="BE87" s="8"/>
      <c r="BF87" s="8"/>
      <c r="BG87" s="8"/>
      <c r="BH87" s="8"/>
      <c r="BI87" s="8"/>
      <c r="BJ87" s="8"/>
      <c r="BK87" s="8"/>
      <c r="BL87" s="8"/>
      <c r="BM87" s="8"/>
      <c r="BN87" s="8"/>
    </row>
    <row r="88" spans="1:66">
      <c r="A88" s="17">
        <v>86</v>
      </c>
      <c r="B88" s="78"/>
      <c r="AH88" s="8"/>
      <c r="AI88" s="8"/>
      <c r="AJ88" s="8"/>
      <c r="AK88" s="8"/>
      <c r="AL88" s="8"/>
      <c r="AM88" s="8"/>
      <c r="AN88" s="8"/>
      <c r="AO88" s="8"/>
      <c r="AP88" s="8"/>
      <c r="AQ88" s="8"/>
      <c r="AY88" s="8"/>
      <c r="AZ88" s="8"/>
      <c r="BA88" s="8"/>
      <c r="BB88" s="8"/>
      <c r="BC88" s="8"/>
      <c r="BD88" s="8"/>
      <c r="BE88" s="8"/>
      <c r="BF88" s="8"/>
      <c r="BG88" s="8"/>
      <c r="BH88" s="8"/>
      <c r="BI88" s="8"/>
      <c r="BJ88" s="8"/>
      <c r="BK88" s="8"/>
      <c r="BL88" s="8"/>
      <c r="BM88" s="8"/>
      <c r="BN88" s="8"/>
    </row>
    <row r="89" spans="1:66">
      <c r="A89" s="17">
        <v>87</v>
      </c>
      <c r="B89" s="78"/>
      <c r="AH89" s="8"/>
      <c r="AI89" s="8"/>
      <c r="AJ89" s="8"/>
      <c r="AK89" s="8"/>
      <c r="AL89" s="8"/>
      <c r="AM89" s="8"/>
      <c r="AN89" s="8"/>
      <c r="AO89" s="8"/>
      <c r="AP89" s="8"/>
      <c r="AQ89" s="8"/>
      <c r="AY89" s="8"/>
      <c r="AZ89" s="8"/>
      <c r="BA89" s="8"/>
      <c r="BB89" s="8"/>
      <c r="BC89" s="8"/>
      <c r="BD89" s="8"/>
      <c r="BE89" s="8"/>
      <c r="BF89" s="8"/>
      <c r="BG89" s="8"/>
      <c r="BH89" s="8"/>
      <c r="BI89" s="8"/>
      <c r="BJ89" s="8"/>
      <c r="BK89" s="8"/>
      <c r="BL89" s="8"/>
      <c r="BM89" s="8"/>
      <c r="BN89" s="8"/>
    </row>
    <row r="90" spans="1:66">
      <c r="A90" s="17">
        <v>88</v>
      </c>
      <c r="B90" s="78"/>
      <c r="AH90" s="8"/>
      <c r="AI90" s="8"/>
      <c r="AJ90" s="8"/>
      <c r="AK90" s="8"/>
      <c r="AL90" s="8"/>
      <c r="AM90" s="8"/>
      <c r="AN90" s="8"/>
      <c r="AO90" s="8"/>
      <c r="AP90" s="8"/>
      <c r="AQ90" s="8"/>
      <c r="AY90" s="8"/>
      <c r="AZ90" s="8"/>
      <c r="BA90" s="8"/>
      <c r="BB90" s="8"/>
      <c r="BC90" s="8"/>
      <c r="BD90" s="8"/>
      <c r="BE90" s="8"/>
      <c r="BF90" s="8"/>
      <c r="BG90" s="8"/>
      <c r="BH90" s="8"/>
      <c r="BI90" s="8"/>
      <c r="BJ90" s="8"/>
      <c r="BK90" s="8"/>
      <c r="BL90" s="8"/>
      <c r="BM90" s="8"/>
      <c r="BN90" s="8"/>
    </row>
    <row r="91" spans="1:66">
      <c r="A91" s="17">
        <v>89</v>
      </c>
      <c r="B91" s="78"/>
      <c r="AH91" s="8"/>
      <c r="AI91" s="8"/>
      <c r="AJ91" s="8"/>
      <c r="AK91" s="8"/>
      <c r="AL91" s="8"/>
      <c r="AM91" s="8"/>
      <c r="AN91" s="8"/>
      <c r="AO91" s="8"/>
      <c r="AP91" s="8"/>
      <c r="AQ91" s="8"/>
      <c r="AY91" s="8"/>
      <c r="AZ91" s="8"/>
      <c r="BA91" s="8"/>
      <c r="BB91" s="8"/>
      <c r="BC91" s="8"/>
      <c r="BD91" s="8"/>
      <c r="BE91" s="8"/>
      <c r="BF91" s="8"/>
      <c r="BG91" s="8"/>
      <c r="BH91" s="8"/>
      <c r="BI91" s="8"/>
      <c r="BJ91" s="8"/>
      <c r="BK91" s="8"/>
      <c r="BL91" s="8"/>
      <c r="BM91" s="8"/>
      <c r="BN91" s="8"/>
    </row>
    <row r="92" spans="1:66">
      <c r="A92" s="17">
        <v>90</v>
      </c>
      <c r="B92" s="78"/>
      <c r="AH92" s="8"/>
      <c r="AI92" s="8"/>
      <c r="AJ92" s="8"/>
      <c r="AK92" s="8"/>
      <c r="AL92" s="8"/>
      <c r="AM92" s="8"/>
      <c r="AN92" s="8"/>
      <c r="AO92" s="8"/>
      <c r="AP92" s="8"/>
      <c r="AQ92" s="8"/>
      <c r="AY92" s="8"/>
      <c r="AZ92" s="8"/>
      <c r="BA92" s="8"/>
      <c r="BB92" s="8"/>
      <c r="BC92" s="8"/>
      <c r="BD92" s="8"/>
      <c r="BE92" s="8"/>
      <c r="BF92" s="8"/>
      <c r="BG92" s="8"/>
      <c r="BH92" s="8"/>
      <c r="BI92" s="8"/>
      <c r="BJ92" s="8"/>
      <c r="BK92" s="8"/>
      <c r="BL92" s="8"/>
      <c r="BM92" s="8"/>
      <c r="BN92" s="8"/>
    </row>
    <row r="93" spans="1:66">
      <c r="A93" s="17">
        <v>91</v>
      </c>
      <c r="B93" s="78"/>
      <c r="AH93" s="8"/>
      <c r="AI93" s="8"/>
      <c r="AJ93" s="8"/>
      <c r="AK93" s="8"/>
      <c r="AL93" s="8"/>
      <c r="AM93" s="8"/>
      <c r="AN93" s="8"/>
      <c r="AO93" s="8"/>
      <c r="AP93" s="8"/>
      <c r="AQ93" s="8"/>
      <c r="AY93" s="8"/>
      <c r="AZ93" s="8"/>
      <c r="BA93" s="8"/>
      <c r="BB93" s="8"/>
      <c r="BC93" s="8"/>
      <c r="BD93" s="8"/>
      <c r="BE93" s="8"/>
      <c r="BF93" s="8"/>
      <c r="BG93" s="8"/>
      <c r="BH93" s="8"/>
      <c r="BI93" s="8"/>
      <c r="BJ93" s="8"/>
      <c r="BK93" s="8"/>
      <c r="BL93" s="8"/>
      <c r="BM93" s="8"/>
      <c r="BN93" s="8"/>
    </row>
    <row r="94" spans="1:66">
      <c r="A94" s="17">
        <v>92</v>
      </c>
      <c r="B94" s="78"/>
      <c r="AH94" s="8"/>
      <c r="AI94" s="8"/>
      <c r="AJ94" s="8"/>
      <c r="AK94" s="8"/>
      <c r="AL94" s="8"/>
      <c r="AM94" s="8"/>
      <c r="AN94" s="8"/>
      <c r="AO94" s="8"/>
      <c r="AP94" s="8"/>
      <c r="AQ94" s="8"/>
      <c r="AY94" s="8"/>
      <c r="AZ94" s="8"/>
      <c r="BA94" s="8"/>
      <c r="BB94" s="8"/>
      <c r="BC94" s="8"/>
      <c r="BD94" s="8"/>
      <c r="BE94" s="8"/>
      <c r="BF94" s="8"/>
      <c r="BG94" s="8"/>
      <c r="BH94" s="8"/>
      <c r="BI94" s="8"/>
      <c r="BJ94" s="8"/>
      <c r="BK94" s="8"/>
      <c r="BL94" s="8"/>
      <c r="BM94" s="8"/>
      <c r="BN94" s="8"/>
    </row>
    <row r="95" spans="1:66">
      <c r="A95" s="17">
        <v>93</v>
      </c>
      <c r="B95" s="78"/>
      <c r="AH95" s="8"/>
      <c r="AI95" s="8"/>
      <c r="AJ95" s="8"/>
      <c r="AK95" s="8"/>
      <c r="AL95" s="8"/>
      <c r="AM95" s="8"/>
      <c r="AN95" s="8"/>
      <c r="AO95" s="8"/>
      <c r="AP95" s="8"/>
      <c r="AQ95" s="8"/>
      <c r="AY95" s="8"/>
      <c r="AZ95" s="8"/>
      <c r="BA95" s="8"/>
      <c r="BB95" s="8"/>
      <c r="BC95" s="8"/>
      <c r="BD95" s="8"/>
      <c r="BE95" s="8"/>
      <c r="BF95" s="8"/>
      <c r="BG95" s="8"/>
      <c r="BH95" s="8"/>
      <c r="BI95" s="8"/>
      <c r="BJ95" s="8"/>
      <c r="BK95" s="8"/>
      <c r="BL95" s="8"/>
      <c r="BM95" s="8"/>
      <c r="BN95" s="8"/>
    </row>
    <row r="96" spans="1:66">
      <c r="A96" s="17">
        <v>94</v>
      </c>
      <c r="B96" s="78"/>
      <c r="AH96" s="8"/>
      <c r="AI96" s="8"/>
      <c r="AJ96" s="8"/>
      <c r="AK96" s="8"/>
      <c r="AL96" s="8"/>
      <c r="AM96" s="8"/>
      <c r="AN96" s="8"/>
      <c r="AO96" s="8"/>
      <c r="AP96" s="8"/>
      <c r="AQ96" s="8"/>
      <c r="AY96" s="8"/>
      <c r="AZ96" s="8"/>
      <c r="BA96" s="8"/>
      <c r="BB96" s="8"/>
      <c r="BC96" s="8"/>
      <c r="BD96" s="8"/>
      <c r="BE96" s="8"/>
      <c r="BF96" s="8"/>
      <c r="BG96" s="8"/>
      <c r="BH96" s="8"/>
      <c r="BI96" s="8"/>
      <c r="BJ96" s="8"/>
      <c r="BK96" s="8"/>
      <c r="BL96" s="8"/>
      <c r="BM96" s="8"/>
      <c r="BN96" s="8"/>
    </row>
    <row r="97" spans="1:66">
      <c r="A97" s="17">
        <v>95</v>
      </c>
      <c r="B97" s="78"/>
      <c r="AH97" s="8"/>
      <c r="AI97" s="8"/>
      <c r="AJ97" s="8"/>
      <c r="AK97" s="8"/>
      <c r="AL97" s="8"/>
      <c r="AM97" s="8"/>
      <c r="AN97" s="8"/>
      <c r="AO97" s="8"/>
      <c r="AP97" s="8"/>
      <c r="AQ97" s="8"/>
      <c r="AY97" s="8"/>
      <c r="AZ97" s="8"/>
      <c r="BA97" s="8"/>
      <c r="BB97" s="8"/>
      <c r="BC97" s="8"/>
      <c r="BD97" s="8"/>
      <c r="BE97" s="8"/>
      <c r="BF97" s="8"/>
      <c r="BG97" s="8"/>
      <c r="BH97" s="8"/>
      <c r="BI97" s="8"/>
      <c r="BJ97" s="8"/>
      <c r="BK97" s="8"/>
      <c r="BL97" s="8"/>
      <c r="BM97" s="8"/>
      <c r="BN97" s="8"/>
    </row>
    <row r="98" spans="1:66">
      <c r="A98" s="17">
        <v>96</v>
      </c>
      <c r="B98" s="78"/>
      <c r="AH98" s="8"/>
      <c r="AI98" s="8"/>
      <c r="AJ98" s="8"/>
      <c r="AK98" s="8"/>
      <c r="AL98" s="8"/>
      <c r="AM98" s="8"/>
      <c r="AN98" s="8"/>
      <c r="AO98" s="8"/>
      <c r="AP98" s="8"/>
      <c r="AQ98" s="8"/>
      <c r="AY98" s="8"/>
      <c r="AZ98" s="8"/>
      <c r="BA98" s="8"/>
      <c r="BB98" s="8"/>
      <c r="BC98" s="8"/>
      <c r="BD98" s="8"/>
      <c r="BE98" s="8"/>
      <c r="BF98" s="8"/>
      <c r="BG98" s="8"/>
      <c r="BH98" s="8"/>
      <c r="BI98" s="8"/>
      <c r="BJ98" s="8"/>
      <c r="BK98" s="8"/>
      <c r="BL98" s="8"/>
      <c r="BM98" s="8"/>
      <c r="BN98" s="8"/>
    </row>
    <row r="99" spans="1:66">
      <c r="A99" s="17">
        <v>97</v>
      </c>
      <c r="B99" s="78"/>
      <c r="AH99" s="8"/>
      <c r="AI99" s="8"/>
      <c r="AJ99" s="8"/>
      <c r="AK99" s="8"/>
      <c r="AL99" s="8"/>
      <c r="AM99" s="8"/>
      <c r="AN99" s="8"/>
      <c r="AO99" s="8"/>
      <c r="AP99" s="8"/>
      <c r="AQ99" s="8"/>
      <c r="AY99" s="8"/>
      <c r="AZ99" s="8"/>
      <c r="BA99" s="8"/>
      <c r="BB99" s="8"/>
      <c r="BC99" s="8"/>
      <c r="BD99" s="8"/>
      <c r="BE99" s="8"/>
      <c r="BF99" s="8"/>
      <c r="BG99" s="8"/>
      <c r="BH99" s="8"/>
      <c r="BI99" s="8"/>
      <c r="BJ99" s="8"/>
      <c r="BK99" s="8"/>
      <c r="BL99" s="8"/>
      <c r="BM99" s="8"/>
      <c r="BN99" s="8"/>
    </row>
    <row r="100" spans="1:66">
      <c r="A100" s="17">
        <v>98</v>
      </c>
      <c r="B100" s="78"/>
      <c r="AH100" s="8"/>
      <c r="AI100" s="8"/>
      <c r="AJ100" s="8"/>
      <c r="AK100" s="8"/>
      <c r="AL100" s="8"/>
      <c r="AM100" s="8"/>
      <c r="AN100" s="8"/>
      <c r="AO100" s="8"/>
      <c r="AP100" s="8"/>
      <c r="AQ100" s="8"/>
      <c r="AY100" s="8"/>
      <c r="AZ100" s="8"/>
      <c r="BA100" s="8"/>
      <c r="BB100" s="8"/>
      <c r="BC100" s="8"/>
      <c r="BD100" s="8"/>
      <c r="BE100" s="8"/>
      <c r="BF100" s="8"/>
      <c r="BG100" s="8"/>
      <c r="BH100" s="8"/>
      <c r="BI100" s="8"/>
      <c r="BJ100" s="8"/>
      <c r="BK100" s="8"/>
      <c r="BL100" s="8"/>
      <c r="BM100" s="8"/>
      <c r="BN100" s="8"/>
    </row>
    <row r="101" spans="1:66">
      <c r="A101" s="17">
        <v>99</v>
      </c>
      <c r="B101" s="78"/>
      <c r="AH101" s="8"/>
      <c r="AI101" s="8"/>
      <c r="AJ101" s="8"/>
      <c r="AK101" s="8"/>
      <c r="AL101" s="8"/>
      <c r="AM101" s="8"/>
      <c r="AN101" s="8"/>
      <c r="AO101" s="8"/>
      <c r="AP101" s="8"/>
      <c r="AQ101" s="8"/>
      <c r="AY101" s="8"/>
      <c r="AZ101" s="8"/>
      <c r="BA101" s="8"/>
      <c r="BB101" s="8"/>
      <c r="BC101" s="8"/>
      <c r="BD101" s="8"/>
      <c r="BE101" s="8"/>
      <c r="BF101" s="8"/>
      <c r="BG101" s="8"/>
      <c r="BH101" s="8"/>
      <c r="BI101" s="8"/>
      <c r="BJ101" s="8"/>
      <c r="BK101" s="8"/>
      <c r="BL101" s="8"/>
      <c r="BM101" s="8"/>
      <c r="BN101" s="8"/>
    </row>
    <row r="102" spans="1:66">
      <c r="A102" s="17">
        <v>100</v>
      </c>
      <c r="B102" s="78"/>
      <c r="AH102" s="8"/>
      <c r="AI102" s="8"/>
      <c r="AJ102" s="8"/>
      <c r="AK102" s="8"/>
      <c r="AL102" s="8"/>
      <c r="AM102" s="8"/>
      <c r="AN102" s="8"/>
      <c r="AO102" s="8"/>
      <c r="AP102" s="8"/>
      <c r="AQ102" s="8"/>
      <c r="AY102" s="8"/>
      <c r="AZ102" s="8"/>
      <c r="BA102" s="8"/>
      <c r="BB102" s="8"/>
      <c r="BC102" s="8"/>
      <c r="BD102" s="8"/>
      <c r="BE102" s="8"/>
      <c r="BF102" s="8"/>
      <c r="BG102" s="8"/>
      <c r="BH102" s="8"/>
      <c r="BI102" s="8"/>
      <c r="BJ102" s="8"/>
      <c r="BK102" s="8"/>
      <c r="BL102" s="8"/>
      <c r="BM102" s="8"/>
      <c r="BN102" s="8"/>
    </row>
    <row r="103" spans="1:66">
      <c r="A103" s="45" t="s">
        <v>45</v>
      </c>
    </row>
  </sheetData>
  <dataConsolidate/>
  <mergeCells count="3">
    <mergeCell ref="F2:G2"/>
    <mergeCell ref="I4:K4"/>
    <mergeCell ref="L4:N4"/>
  </mergeCells>
  <pageMargins left="0.75" right="0.75" top="1" bottom="1" header="0.5" footer="0.5"/>
  <pageSetup orientation="portrait" horizontalDpi="200" verticalDpi="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07F7D-B6FD-4681-8315-799AB6074EB6}">
  <sheetPr codeName="Sheet15"/>
  <dimension ref="A1:BN103"/>
  <sheetViews>
    <sheetView showGridLines="0" workbookViewId="0">
      <selection activeCell="C2" sqref="C2"/>
    </sheetView>
  </sheetViews>
  <sheetFormatPr defaultColWidth="10" defaultRowHeight="15.6"/>
  <cols>
    <col min="1" max="1" width="8.88671875" style="17" customWidth="1"/>
    <col min="2" max="2" width="11.77734375" style="6" customWidth="1"/>
    <col min="3" max="3" width="11.77734375" style="7" customWidth="1"/>
    <col min="4" max="4" width="8.44140625" style="8" customWidth="1"/>
    <col min="5" max="5" width="8.44140625" style="9" customWidth="1"/>
    <col min="6" max="6" width="12.88671875" style="10" customWidth="1"/>
    <col min="7" max="7" width="10" style="9"/>
    <col min="8" max="8" width="7.33203125" style="9" customWidth="1"/>
    <col min="9" max="14" width="11.21875" style="9" customWidth="1"/>
    <col min="15" max="17" width="10" style="9"/>
    <col min="18" max="19" width="10" style="8"/>
    <col min="20" max="20" width="15.77734375" style="8" customWidth="1"/>
    <col min="21" max="22" width="12.44140625" style="8" customWidth="1"/>
    <col min="23" max="54" width="10" style="8"/>
    <col min="55" max="256" width="10" style="9"/>
    <col min="257" max="257" width="8.88671875" style="9" customWidth="1"/>
    <col min="258" max="259" width="11.77734375" style="9" customWidth="1"/>
    <col min="260" max="261" width="8.44140625" style="9" customWidth="1"/>
    <col min="262" max="262" width="12.88671875" style="9" customWidth="1"/>
    <col min="263" max="263" width="10" style="9"/>
    <col min="264" max="264" width="7.33203125" style="9" customWidth="1"/>
    <col min="265" max="270" width="11.21875" style="9" customWidth="1"/>
    <col min="271" max="275" width="10" style="9"/>
    <col min="276" max="276" width="15.77734375" style="9" customWidth="1"/>
    <col min="277" max="278" width="12.44140625" style="9" customWidth="1"/>
    <col min="279" max="512" width="10" style="9"/>
    <col min="513" max="513" width="8.88671875" style="9" customWidth="1"/>
    <col min="514" max="515" width="11.77734375" style="9" customWidth="1"/>
    <col min="516" max="517" width="8.44140625" style="9" customWidth="1"/>
    <col min="518" max="518" width="12.88671875" style="9" customWidth="1"/>
    <col min="519" max="519" width="10" style="9"/>
    <col min="520" max="520" width="7.33203125" style="9" customWidth="1"/>
    <col min="521" max="526" width="11.21875" style="9" customWidth="1"/>
    <col min="527" max="531" width="10" style="9"/>
    <col min="532" max="532" width="15.77734375" style="9" customWidth="1"/>
    <col min="533" max="534" width="12.44140625" style="9" customWidth="1"/>
    <col min="535" max="768" width="10" style="9"/>
    <col min="769" max="769" width="8.88671875" style="9" customWidth="1"/>
    <col min="770" max="771" width="11.77734375" style="9" customWidth="1"/>
    <col min="772" max="773" width="8.44140625" style="9" customWidth="1"/>
    <col min="774" max="774" width="12.88671875" style="9" customWidth="1"/>
    <col min="775" max="775" width="10" style="9"/>
    <col min="776" max="776" width="7.33203125" style="9" customWidth="1"/>
    <col min="777" max="782" width="11.21875" style="9" customWidth="1"/>
    <col min="783" max="787" width="10" style="9"/>
    <col min="788" max="788" width="15.77734375" style="9" customWidth="1"/>
    <col min="789" max="790" width="12.44140625" style="9" customWidth="1"/>
    <col min="791" max="1024" width="10" style="9"/>
    <col min="1025" max="1025" width="8.88671875" style="9" customWidth="1"/>
    <col min="1026" max="1027" width="11.77734375" style="9" customWidth="1"/>
    <col min="1028" max="1029" width="8.44140625" style="9" customWidth="1"/>
    <col min="1030" max="1030" width="12.88671875" style="9" customWidth="1"/>
    <col min="1031" max="1031" width="10" style="9"/>
    <col min="1032" max="1032" width="7.33203125" style="9" customWidth="1"/>
    <col min="1033" max="1038" width="11.21875" style="9" customWidth="1"/>
    <col min="1039" max="1043" width="10" style="9"/>
    <col min="1044" max="1044" width="15.77734375" style="9" customWidth="1"/>
    <col min="1045" max="1046" width="12.44140625" style="9" customWidth="1"/>
    <col min="1047" max="1280" width="10" style="9"/>
    <col min="1281" max="1281" width="8.88671875" style="9" customWidth="1"/>
    <col min="1282" max="1283" width="11.77734375" style="9" customWidth="1"/>
    <col min="1284" max="1285" width="8.44140625" style="9" customWidth="1"/>
    <col min="1286" max="1286" width="12.88671875" style="9" customWidth="1"/>
    <col min="1287" max="1287" width="10" style="9"/>
    <col min="1288" max="1288" width="7.33203125" style="9" customWidth="1"/>
    <col min="1289" max="1294" width="11.21875" style="9" customWidth="1"/>
    <col min="1295" max="1299" width="10" style="9"/>
    <col min="1300" max="1300" width="15.77734375" style="9" customWidth="1"/>
    <col min="1301" max="1302" width="12.44140625" style="9" customWidth="1"/>
    <col min="1303" max="1536" width="10" style="9"/>
    <col min="1537" max="1537" width="8.88671875" style="9" customWidth="1"/>
    <col min="1538" max="1539" width="11.77734375" style="9" customWidth="1"/>
    <col min="1540" max="1541" width="8.44140625" style="9" customWidth="1"/>
    <col min="1542" max="1542" width="12.88671875" style="9" customWidth="1"/>
    <col min="1543" max="1543" width="10" style="9"/>
    <col min="1544" max="1544" width="7.33203125" style="9" customWidth="1"/>
    <col min="1545" max="1550" width="11.21875" style="9" customWidth="1"/>
    <col min="1551" max="1555" width="10" style="9"/>
    <col min="1556" max="1556" width="15.77734375" style="9" customWidth="1"/>
    <col min="1557" max="1558" width="12.44140625" style="9" customWidth="1"/>
    <col min="1559" max="1792" width="10" style="9"/>
    <col min="1793" max="1793" width="8.88671875" style="9" customWidth="1"/>
    <col min="1794" max="1795" width="11.77734375" style="9" customWidth="1"/>
    <col min="1796" max="1797" width="8.44140625" style="9" customWidth="1"/>
    <col min="1798" max="1798" width="12.88671875" style="9" customWidth="1"/>
    <col min="1799" max="1799" width="10" style="9"/>
    <col min="1800" max="1800" width="7.33203125" style="9" customWidth="1"/>
    <col min="1801" max="1806" width="11.21875" style="9" customWidth="1"/>
    <col min="1807" max="1811" width="10" style="9"/>
    <col min="1812" max="1812" width="15.77734375" style="9" customWidth="1"/>
    <col min="1813" max="1814" width="12.44140625" style="9" customWidth="1"/>
    <col min="1815" max="2048" width="10" style="9"/>
    <col min="2049" max="2049" width="8.88671875" style="9" customWidth="1"/>
    <col min="2050" max="2051" width="11.77734375" style="9" customWidth="1"/>
    <col min="2052" max="2053" width="8.44140625" style="9" customWidth="1"/>
    <col min="2054" max="2054" width="12.88671875" style="9" customWidth="1"/>
    <col min="2055" max="2055" width="10" style="9"/>
    <col min="2056" max="2056" width="7.33203125" style="9" customWidth="1"/>
    <col min="2057" max="2062" width="11.21875" style="9" customWidth="1"/>
    <col min="2063" max="2067" width="10" style="9"/>
    <col min="2068" max="2068" width="15.77734375" style="9" customWidth="1"/>
    <col min="2069" max="2070" width="12.44140625" style="9" customWidth="1"/>
    <col min="2071" max="2304" width="10" style="9"/>
    <col min="2305" max="2305" width="8.88671875" style="9" customWidth="1"/>
    <col min="2306" max="2307" width="11.77734375" style="9" customWidth="1"/>
    <col min="2308" max="2309" width="8.44140625" style="9" customWidth="1"/>
    <col min="2310" max="2310" width="12.88671875" style="9" customWidth="1"/>
    <col min="2311" max="2311" width="10" style="9"/>
    <col min="2312" max="2312" width="7.33203125" style="9" customWidth="1"/>
    <col min="2313" max="2318" width="11.21875" style="9" customWidth="1"/>
    <col min="2319" max="2323" width="10" style="9"/>
    <col min="2324" max="2324" width="15.77734375" style="9" customWidth="1"/>
    <col min="2325" max="2326" width="12.44140625" style="9" customWidth="1"/>
    <col min="2327" max="2560" width="10" style="9"/>
    <col min="2561" max="2561" width="8.88671875" style="9" customWidth="1"/>
    <col min="2562" max="2563" width="11.77734375" style="9" customWidth="1"/>
    <col min="2564" max="2565" width="8.44140625" style="9" customWidth="1"/>
    <col min="2566" max="2566" width="12.88671875" style="9" customWidth="1"/>
    <col min="2567" max="2567" width="10" style="9"/>
    <col min="2568" max="2568" width="7.33203125" style="9" customWidth="1"/>
    <col min="2569" max="2574" width="11.21875" style="9" customWidth="1"/>
    <col min="2575" max="2579" width="10" style="9"/>
    <col min="2580" max="2580" width="15.77734375" style="9" customWidth="1"/>
    <col min="2581" max="2582" width="12.44140625" style="9" customWidth="1"/>
    <col min="2583" max="2816" width="10" style="9"/>
    <col min="2817" max="2817" width="8.88671875" style="9" customWidth="1"/>
    <col min="2818" max="2819" width="11.77734375" style="9" customWidth="1"/>
    <col min="2820" max="2821" width="8.44140625" style="9" customWidth="1"/>
    <col min="2822" max="2822" width="12.88671875" style="9" customWidth="1"/>
    <col min="2823" max="2823" width="10" style="9"/>
    <col min="2824" max="2824" width="7.33203125" style="9" customWidth="1"/>
    <col min="2825" max="2830" width="11.21875" style="9" customWidth="1"/>
    <col min="2831" max="2835" width="10" style="9"/>
    <col min="2836" max="2836" width="15.77734375" style="9" customWidth="1"/>
    <col min="2837" max="2838" width="12.44140625" style="9" customWidth="1"/>
    <col min="2839" max="3072" width="10" style="9"/>
    <col min="3073" max="3073" width="8.88671875" style="9" customWidth="1"/>
    <col min="3074" max="3075" width="11.77734375" style="9" customWidth="1"/>
    <col min="3076" max="3077" width="8.44140625" style="9" customWidth="1"/>
    <col min="3078" max="3078" width="12.88671875" style="9" customWidth="1"/>
    <col min="3079" max="3079" width="10" style="9"/>
    <col min="3080" max="3080" width="7.33203125" style="9" customWidth="1"/>
    <col min="3081" max="3086" width="11.21875" style="9" customWidth="1"/>
    <col min="3087" max="3091" width="10" style="9"/>
    <col min="3092" max="3092" width="15.77734375" style="9" customWidth="1"/>
    <col min="3093" max="3094" width="12.44140625" style="9" customWidth="1"/>
    <col min="3095" max="3328" width="10" style="9"/>
    <col min="3329" max="3329" width="8.88671875" style="9" customWidth="1"/>
    <col min="3330" max="3331" width="11.77734375" style="9" customWidth="1"/>
    <col min="3332" max="3333" width="8.44140625" style="9" customWidth="1"/>
    <col min="3334" max="3334" width="12.88671875" style="9" customWidth="1"/>
    <col min="3335" max="3335" width="10" style="9"/>
    <col min="3336" max="3336" width="7.33203125" style="9" customWidth="1"/>
    <col min="3337" max="3342" width="11.21875" style="9" customWidth="1"/>
    <col min="3343" max="3347" width="10" style="9"/>
    <col min="3348" max="3348" width="15.77734375" style="9" customWidth="1"/>
    <col min="3349" max="3350" width="12.44140625" style="9" customWidth="1"/>
    <col min="3351" max="3584" width="10" style="9"/>
    <col min="3585" max="3585" width="8.88671875" style="9" customWidth="1"/>
    <col min="3586" max="3587" width="11.77734375" style="9" customWidth="1"/>
    <col min="3588" max="3589" width="8.44140625" style="9" customWidth="1"/>
    <col min="3590" max="3590" width="12.88671875" style="9" customWidth="1"/>
    <col min="3591" max="3591" width="10" style="9"/>
    <col min="3592" max="3592" width="7.33203125" style="9" customWidth="1"/>
    <col min="3593" max="3598" width="11.21875" style="9" customWidth="1"/>
    <col min="3599" max="3603" width="10" style="9"/>
    <col min="3604" max="3604" width="15.77734375" style="9" customWidth="1"/>
    <col min="3605" max="3606" width="12.44140625" style="9" customWidth="1"/>
    <col min="3607" max="3840" width="10" style="9"/>
    <col min="3841" max="3841" width="8.88671875" style="9" customWidth="1"/>
    <col min="3842" max="3843" width="11.77734375" style="9" customWidth="1"/>
    <col min="3844" max="3845" width="8.44140625" style="9" customWidth="1"/>
    <col min="3846" max="3846" width="12.88671875" style="9" customWidth="1"/>
    <col min="3847" max="3847" width="10" style="9"/>
    <col min="3848" max="3848" width="7.33203125" style="9" customWidth="1"/>
    <col min="3849" max="3854" width="11.21875" style="9" customWidth="1"/>
    <col min="3855" max="3859" width="10" style="9"/>
    <col min="3860" max="3860" width="15.77734375" style="9" customWidth="1"/>
    <col min="3861" max="3862" width="12.44140625" style="9" customWidth="1"/>
    <col min="3863" max="4096" width="10" style="9"/>
    <col min="4097" max="4097" width="8.88671875" style="9" customWidth="1"/>
    <col min="4098" max="4099" width="11.77734375" style="9" customWidth="1"/>
    <col min="4100" max="4101" width="8.44140625" style="9" customWidth="1"/>
    <col min="4102" max="4102" width="12.88671875" style="9" customWidth="1"/>
    <col min="4103" max="4103" width="10" style="9"/>
    <col min="4104" max="4104" width="7.33203125" style="9" customWidth="1"/>
    <col min="4105" max="4110" width="11.21875" style="9" customWidth="1"/>
    <col min="4111" max="4115" width="10" style="9"/>
    <col min="4116" max="4116" width="15.77734375" style="9" customWidth="1"/>
    <col min="4117" max="4118" width="12.44140625" style="9" customWidth="1"/>
    <col min="4119" max="4352" width="10" style="9"/>
    <col min="4353" max="4353" width="8.88671875" style="9" customWidth="1"/>
    <col min="4354" max="4355" width="11.77734375" style="9" customWidth="1"/>
    <col min="4356" max="4357" width="8.44140625" style="9" customWidth="1"/>
    <col min="4358" max="4358" width="12.88671875" style="9" customWidth="1"/>
    <col min="4359" max="4359" width="10" style="9"/>
    <col min="4360" max="4360" width="7.33203125" style="9" customWidth="1"/>
    <col min="4361" max="4366" width="11.21875" style="9" customWidth="1"/>
    <col min="4367" max="4371" width="10" style="9"/>
    <col min="4372" max="4372" width="15.77734375" style="9" customWidth="1"/>
    <col min="4373" max="4374" width="12.44140625" style="9" customWidth="1"/>
    <col min="4375" max="4608" width="10" style="9"/>
    <col min="4609" max="4609" width="8.88671875" style="9" customWidth="1"/>
    <col min="4610" max="4611" width="11.77734375" style="9" customWidth="1"/>
    <col min="4612" max="4613" width="8.44140625" style="9" customWidth="1"/>
    <col min="4614" max="4614" width="12.88671875" style="9" customWidth="1"/>
    <col min="4615" max="4615" width="10" style="9"/>
    <col min="4616" max="4616" width="7.33203125" style="9" customWidth="1"/>
    <col min="4617" max="4622" width="11.21875" style="9" customWidth="1"/>
    <col min="4623" max="4627" width="10" style="9"/>
    <col min="4628" max="4628" width="15.77734375" style="9" customWidth="1"/>
    <col min="4629" max="4630" width="12.44140625" style="9" customWidth="1"/>
    <col min="4631" max="4864" width="10" style="9"/>
    <col min="4865" max="4865" width="8.88671875" style="9" customWidth="1"/>
    <col min="4866" max="4867" width="11.77734375" style="9" customWidth="1"/>
    <col min="4868" max="4869" width="8.44140625" style="9" customWidth="1"/>
    <col min="4870" max="4870" width="12.88671875" style="9" customWidth="1"/>
    <col min="4871" max="4871" width="10" style="9"/>
    <col min="4872" max="4872" width="7.33203125" style="9" customWidth="1"/>
    <col min="4873" max="4878" width="11.21875" style="9" customWidth="1"/>
    <col min="4879" max="4883" width="10" style="9"/>
    <col min="4884" max="4884" width="15.77734375" style="9" customWidth="1"/>
    <col min="4885" max="4886" width="12.44140625" style="9" customWidth="1"/>
    <col min="4887" max="5120" width="10" style="9"/>
    <col min="5121" max="5121" width="8.88671875" style="9" customWidth="1"/>
    <col min="5122" max="5123" width="11.77734375" style="9" customWidth="1"/>
    <col min="5124" max="5125" width="8.44140625" style="9" customWidth="1"/>
    <col min="5126" max="5126" width="12.88671875" style="9" customWidth="1"/>
    <col min="5127" max="5127" width="10" style="9"/>
    <col min="5128" max="5128" width="7.33203125" style="9" customWidth="1"/>
    <col min="5129" max="5134" width="11.21875" style="9" customWidth="1"/>
    <col min="5135" max="5139" width="10" style="9"/>
    <col min="5140" max="5140" width="15.77734375" style="9" customWidth="1"/>
    <col min="5141" max="5142" width="12.44140625" style="9" customWidth="1"/>
    <col min="5143" max="5376" width="10" style="9"/>
    <col min="5377" max="5377" width="8.88671875" style="9" customWidth="1"/>
    <col min="5378" max="5379" width="11.77734375" style="9" customWidth="1"/>
    <col min="5380" max="5381" width="8.44140625" style="9" customWidth="1"/>
    <col min="5382" max="5382" width="12.88671875" style="9" customWidth="1"/>
    <col min="5383" max="5383" width="10" style="9"/>
    <col min="5384" max="5384" width="7.33203125" style="9" customWidth="1"/>
    <col min="5385" max="5390" width="11.21875" style="9" customWidth="1"/>
    <col min="5391" max="5395" width="10" style="9"/>
    <col min="5396" max="5396" width="15.77734375" style="9" customWidth="1"/>
    <col min="5397" max="5398" width="12.44140625" style="9" customWidth="1"/>
    <col min="5399" max="5632" width="10" style="9"/>
    <col min="5633" max="5633" width="8.88671875" style="9" customWidth="1"/>
    <col min="5634" max="5635" width="11.77734375" style="9" customWidth="1"/>
    <col min="5636" max="5637" width="8.44140625" style="9" customWidth="1"/>
    <col min="5638" max="5638" width="12.88671875" style="9" customWidth="1"/>
    <col min="5639" max="5639" width="10" style="9"/>
    <col min="5640" max="5640" width="7.33203125" style="9" customWidth="1"/>
    <col min="5641" max="5646" width="11.21875" style="9" customWidth="1"/>
    <col min="5647" max="5651" width="10" style="9"/>
    <col min="5652" max="5652" width="15.77734375" style="9" customWidth="1"/>
    <col min="5653" max="5654" width="12.44140625" style="9" customWidth="1"/>
    <col min="5655" max="5888" width="10" style="9"/>
    <col min="5889" max="5889" width="8.88671875" style="9" customWidth="1"/>
    <col min="5890" max="5891" width="11.77734375" style="9" customWidth="1"/>
    <col min="5892" max="5893" width="8.44140625" style="9" customWidth="1"/>
    <col min="5894" max="5894" width="12.88671875" style="9" customWidth="1"/>
    <col min="5895" max="5895" width="10" style="9"/>
    <col min="5896" max="5896" width="7.33203125" style="9" customWidth="1"/>
    <col min="5897" max="5902" width="11.21875" style="9" customWidth="1"/>
    <col min="5903" max="5907" width="10" style="9"/>
    <col min="5908" max="5908" width="15.77734375" style="9" customWidth="1"/>
    <col min="5909" max="5910" width="12.44140625" style="9" customWidth="1"/>
    <col min="5911" max="6144" width="10" style="9"/>
    <col min="6145" max="6145" width="8.88671875" style="9" customWidth="1"/>
    <col min="6146" max="6147" width="11.77734375" style="9" customWidth="1"/>
    <col min="6148" max="6149" width="8.44140625" style="9" customWidth="1"/>
    <col min="6150" max="6150" width="12.88671875" style="9" customWidth="1"/>
    <col min="6151" max="6151" width="10" style="9"/>
    <col min="6152" max="6152" width="7.33203125" style="9" customWidth="1"/>
    <col min="6153" max="6158" width="11.21875" style="9" customWidth="1"/>
    <col min="6159" max="6163" width="10" style="9"/>
    <col min="6164" max="6164" width="15.77734375" style="9" customWidth="1"/>
    <col min="6165" max="6166" width="12.44140625" style="9" customWidth="1"/>
    <col min="6167" max="6400" width="10" style="9"/>
    <col min="6401" max="6401" width="8.88671875" style="9" customWidth="1"/>
    <col min="6402" max="6403" width="11.77734375" style="9" customWidth="1"/>
    <col min="6404" max="6405" width="8.44140625" style="9" customWidth="1"/>
    <col min="6406" max="6406" width="12.88671875" style="9" customWidth="1"/>
    <col min="6407" max="6407" width="10" style="9"/>
    <col min="6408" max="6408" width="7.33203125" style="9" customWidth="1"/>
    <col min="6409" max="6414" width="11.21875" style="9" customWidth="1"/>
    <col min="6415" max="6419" width="10" style="9"/>
    <col min="6420" max="6420" width="15.77734375" style="9" customWidth="1"/>
    <col min="6421" max="6422" width="12.44140625" style="9" customWidth="1"/>
    <col min="6423" max="6656" width="10" style="9"/>
    <col min="6657" max="6657" width="8.88671875" style="9" customWidth="1"/>
    <col min="6658" max="6659" width="11.77734375" style="9" customWidth="1"/>
    <col min="6660" max="6661" width="8.44140625" style="9" customWidth="1"/>
    <col min="6662" max="6662" width="12.88671875" style="9" customWidth="1"/>
    <col min="6663" max="6663" width="10" style="9"/>
    <col min="6664" max="6664" width="7.33203125" style="9" customWidth="1"/>
    <col min="6665" max="6670" width="11.21875" style="9" customWidth="1"/>
    <col min="6671" max="6675" width="10" style="9"/>
    <col min="6676" max="6676" width="15.77734375" style="9" customWidth="1"/>
    <col min="6677" max="6678" width="12.44140625" style="9" customWidth="1"/>
    <col min="6679" max="6912" width="10" style="9"/>
    <col min="6913" max="6913" width="8.88671875" style="9" customWidth="1"/>
    <col min="6914" max="6915" width="11.77734375" style="9" customWidth="1"/>
    <col min="6916" max="6917" width="8.44140625" style="9" customWidth="1"/>
    <col min="6918" max="6918" width="12.88671875" style="9" customWidth="1"/>
    <col min="6919" max="6919" width="10" style="9"/>
    <col min="6920" max="6920" width="7.33203125" style="9" customWidth="1"/>
    <col min="6921" max="6926" width="11.21875" style="9" customWidth="1"/>
    <col min="6927" max="6931" width="10" style="9"/>
    <col min="6932" max="6932" width="15.77734375" style="9" customWidth="1"/>
    <col min="6933" max="6934" width="12.44140625" style="9" customWidth="1"/>
    <col min="6935" max="7168" width="10" style="9"/>
    <col min="7169" max="7169" width="8.88671875" style="9" customWidth="1"/>
    <col min="7170" max="7171" width="11.77734375" style="9" customWidth="1"/>
    <col min="7172" max="7173" width="8.44140625" style="9" customWidth="1"/>
    <col min="7174" max="7174" width="12.88671875" style="9" customWidth="1"/>
    <col min="7175" max="7175" width="10" style="9"/>
    <col min="7176" max="7176" width="7.33203125" style="9" customWidth="1"/>
    <col min="7177" max="7182" width="11.21875" style="9" customWidth="1"/>
    <col min="7183" max="7187" width="10" style="9"/>
    <col min="7188" max="7188" width="15.77734375" style="9" customWidth="1"/>
    <col min="7189" max="7190" width="12.44140625" style="9" customWidth="1"/>
    <col min="7191" max="7424" width="10" style="9"/>
    <col min="7425" max="7425" width="8.88671875" style="9" customWidth="1"/>
    <col min="7426" max="7427" width="11.77734375" style="9" customWidth="1"/>
    <col min="7428" max="7429" width="8.44140625" style="9" customWidth="1"/>
    <col min="7430" max="7430" width="12.88671875" style="9" customWidth="1"/>
    <col min="7431" max="7431" width="10" style="9"/>
    <col min="7432" max="7432" width="7.33203125" style="9" customWidth="1"/>
    <col min="7433" max="7438" width="11.21875" style="9" customWidth="1"/>
    <col min="7439" max="7443" width="10" style="9"/>
    <col min="7444" max="7444" width="15.77734375" style="9" customWidth="1"/>
    <col min="7445" max="7446" width="12.44140625" style="9" customWidth="1"/>
    <col min="7447" max="7680" width="10" style="9"/>
    <col min="7681" max="7681" width="8.88671875" style="9" customWidth="1"/>
    <col min="7682" max="7683" width="11.77734375" style="9" customWidth="1"/>
    <col min="7684" max="7685" width="8.44140625" style="9" customWidth="1"/>
    <col min="7686" max="7686" width="12.88671875" style="9" customWidth="1"/>
    <col min="7687" max="7687" width="10" style="9"/>
    <col min="7688" max="7688" width="7.33203125" style="9" customWidth="1"/>
    <col min="7689" max="7694" width="11.21875" style="9" customWidth="1"/>
    <col min="7695" max="7699" width="10" style="9"/>
    <col min="7700" max="7700" width="15.77734375" style="9" customWidth="1"/>
    <col min="7701" max="7702" width="12.44140625" style="9" customWidth="1"/>
    <col min="7703" max="7936" width="10" style="9"/>
    <col min="7937" max="7937" width="8.88671875" style="9" customWidth="1"/>
    <col min="7938" max="7939" width="11.77734375" style="9" customWidth="1"/>
    <col min="7940" max="7941" width="8.44140625" style="9" customWidth="1"/>
    <col min="7942" max="7942" width="12.88671875" style="9" customWidth="1"/>
    <col min="7943" max="7943" width="10" style="9"/>
    <col min="7944" max="7944" width="7.33203125" style="9" customWidth="1"/>
    <col min="7945" max="7950" width="11.21875" style="9" customWidth="1"/>
    <col min="7951" max="7955" width="10" style="9"/>
    <col min="7956" max="7956" width="15.77734375" style="9" customWidth="1"/>
    <col min="7957" max="7958" width="12.44140625" style="9" customWidth="1"/>
    <col min="7959" max="8192" width="10" style="9"/>
    <col min="8193" max="8193" width="8.88671875" style="9" customWidth="1"/>
    <col min="8194" max="8195" width="11.77734375" style="9" customWidth="1"/>
    <col min="8196" max="8197" width="8.44140625" style="9" customWidth="1"/>
    <col min="8198" max="8198" width="12.88671875" style="9" customWidth="1"/>
    <col min="8199" max="8199" width="10" style="9"/>
    <col min="8200" max="8200" width="7.33203125" style="9" customWidth="1"/>
    <col min="8201" max="8206" width="11.21875" style="9" customWidth="1"/>
    <col min="8207" max="8211" width="10" style="9"/>
    <col min="8212" max="8212" width="15.77734375" style="9" customWidth="1"/>
    <col min="8213" max="8214" width="12.44140625" style="9" customWidth="1"/>
    <col min="8215" max="8448" width="10" style="9"/>
    <col min="8449" max="8449" width="8.88671875" style="9" customWidth="1"/>
    <col min="8450" max="8451" width="11.77734375" style="9" customWidth="1"/>
    <col min="8452" max="8453" width="8.44140625" style="9" customWidth="1"/>
    <col min="8454" max="8454" width="12.88671875" style="9" customWidth="1"/>
    <col min="8455" max="8455" width="10" style="9"/>
    <col min="8456" max="8456" width="7.33203125" style="9" customWidth="1"/>
    <col min="8457" max="8462" width="11.21875" style="9" customWidth="1"/>
    <col min="8463" max="8467" width="10" style="9"/>
    <col min="8468" max="8468" width="15.77734375" style="9" customWidth="1"/>
    <col min="8469" max="8470" width="12.44140625" style="9" customWidth="1"/>
    <col min="8471" max="8704" width="10" style="9"/>
    <col min="8705" max="8705" width="8.88671875" style="9" customWidth="1"/>
    <col min="8706" max="8707" width="11.77734375" style="9" customWidth="1"/>
    <col min="8708" max="8709" width="8.44140625" style="9" customWidth="1"/>
    <col min="8710" max="8710" width="12.88671875" style="9" customWidth="1"/>
    <col min="8711" max="8711" width="10" style="9"/>
    <col min="8712" max="8712" width="7.33203125" style="9" customWidth="1"/>
    <col min="8713" max="8718" width="11.21875" style="9" customWidth="1"/>
    <col min="8719" max="8723" width="10" style="9"/>
    <col min="8724" max="8724" width="15.77734375" style="9" customWidth="1"/>
    <col min="8725" max="8726" width="12.44140625" style="9" customWidth="1"/>
    <col min="8727" max="8960" width="10" style="9"/>
    <col min="8961" max="8961" width="8.88671875" style="9" customWidth="1"/>
    <col min="8962" max="8963" width="11.77734375" style="9" customWidth="1"/>
    <col min="8964" max="8965" width="8.44140625" style="9" customWidth="1"/>
    <col min="8966" max="8966" width="12.88671875" style="9" customWidth="1"/>
    <col min="8967" max="8967" width="10" style="9"/>
    <col min="8968" max="8968" width="7.33203125" style="9" customWidth="1"/>
    <col min="8969" max="8974" width="11.21875" style="9" customWidth="1"/>
    <col min="8975" max="8979" width="10" style="9"/>
    <col min="8980" max="8980" width="15.77734375" style="9" customWidth="1"/>
    <col min="8981" max="8982" width="12.44140625" style="9" customWidth="1"/>
    <col min="8983" max="9216" width="10" style="9"/>
    <col min="9217" max="9217" width="8.88671875" style="9" customWidth="1"/>
    <col min="9218" max="9219" width="11.77734375" style="9" customWidth="1"/>
    <col min="9220" max="9221" width="8.44140625" style="9" customWidth="1"/>
    <col min="9222" max="9222" width="12.88671875" style="9" customWidth="1"/>
    <col min="9223" max="9223" width="10" style="9"/>
    <col min="9224" max="9224" width="7.33203125" style="9" customWidth="1"/>
    <col min="9225" max="9230" width="11.21875" style="9" customWidth="1"/>
    <col min="9231" max="9235" width="10" style="9"/>
    <col min="9236" max="9236" width="15.77734375" style="9" customWidth="1"/>
    <col min="9237" max="9238" width="12.44140625" style="9" customWidth="1"/>
    <col min="9239" max="9472" width="10" style="9"/>
    <col min="9473" max="9473" width="8.88671875" style="9" customWidth="1"/>
    <col min="9474" max="9475" width="11.77734375" style="9" customWidth="1"/>
    <col min="9476" max="9477" width="8.44140625" style="9" customWidth="1"/>
    <col min="9478" max="9478" width="12.88671875" style="9" customWidth="1"/>
    <col min="9479" max="9479" width="10" style="9"/>
    <col min="9480" max="9480" width="7.33203125" style="9" customWidth="1"/>
    <col min="9481" max="9486" width="11.21875" style="9" customWidth="1"/>
    <col min="9487" max="9491" width="10" style="9"/>
    <col min="9492" max="9492" width="15.77734375" style="9" customWidth="1"/>
    <col min="9493" max="9494" width="12.44140625" style="9" customWidth="1"/>
    <col min="9495" max="9728" width="10" style="9"/>
    <col min="9729" max="9729" width="8.88671875" style="9" customWidth="1"/>
    <col min="9730" max="9731" width="11.77734375" style="9" customWidth="1"/>
    <col min="9732" max="9733" width="8.44140625" style="9" customWidth="1"/>
    <col min="9734" max="9734" width="12.88671875" style="9" customWidth="1"/>
    <col min="9735" max="9735" width="10" style="9"/>
    <col min="9736" max="9736" width="7.33203125" style="9" customWidth="1"/>
    <col min="9737" max="9742" width="11.21875" style="9" customWidth="1"/>
    <col min="9743" max="9747" width="10" style="9"/>
    <col min="9748" max="9748" width="15.77734375" style="9" customWidth="1"/>
    <col min="9749" max="9750" width="12.44140625" style="9" customWidth="1"/>
    <col min="9751" max="9984" width="10" style="9"/>
    <col min="9985" max="9985" width="8.88671875" style="9" customWidth="1"/>
    <col min="9986" max="9987" width="11.77734375" style="9" customWidth="1"/>
    <col min="9988" max="9989" width="8.44140625" style="9" customWidth="1"/>
    <col min="9990" max="9990" width="12.88671875" style="9" customWidth="1"/>
    <col min="9991" max="9991" width="10" style="9"/>
    <col min="9992" max="9992" width="7.33203125" style="9" customWidth="1"/>
    <col min="9993" max="9998" width="11.21875" style="9" customWidth="1"/>
    <col min="9999" max="10003" width="10" style="9"/>
    <col min="10004" max="10004" width="15.77734375" style="9" customWidth="1"/>
    <col min="10005" max="10006" width="12.44140625" style="9" customWidth="1"/>
    <col min="10007" max="10240" width="10" style="9"/>
    <col min="10241" max="10241" width="8.88671875" style="9" customWidth="1"/>
    <col min="10242" max="10243" width="11.77734375" style="9" customWidth="1"/>
    <col min="10244" max="10245" width="8.44140625" style="9" customWidth="1"/>
    <col min="10246" max="10246" width="12.88671875" style="9" customWidth="1"/>
    <col min="10247" max="10247" width="10" style="9"/>
    <col min="10248" max="10248" width="7.33203125" style="9" customWidth="1"/>
    <col min="10249" max="10254" width="11.21875" style="9" customWidth="1"/>
    <col min="10255" max="10259" width="10" style="9"/>
    <col min="10260" max="10260" width="15.77734375" style="9" customWidth="1"/>
    <col min="10261" max="10262" width="12.44140625" style="9" customWidth="1"/>
    <col min="10263" max="10496" width="10" style="9"/>
    <col min="10497" max="10497" width="8.88671875" style="9" customWidth="1"/>
    <col min="10498" max="10499" width="11.77734375" style="9" customWidth="1"/>
    <col min="10500" max="10501" width="8.44140625" style="9" customWidth="1"/>
    <col min="10502" max="10502" width="12.88671875" style="9" customWidth="1"/>
    <col min="10503" max="10503" width="10" style="9"/>
    <col min="10504" max="10504" width="7.33203125" style="9" customWidth="1"/>
    <col min="10505" max="10510" width="11.21875" style="9" customWidth="1"/>
    <col min="10511" max="10515" width="10" style="9"/>
    <col min="10516" max="10516" width="15.77734375" style="9" customWidth="1"/>
    <col min="10517" max="10518" width="12.44140625" style="9" customWidth="1"/>
    <col min="10519" max="10752" width="10" style="9"/>
    <col min="10753" max="10753" width="8.88671875" style="9" customWidth="1"/>
    <col min="10754" max="10755" width="11.77734375" style="9" customWidth="1"/>
    <col min="10756" max="10757" width="8.44140625" style="9" customWidth="1"/>
    <col min="10758" max="10758" width="12.88671875" style="9" customWidth="1"/>
    <col min="10759" max="10759" width="10" style="9"/>
    <col min="10760" max="10760" width="7.33203125" style="9" customWidth="1"/>
    <col min="10761" max="10766" width="11.21875" style="9" customWidth="1"/>
    <col min="10767" max="10771" width="10" style="9"/>
    <col min="10772" max="10772" width="15.77734375" style="9" customWidth="1"/>
    <col min="10773" max="10774" width="12.44140625" style="9" customWidth="1"/>
    <col min="10775" max="11008" width="10" style="9"/>
    <col min="11009" max="11009" width="8.88671875" style="9" customWidth="1"/>
    <col min="11010" max="11011" width="11.77734375" style="9" customWidth="1"/>
    <col min="11012" max="11013" width="8.44140625" style="9" customWidth="1"/>
    <col min="11014" max="11014" width="12.88671875" style="9" customWidth="1"/>
    <col min="11015" max="11015" width="10" style="9"/>
    <col min="11016" max="11016" width="7.33203125" style="9" customWidth="1"/>
    <col min="11017" max="11022" width="11.21875" style="9" customWidth="1"/>
    <col min="11023" max="11027" width="10" style="9"/>
    <col min="11028" max="11028" width="15.77734375" style="9" customWidth="1"/>
    <col min="11029" max="11030" width="12.44140625" style="9" customWidth="1"/>
    <col min="11031" max="11264" width="10" style="9"/>
    <col min="11265" max="11265" width="8.88671875" style="9" customWidth="1"/>
    <col min="11266" max="11267" width="11.77734375" style="9" customWidth="1"/>
    <col min="11268" max="11269" width="8.44140625" style="9" customWidth="1"/>
    <col min="11270" max="11270" width="12.88671875" style="9" customWidth="1"/>
    <col min="11271" max="11271" width="10" style="9"/>
    <col min="11272" max="11272" width="7.33203125" style="9" customWidth="1"/>
    <col min="11273" max="11278" width="11.21875" style="9" customWidth="1"/>
    <col min="11279" max="11283" width="10" style="9"/>
    <col min="11284" max="11284" width="15.77734375" style="9" customWidth="1"/>
    <col min="11285" max="11286" width="12.44140625" style="9" customWidth="1"/>
    <col min="11287" max="11520" width="10" style="9"/>
    <col min="11521" max="11521" width="8.88671875" style="9" customWidth="1"/>
    <col min="11522" max="11523" width="11.77734375" style="9" customWidth="1"/>
    <col min="11524" max="11525" width="8.44140625" style="9" customWidth="1"/>
    <col min="11526" max="11526" width="12.88671875" style="9" customWidth="1"/>
    <col min="11527" max="11527" width="10" style="9"/>
    <col min="11528" max="11528" width="7.33203125" style="9" customWidth="1"/>
    <col min="11529" max="11534" width="11.21875" style="9" customWidth="1"/>
    <col min="11535" max="11539" width="10" style="9"/>
    <col min="11540" max="11540" width="15.77734375" style="9" customWidth="1"/>
    <col min="11541" max="11542" width="12.44140625" style="9" customWidth="1"/>
    <col min="11543" max="11776" width="10" style="9"/>
    <col min="11777" max="11777" width="8.88671875" style="9" customWidth="1"/>
    <col min="11778" max="11779" width="11.77734375" style="9" customWidth="1"/>
    <col min="11780" max="11781" width="8.44140625" style="9" customWidth="1"/>
    <col min="11782" max="11782" width="12.88671875" style="9" customWidth="1"/>
    <col min="11783" max="11783" width="10" style="9"/>
    <col min="11784" max="11784" width="7.33203125" style="9" customWidth="1"/>
    <col min="11785" max="11790" width="11.21875" style="9" customWidth="1"/>
    <col min="11791" max="11795" width="10" style="9"/>
    <col min="11796" max="11796" width="15.77734375" style="9" customWidth="1"/>
    <col min="11797" max="11798" width="12.44140625" style="9" customWidth="1"/>
    <col min="11799" max="12032" width="10" style="9"/>
    <col min="12033" max="12033" width="8.88671875" style="9" customWidth="1"/>
    <col min="12034" max="12035" width="11.77734375" style="9" customWidth="1"/>
    <col min="12036" max="12037" width="8.44140625" style="9" customWidth="1"/>
    <col min="12038" max="12038" width="12.88671875" style="9" customWidth="1"/>
    <col min="12039" max="12039" width="10" style="9"/>
    <col min="12040" max="12040" width="7.33203125" style="9" customWidth="1"/>
    <col min="12041" max="12046" width="11.21875" style="9" customWidth="1"/>
    <col min="12047" max="12051" width="10" style="9"/>
    <col min="12052" max="12052" width="15.77734375" style="9" customWidth="1"/>
    <col min="12053" max="12054" width="12.44140625" style="9" customWidth="1"/>
    <col min="12055" max="12288" width="10" style="9"/>
    <col min="12289" max="12289" width="8.88671875" style="9" customWidth="1"/>
    <col min="12290" max="12291" width="11.77734375" style="9" customWidth="1"/>
    <col min="12292" max="12293" width="8.44140625" style="9" customWidth="1"/>
    <col min="12294" max="12294" width="12.88671875" style="9" customWidth="1"/>
    <col min="12295" max="12295" width="10" style="9"/>
    <col min="12296" max="12296" width="7.33203125" style="9" customWidth="1"/>
    <col min="12297" max="12302" width="11.21875" style="9" customWidth="1"/>
    <col min="12303" max="12307" width="10" style="9"/>
    <col min="12308" max="12308" width="15.77734375" style="9" customWidth="1"/>
    <col min="12309" max="12310" width="12.44140625" style="9" customWidth="1"/>
    <col min="12311" max="12544" width="10" style="9"/>
    <col min="12545" max="12545" width="8.88671875" style="9" customWidth="1"/>
    <col min="12546" max="12547" width="11.77734375" style="9" customWidth="1"/>
    <col min="12548" max="12549" width="8.44140625" style="9" customWidth="1"/>
    <col min="12550" max="12550" width="12.88671875" style="9" customWidth="1"/>
    <col min="12551" max="12551" width="10" style="9"/>
    <col min="12552" max="12552" width="7.33203125" style="9" customWidth="1"/>
    <col min="12553" max="12558" width="11.21875" style="9" customWidth="1"/>
    <col min="12559" max="12563" width="10" style="9"/>
    <col min="12564" max="12564" width="15.77734375" style="9" customWidth="1"/>
    <col min="12565" max="12566" width="12.44140625" style="9" customWidth="1"/>
    <col min="12567" max="12800" width="10" style="9"/>
    <col min="12801" max="12801" width="8.88671875" style="9" customWidth="1"/>
    <col min="12802" max="12803" width="11.77734375" style="9" customWidth="1"/>
    <col min="12804" max="12805" width="8.44140625" style="9" customWidth="1"/>
    <col min="12806" max="12806" width="12.88671875" style="9" customWidth="1"/>
    <col min="12807" max="12807" width="10" style="9"/>
    <col min="12808" max="12808" width="7.33203125" style="9" customWidth="1"/>
    <col min="12809" max="12814" width="11.21875" style="9" customWidth="1"/>
    <col min="12815" max="12819" width="10" style="9"/>
    <col min="12820" max="12820" width="15.77734375" style="9" customWidth="1"/>
    <col min="12821" max="12822" width="12.44140625" style="9" customWidth="1"/>
    <col min="12823" max="13056" width="10" style="9"/>
    <col min="13057" max="13057" width="8.88671875" style="9" customWidth="1"/>
    <col min="13058" max="13059" width="11.77734375" style="9" customWidth="1"/>
    <col min="13060" max="13061" width="8.44140625" style="9" customWidth="1"/>
    <col min="13062" max="13062" width="12.88671875" style="9" customWidth="1"/>
    <col min="13063" max="13063" width="10" style="9"/>
    <col min="13064" max="13064" width="7.33203125" style="9" customWidth="1"/>
    <col min="13065" max="13070" width="11.21875" style="9" customWidth="1"/>
    <col min="13071" max="13075" width="10" style="9"/>
    <col min="13076" max="13076" width="15.77734375" style="9" customWidth="1"/>
    <col min="13077" max="13078" width="12.44140625" style="9" customWidth="1"/>
    <col min="13079" max="13312" width="10" style="9"/>
    <col min="13313" max="13313" width="8.88671875" style="9" customWidth="1"/>
    <col min="13314" max="13315" width="11.77734375" style="9" customWidth="1"/>
    <col min="13316" max="13317" width="8.44140625" style="9" customWidth="1"/>
    <col min="13318" max="13318" width="12.88671875" style="9" customWidth="1"/>
    <col min="13319" max="13319" width="10" style="9"/>
    <col min="13320" max="13320" width="7.33203125" style="9" customWidth="1"/>
    <col min="13321" max="13326" width="11.21875" style="9" customWidth="1"/>
    <col min="13327" max="13331" width="10" style="9"/>
    <col min="13332" max="13332" width="15.77734375" style="9" customWidth="1"/>
    <col min="13333" max="13334" width="12.44140625" style="9" customWidth="1"/>
    <col min="13335" max="13568" width="10" style="9"/>
    <col min="13569" max="13569" width="8.88671875" style="9" customWidth="1"/>
    <col min="13570" max="13571" width="11.77734375" style="9" customWidth="1"/>
    <col min="13572" max="13573" width="8.44140625" style="9" customWidth="1"/>
    <col min="13574" max="13574" width="12.88671875" style="9" customWidth="1"/>
    <col min="13575" max="13575" width="10" style="9"/>
    <col min="13576" max="13576" width="7.33203125" style="9" customWidth="1"/>
    <col min="13577" max="13582" width="11.21875" style="9" customWidth="1"/>
    <col min="13583" max="13587" width="10" style="9"/>
    <col min="13588" max="13588" width="15.77734375" style="9" customWidth="1"/>
    <col min="13589" max="13590" width="12.44140625" style="9" customWidth="1"/>
    <col min="13591" max="13824" width="10" style="9"/>
    <col min="13825" max="13825" width="8.88671875" style="9" customWidth="1"/>
    <col min="13826" max="13827" width="11.77734375" style="9" customWidth="1"/>
    <col min="13828" max="13829" width="8.44140625" style="9" customWidth="1"/>
    <col min="13830" max="13830" width="12.88671875" style="9" customWidth="1"/>
    <col min="13831" max="13831" width="10" style="9"/>
    <col min="13832" max="13832" width="7.33203125" style="9" customWidth="1"/>
    <col min="13833" max="13838" width="11.21875" style="9" customWidth="1"/>
    <col min="13839" max="13843" width="10" style="9"/>
    <col min="13844" max="13844" width="15.77734375" style="9" customWidth="1"/>
    <col min="13845" max="13846" width="12.44140625" style="9" customWidth="1"/>
    <col min="13847" max="14080" width="10" style="9"/>
    <col min="14081" max="14081" width="8.88671875" style="9" customWidth="1"/>
    <col min="14082" max="14083" width="11.77734375" style="9" customWidth="1"/>
    <col min="14084" max="14085" width="8.44140625" style="9" customWidth="1"/>
    <col min="14086" max="14086" width="12.88671875" style="9" customWidth="1"/>
    <col min="14087" max="14087" width="10" style="9"/>
    <col min="14088" max="14088" width="7.33203125" style="9" customWidth="1"/>
    <col min="14089" max="14094" width="11.21875" style="9" customWidth="1"/>
    <col min="14095" max="14099" width="10" style="9"/>
    <col min="14100" max="14100" width="15.77734375" style="9" customWidth="1"/>
    <col min="14101" max="14102" width="12.44140625" style="9" customWidth="1"/>
    <col min="14103" max="14336" width="10" style="9"/>
    <col min="14337" max="14337" width="8.88671875" style="9" customWidth="1"/>
    <col min="14338" max="14339" width="11.77734375" style="9" customWidth="1"/>
    <col min="14340" max="14341" width="8.44140625" style="9" customWidth="1"/>
    <col min="14342" max="14342" width="12.88671875" style="9" customWidth="1"/>
    <col min="14343" max="14343" width="10" style="9"/>
    <col min="14344" max="14344" width="7.33203125" style="9" customWidth="1"/>
    <col min="14345" max="14350" width="11.21875" style="9" customWidth="1"/>
    <col min="14351" max="14355" width="10" style="9"/>
    <col min="14356" max="14356" width="15.77734375" style="9" customWidth="1"/>
    <col min="14357" max="14358" width="12.44140625" style="9" customWidth="1"/>
    <col min="14359" max="14592" width="10" style="9"/>
    <col min="14593" max="14593" width="8.88671875" style="9" customWidth="1"/>
    <col min="14594" max="14595" width="11.77734375" style="9" customWidth="1"/>
    <col min="14596" max="14597" width="8.44140625" style="9" customWidth="1"/>
    <col min="14598" max="14598" width="12.88671875" style="9" customWidth="1"/>
    <col min="14599" max="14599" width="10" style="9"/>
    <col min="14600" max="14600" width="7.33203125" style="9" customWidth="1"/>
    <col min="14601" max="14606" width="11.21875" style="9" customWidth="1"/>
    <col min="14607" max="14611" width="10" style="9"/>
    <col min="14612" max="14612" width="15.77734375" style="9" customWidth="1"/>
    <col min="14613" max="14614" width="12.44140625" style="9" customWidth="1"/>
    <col min="14615" max="14848" width="10" style="9"/>
    <col min="14849" max="14849" width="8.88671875" style="9" customWidth="1"/>
    <col min="14850" max="14851" width="11.77734375" style="9" customWidth="1"/>
    <col min="14852" max="14853" width="8.44140625" style="9" customWidth="1"/>
    <col min="14854" max="14854" width="12.88671875" style="9" customWidth="1"/>
    <col min="14855" max="14855" width="10" style="9"/>
    <col min="14856" max="14856" width="7.33203125" style="9" customWidth="1"/>
    <col min="14857" max="14862" width="11.21875" style="9" customWidth="1"/>
    <col min="14863" max="14867" width="10" style="9"/>
    <col min="14868" max="14868" width="15.77734375" style="9" customWidth="1"/>
    <col min="14869" max="14870" width="12.44140625" style="9" customWidth="1"/>
    <col min="14871" max="15104" width="10" style="9"/>
    <col min="15105" max="15105" width="8.88671875" style="9" customWidth="1"/>
    <col min="15106" max="15107" width="11.77734375" style="9" customWidth="1"/>
    <col min="15108" max="15109" width="8.44140625" style="9" customWidth="1"/>
    <col min="15110" max="15110" width="12.88671875" style="9" customWidth="1"/>
    <col min="15111" max="15111" width="10" style="9"/>
    <col min="15112" max="15112" width="7.33203125" style="9" customWidth="1"/>
    <col min="15113" max="15118" width="11.21875" style="9" customWidth="1"/>
    <col min="15119" max="15123" width="10" style="9"/>
    <col min="15124" max="15124" width="15.77734375" style="9" customWidth="1"/>
    <col min="15125" max="15126" width="12.44140625" style="9" customWidth="1"/>
    <col min="15127" max="15360" width="10" style="9"/>
    <col min="15361" max="15361" width="8.88671875" style="9" customWidth="1"/>
    <col min="15362" max="15363" width="11.77734375" style="9" customWidth="1"/>
    <col min="15364" max="15365" width="8.44140625" style="9" customWidth="1"/>
    <col min="15366" max="15366" width="12.88671875" style="9" customWidth="1"/>
    <col min="15367" max="15367" width="10" style="9"/>
    <col min="15368" max="15368" width="7.33203125" style="9" customWidth="1"/>
    <col min="15369" max="15374" width="11.21875" style="9" customWidth="1"/>
    <col min="15375" max="15379" width="10" style="9"/>
    <col min="15380" max="15380" width="15.77734375" style="9" customWidth="1"/>
    <col min="15381" max="15382" width="12.44140625" style="9" customWidth="1"/>
    <col min="15383" max="15616" width="10" style="9"/>
    <col min="15617" max="15617" width="8.88671875" style="9" customWidth="1"/>
    <col min="15618" max="15619" width="11.77734375" style="9" customWidth="1"/>
    <col min="15620" max="15621" width="8.44140625" style="9" customWidth="1"/>
    <col min="15622" max="15622" width="12.88671875" style="9" customWidth="1"/>
    <col min="15623" max="15623" width="10" style="9"/>
    <col min="15624" max="15624" width="7.33203125" style="9" customWidth="1"/>
    <col min="15625" max="15630" width="11.21875" style="9" customWidth="1"/>
    <col min="15631" max="15635" width="10" style="9"/>
    <col min="15636" max="15636" width="15.77734375" style="9" customWidth="1"/>
    <col min="15637" max="15638" width="12.44140625" style="9" customWidth="1"/>
    <col min="15639" max="15872" width="10" style="9"/>
    <col min="15873" max="15873" width="8.88671875" style="9" customWidth="1"/>
    <col min="15874" max="15875" width="11.77734375" style="9" customWidth="1"/>
    <col min="15876" max="15877" width="8.44140625" style="9" customWidth="1"/>
    <col min="15878" max="15878" width="12.88671875" style="9" customWidth="1"/>
    <col min="15879" max="15879" width="10" style="9"/>
    <col min="15880" max="15880" width="7.33203125" style="9" customWidth="1"/>
    <col min="15881" max="15886" width="11.21875" style="9" customWidth="1"/>
    <col min="15887" max="15891" width="10" style="9"/>
    <col min="15892" max="15892" width="15.77734375" style="9" customWidth="1"/>
    <col min="15893" max="15894" width="12.44140625" style="9" customWidth="1"/>
    <col min="15895" max="16128" width="10" style="9"/>
    <col min="16129" max="16129" width="8.88671875" style="9" customWidth="1"/>
    <col min="16130" max="16131" width="11.77734375" style="9" customWidth="1"/>
    <col min="16132" max="16133" width="8.44140625" style="9" customWidth="1"/>
    <col min="16134" max="16134" width="12.88671875" style="9" customWidth="1"/>
    <col min="16135" max="16135" width="10" style="9"/>
    <col min="16136" max="16136" width="7.33203125" style="9" customWidth="1"/>
    <col min="16137" max="16142" width="11.21875" style="9" customWidth="1"/>
    <col min="16143" max="16147" width="10" style="9"/>
    <col min="16148" max="16148" width="15.77734375" style="9" customWidth="1"/>
    <col min="16149" max="16150" width="12.44140625" style="9" customWidth="1"/>
    <col min="16151" max="16384" width="10" style="9"/>
  </cols>
  <sheetData>
    <row r="1" spans="1:66" ht="31.2" thickBot="1">
      <c r="A1" s="5" t="s">
        <v>35</v>
      </c>
      <c r="I1" s="8"/>
      <c r="J1" s="8"/>
      <c r="K1" s="8"/>
      <c r="L1" s="8"/>
      <c r="M1" s="8"/>
      <c r="N1" s="8"/>
      <c r="O1" s="8"/>
      <c r="Q1" s="8"/>
      <c r="AH1" s="47"/>
      <c r="AI1" s="47"/>
      <c r="AJ1" s="47"/>
      <c r="AK1" s="47"/>
      <c r="AL1" s="47"/>
      <c r="AM1" s="47"/>
      <c r="AN1" s="47"/>
      <c r="BC1" s="8"/>
      <c r="BD1" s="8"/>
      <c r="BE1" s="8"/>
      <c r="BF1" s="8"/>
      <c r="BG1" s="8"/>
      <c r="BH1" s="8"/>
      <c r="BI1" s="8"/>
      <c r="BJ1" s="8"/>
      <c r="BK1" s="8"/>
      <c r="BL1" s="8"/>
      <c r="BM1" s="8"/>
      <c r="BN1" s="8"/>
    </row>
    <row r="2" spans="1:66" s="15" customFormat="1" ht="39.75" customHeight="1" thickBot="1">
      <c r="A2" s="12" t="s">
        <v>36</v>
      </c>
      <c r="B2" s="13" t="s">
        <v>208</v>
      </c>
      <c r="C2" s="14" t="s">
        <v>209</v>
      </c>
      <c r="D2" s="8"/>
      <c r="F2" s="67" t="s">
        <v>37</v>
      </c>
      <c r="G2" s="68"/>
      <c r="I2" s="16"/>
      <c r="J2" s="16"/>
      <c r="K2" s="16"/>
      <c r="L2" s="16"/>
      <c r="M2" s="16"/>
      <c r="N2" s="16"/>
      <c r="O2" s="16"/>
      <c r="Q2" s="16"/>
      <c r="R2" s="8"/>
      <c r="S2" s="8"/>
      <c r="T2" s="8"/>
      <c r="U2" s="8"/>
      <c r="V2" s="8"/>
      <c r="W2" s="16"/>
      <c r="X2" s="16"/>
      <c r="Y2" s="8"/>
      <c r="Z2" s="8"/>
      <c r="AA2" s="8"/>
      <c r="AB2" s="8"/>
      <c r="AC2" s="8"/>
      <c r="AD2" s="8"/>
      <c r="AE2" s="8"/>
      <c r="AF2" s="8"/>
      <c r="AG2" s="8"/>
      <c r="AH2" s="47"/>
      <c r="AI2" s="47"/>
      <c r="AJ2" s="47"/>
      <c r="AK2" s="47"/>
      <c r="AL2" s="47"/>
      <c r="AM2" s="47"/>
      <c r="AN2" s="47"/>
      <c r="AO2" s="8"/>
      <c r="AP2" s="8"/>
      <c r="AQ2" s="8"/>
      <c r="AR2" s="8"/>
      <c r="AS2" s="8"/>
      <c r="AT2" s="8"/>
      <c r="AU2" s="8"/>
      <c r="AV2" s="8"/>
      <c r="AW2" s="8"/>
      <c r="AX2" s="8"/>
      <c r="AY2" s="8"/>
      <c r="AZ2" s="8"/>
      <c r="BA2" s="8"/>
      <c r="BB2" s="8"/>
      <c r="BC2" s="16"/>
      <c r="BD2" s="16"/>
      <c r="BE2" s="16"/>
      <c r="BF2" s="16"/>
      <c r="BG2" s="16"/>
      <c r="BH2" s="16"/>
      <c r="BI2" s="16"/>
      <c r="BJ2" s="16"/>
      <c r="BK2" s="16"/>
      <c r="BL2" s="16"/>
      <c r="BM2" s="16"/>
      <c r="BN2" s="16"/>
    </row>
    <row r="3" spans="1:66" ht="16.2" thickBot="1">
      <c r="A3" s="17">
        <v>1</v>
      </c>
      <c r="B3" s="18"/>
      <c r="C3" s="19"/>
      <c r="F3" s="20"/>
      <c r="G3" s="21" t="s">
        <v>38</v>
      </c>
      <c r="AH3" s="47"/>
      <c r="AI3" s="47"/>
      <c r="AJ3" s="47"/>
      <c r="AK3" s="47"/>
      <c r="AL3" s="47"/>
      <c r="AM3" s="47"/>
      <c r="AN3" s="47"/>
      <c r="BC3" s="8"/>
      <c r="BD3" s="8"/>
      <c r="BE3" s="8"/>
      <c r="BF3" s="8"/>
      <c r="BG3" s="8"/>
      <c r="BH3" s="8"/>
      <c r="BI3" s="8"/>
      <c r="BJ3" s="8"/>
      <c r="BK3" s="8"/>
      <c r="BL3" s="8"/>
      <c r="BM3" s="8"/>
      <c r="BN3" s="8"/>
    </row>
    <row r="4" spans="1:66" ht="16.2" thickBot="1">
      <c r="A4" s="17">
        <v>2</v>
      </c>
      <c r="B4" s="18"/>
      <c r="C4" s="19"/>
      <c r="F4" s="22"/>
      <c r="G4" s="23" t="s">
        <v>39</v>
      </c>
      <c r="I4" s="69" t="s">
        <v>208</v>
      </c>
      <c r="J4" s="70"/>
      <c r="K4" s="71" t="s">
        <v>209</v>
      </c>
      <c r="L4" s="72"/>
      <c r="M4" s="73" t="s">
        <v>40</v>
      </c>
      <c r="N4" s="74"/>
      <c r="P4" s="24"/>
      <c r="AH4" s="47"/>
      <c r="AI4" s="47"/>
      <c r="AJ4" s="47"/>
      <c r="AK4" s="47"/>
      <c r="AL4" s="47"/>
      <c r="AM4" s="47"/>
      <c r="AN4" s="47"/>
      <c r="BC4" s="8"/>
      <c r="BD4" s="8"/>
      <c r="BE4" s="8"/>
      <c r="BF4" s="8"/>
      <c r="BG4" s="8"/>
      <c r="BH4" s="8"/>
      <c r="BI4" s="8"/>
      <c r="BJ4" s="8"/>
      <c r="BK4" s="8"/>
      <c r="BL4" s="8"/>
      <c r="BM4" s="8"/>
      <c r="BN4" s="8"/>
    </row>
    <row r="5" spans="1:66">
      <c r="A5" s="17">
        <v>3</v>
      </c>
      <c r="B5" s="18"/>
      <c r="C5" s="19"/>
      <c r="I5" s="25" t="s">
        <v>41</v>
      </c>
      <c r="J5" s="26">
        <v>3.8919870765226666E-3</v>
      </c>
      <c r="K5" s="27" t="s">
        <v>41</v>
      </c>
      <c r="L5" s="28">
        <v>3.3556206172831171E-3</v>
      </c>
      <c r="M5" s="29"/>
      <c r="N5" s="30"/>
      <c r="P5" s="24"/>
      <c r="AH5" s="47"/>
      <c r="AI5" s="47"/>
      <c r="AJ5" s="47"/>
      <c r="AK5" s="47"/>
      <c r="AL5" s="47"/>
      <c r="AM5" s="47"/>
      <c r="AN5" s="47"/>
      <c r="BC5" s="8"/>
      <c r="BD5" s="8"/>
      <c r="BE5" s="8"/>
      <c r="BF5" s="8"/>
      <c r="BG5" s="8"/>
      <c r="BH5" s="8"/>
      <c r="BI5" s="8"/>
      <c r="BJ5" s="8"/>
      <c r="BK5" s="8"/>
      <c r="BL5" s="8"/>
      <c r="BM5" s="8"/>
      <c r="BN5" s="8"/>
    </row>
    <row r="6" spans="1:66">
      <c r="A6" s="17">
        <v>4</v>
      </c>
      <c r="B6" s="18"/>
      <c r="C6" s="19"/>
      <c r="I6" s="25" t="s">
        <v>42</v>
      </c>
      <c r="J6" s="31">
        <v>0.16598652994176216</v>
      </c>
      <c r="K6" s="27" t="s">
        <v>42</v>
      </c>
      <c r="L6" s="32">
        <v>0.14882661448398982</v>
      </c>
      <c r="M6" s="33"/>
      <c r="N6" s="34"/>
      <c r="AH6" s="47"/>
      <c r="AI6" s="47"/>
      <c r="AJ6" s="47"/>
      <c r="AK6" s="47"/>
      <c r="AL6" s="47"/>
      <c r="AM6" s="47"/>
      <c r="AN6" s="47"/>
      <c r="BC6" s="8"/>
      <c r="BD6" s="8"/>
      <c r="BE6" s="8"/>
      <c r="BF6" s="8"/>
      <c r="BG6" s="8"/>
      <c r="BH6" s="8"/>
      <c r="BI6" s="8"/>
      <c r="BJ6" s="8"/>
      <c r="BK6" s="8"/>
      <c r="BL6" s="8"/>
      <c r="BM6" s="8"/>
      <c r="BN6" s="8"/>
    </row>
    <row r="7" spans="1:66">
      <c r="A7" s="17">
        <v>5</v>
      </c>
      <c r="B7" s="18"/>
      <c r="C7" s="19"/>
      <c r="F7" s="35"/>
      <c r="I7" s="25" t="s">
        <v>43</v>
      </c>
      <c r="J7" s="26">
        <v>0.50081070155017959</v>
      </c>
      <c r="K7" s="27" t="s">
        <v>43</v>
      </c>
      <c r="L7" s="28">
        <v>0.40019025312581391</v>
      </c>
      <c r="N7" s="36"/>
      <c r="AH7" s="47"/>
      <c r="AI7" s="47"/>
      <c r="AJ7" s="47"/>
      <c r="AK7" s="47"/>
      <c r="AL7" s="47"/>
      <c r="AM7" s="47"/>
      <c r="AN7" s="47"/>
      <c r="BC7" s="8"/>
      <c r="BD7" s="8"/>
      <c r="BE7" s="8"/>
      <c r="BF7" s="8"/>
      <c r="BG7" s="8"/>
      <c r="BH7" s="8"/>
      <c r="BI7" s="8"/>
      <c r="BJ7" s="8"/>
      <c r="BK7" s="8"/>
      <c r="BL7" s="8"/>
      <c r="BM7" s="8"/>
      <c r="BN7" s="8"/>
    </row>
    <row r="8" spans="1:66" ht="16.2" thickBot="1">
      <c r="A8" s="17">
        <v>6</v>
      </c>
      <c r="B8" s="18"/>
      <c r="C8" s="19"/>
      <c r="F8" s="35"/>
      <c r="I8" s="37" t="s">
        <v>44</v>
      </c>
      <c r="J8" s="38">
        <v>-0.54963495662729456</v>
      </c>
      <c r="K8" s="39" t="s">
        <v>44</v>
      </c>
      <c r="L8" s="40">
        <v>-0.46734164154276719</v>
      </c>
      <c r="M8" s="41"/>
      <c r="N8" s="42"/>
      <c r="AH8" s="47"/>
      <c r="AI8" s="47"/>
      <c r="AJ8" s="47"/>
      <c r="AK8" s="47"/>
      <c r="AL8" s="47"/>
      <c r="AM8" s="47"/>
      <c r="AN8" s="47"/>
      <c r="BC8" s="8"/>
      <c r="BD8" s="8"/>
      <c r="BE8" s="8"/>
      <c r="BF8" s="8"/>
      <c r="BG8" s="8"/>
      <c r="BH8" s="8"/>
      <c r="BI8" s="8"/>
      <c r="BJ8" s="8"/>
      <c r="BK8" s="8"/>
      <c r="BL8" s="8"/>
      <c r="BM8" s="8"/>
      <c r="BN8" s="8"/>
    </row>
    <row r="9" spans="1:66">
      <c r="A9" s="17">
        <v>7</v>
      </c>
      <c r="B9" s="18"/>
      <c r="C9" s="19"/>
      <c r="F9" s="35"/>
      <c r="J9" s="8"/>
      <c r="AH9" s="47"/>
      <c r="AI9" s="47"/>
      <c r="AJ9" s="47"/>
      <c r="AK9" s="47"/>
      <c r="AL9" s="47"/>
      <c r="AM9" s="47"/>
      <c r="AN9" s="47"/>
      <c r="BC9" s="8"/>
      <c r="BD9" s="8"/>
      <c r="BE9" s="8"/>
      <c r="BF9" s="8"/>
      <c r="BG9" s="8"/>
      <c r="BH9" s="8"/>
      <c r="BI9" s="8"/>
      <c r="BJ9" s="8"/>
      <c r="BK9" s="8"/>
      <c r="BL9" s="8"/>
      <c r="BM9" s="8"/>
      <c r="BN9" s="8"/>
    </row>
    <row r="10" spans="1:66">
      <c r="A10" s="17">
        <v>8</v>
      </c>
      <c r="B10" s="18"/>
      <c r="C10" s="19"/>
      <c r="F10" s="35"/>
      <c r="J10" s="8"/>
      <c r="P10" s="24"/>
      <c r="AH10" s="47"/>
      <c r="AI10" s="47"/>
      <c r="AJ10" s="47"/>
      <c r="AK10" s="47"/>
      <c r="AL10" s="47"/>
      <c r="AM10" s="47"/>
      <c r="AN10" s="47"/>
      <c r="BC10" s="8"/>
      <c r="BD10" s="8"/>
      <c r="BE10" s="8"/>
      <c r="BF10" s="8"/>
      <c r="BG10" s="8"/>
      <c r="BH10" s="8"/>
      <c r="BI10" s="8"/>
      <c r="BJ10" s="8"/>
      <c r="BK10" s="8"/>
      <c r="BL10" s="8"/>
      <c r="BM10" s="8"/>
      <c r="BN10" s="8"/>
    </row>
    <row r="11" spans="1:66">
      <c r="A11" s="17">
        <v>9</v>
      </c>
      <c r="B11" s="18"/>
      <c r="C11" s="19"/>
      <c r="J11" s="8"/>
      <c r="P11" s="24"/>
      <c r="AH11" s="47"/>
      <c r="AI11" s="47"/>
      <c r="AJ11" s="47"/>
      <c r="AK11" s="47"/>
      <c r="AL11" s="47"/>
      <c r="AM11" s="47"/>
      <c r="AN11" s="47"/>
      <c r="BC11" s="8"/>
      <c r="BD11" s="8"/>
      <c r="BE11" s="8"/>
      <c r="BF11" s="8"/>
      <c r="BG11" s="8"/>
      <c r="BH11" s="8"/>
      <c r="BI11" s="8"/>
      <c r="BJ11" s="8"/>
      <c r="BK11" s="8"/>
      <c r="BL11" s="8"/>
      <c r="BM11" s="8"/>
      <c r="BN11" s="8"/>
    </row>
    <row r="12" spans="1:66">
      <c r="A12" s="17">
        <v>10</v>
      </c>
      <c r="B12" s="18"/>
      <c r="C12" s="19"/>
      <c r="P12" s="24"/>
      <c r="AH12" s="47"/>
      <c r="AI12" s="47"/>
      <c r="AJ12" s="47"/>
      <c r="AK12" s="47"/>
      <c r="AL12" s="47"/>
      <c r="AM12" s="47"/>
      <c r="AN12" s="47"/>
      <c r="BC12" s="8"/>
      <c r="BD12" s="8"/>
      <c r="BE12" s="8"/>
      <c r="BF12" s="8"/>
      <c r="BG12" s="8"/>
      <c r="BH12" s="8"/>
      <c r="BI12" s="8"/>
      <c r="BJ12" s="8"/>
      <c r="BK12" s="8"/>
      <c r="BL12" s="8"/>
      <c r="BM12" s="8"/>
      <c r="BN12" s="8"/>
    </row>
    <row r="13" spans="1:66">
      <c r="A13" s="17">
        <v>11</v>
      </c>
      <c r="B13" s="18"/>
      <c r="C13" s="19"/>
      <c r="AH13" s="47"/>
      <c r="AI13" s="47"/>
      <c r="AJ13" s="47"/>
      <c r="AK13" s="47"/>
      <c r="AL13" s="47"/>
      <c r="AM13" s="47"/>
      <c r="AN13" s="47"/>
      <c r="BC13" s="8"/>
      <c r="BD13" s="8"/>
      <c r="BE13" s="8"/>
      <c r="BF13" s="8"/>
      <c r="BG13" s="8"/>
      <c r="BH13" s="8"/>
      <c r="BI13" s="8"/>
      <c r="BJ13" s="8"/>
      <c r="BK13" s="8"/>
      <c r="BL13" s="8"/>
      <c r="BM13" s="8"/>
      <c r="BN13" s="8"/>
    </row>
    <row r="14" spans="1:66">
      <c r="A14" s="17">
        <v>12</v>
      </c>
      <c r="B14" s="18"/>
      <c r="C14" s="19"/>
      <c r="E14" s="43"/>
      <c r="AH14" s="47"/>
      <c r="AI14" s="47"/>
      <c r="AJ14" s="47"/>
      <c r="AK14" s="47"/>
      <c r="AL14" s="47"/>
      <c r="AM14" s="47"/>
      <c r="AN14" s="47"/>
      <c r="BC14" s="8"/>
      <c r="BD14" s="8"/>
      <c r="BE14" s="8"/>
      <c r="BF14" s="8"/>
      <c r="BG14" s="8"/>
      <c r="BH14" s="8"/>
      <c r="BI14" s="8"/>
      <c r="BJ14" s="8"/>
      <c r="BK14" s="8"/>
      <c r="BL14" s="8"/>
      <c r="BM14" s="8"/>
      <c r="BN14" s="8"/>
    </row>
    <row r="15" spans="1:66">
      <c r="A15" s="17">
        <v>13</v>
      </c>
      <c r="B15" s="18"/>
      <c r="C15" s="19"/>
      <c r="E15" s="43"/>
      <c r="AH15" s="47"/>
      <c r="AI15" s="47"/>
      <c r="AJ15" s="47"/>
      <c r="AK15" s="47"/>
      <c r="AL15" s="47"/>
      <c r="AM15" s="47"/>
      <c r="AN15" s="47"/>
      <c r="BC15" s="8"/>
      <c r="BD15" s="8"/>
      <c r="BE15" s="8"/>
      <c r="BF15" s="8"/>
      <c r="BG15" s="8"/>
      <c r="BH15" s="8"/>
      <c r="BI15" s="8"/>
      <c r="BJ15" s="8"/>
      <c r="BK15" s="8"/>
      <c r="BL15" s="8"/>
      <c r="BM15" s="8"/>
      <c r="BN15" s="8"/>
    </row>
    <row r="16" spans="1:66">
      <c r="A16" s="17">
        <v>14</v>
      </c>
      <c r="B16" s="18"/>
      <c r="C16" s="19"/>
      <c r="E16" s="43"/>
      <c r="AH16" s="47"/>
      <c r="AI16" s="47"/>
      <c r="AJ16" s="47"/>
      <c r="AK16" s="47"/>
      <c r="AL16" s="47"/>
      <c r="AM16" s="47"/>
      <c r="AN16" s="47"/>
      <c r="BC16" s="8"/>
      <c r="BD16" s="8"/>
      <c r="BE16" s="8"/>
      <c r="BF16" s="8"/>
      <c r="BG16" s="8"/>
      <c r="BH16" s="8"/>
      <c r="BI16" s="8"/>
      <c r="BJ16" s="8"/>
      <c r="BK16" s="8"/>
      <c r="BL16" s="8"/>
      <c r="BM16" s="8"/>
      <c r="BN16" s="8"/>
    </row>
    <row r="17" spans="1:66">
      <c r="A17" s="17">
        <v>15</v>
      </c>
      <c r="B17" s="18"/>
      <c r="C17" s="19"/>
      <c r="AH17" s="47"/>
      <c r="AI17" s="47"/>
      <c r="AJ17" s="47"/>
      <c r="AK17" s="47"/>
      <c r="AL17" s="47"/>
      <c r="AM17" s="47"/>
      <c r="AN17" s="47"/>
      <c r="BC17" s="8"/>
      <c r="BD17" s="8"/>
      <c r="BE17" s="8"/>
      <c r="BF17" s="8"/>
      <c r="BG17" s="8"/>
      <c r="BH17" s="8"/>
      <c r="BI17" s="8"/>
      <c r="BJ17" s="8"/>
      <c r="BK17" s="8"/>
      <c r="BL17" s="8"/>
      <c r="BM17" s="8"/>
      <c r="BN17" s="8"/>
    </row>
    <row r="18" spans="1:66">
      <c r="A18" s="17">
        <v>16</v>
      </c>
      <c r="B18" s="18"/>
      <c r="C18" s="19"/>
      <c r="AH18" s="47"/>
      <c r="AI18" s="47"/>
      <c r="AJ18" s="47"/>
      <c r="AK18" s="47"/>
      <c r="AL18" s="47"/>
      <c r="AM18" s="47"/>
      <c r="AN18" s="47"/>
      <c r="BC18" s="8"/>
      <c r="BD18" s="8"/>
      <c r="BE18" s="8"/>
      <c r="BF18" s="8"/>
      <c r="BG18" s="8"/>
      <c r="BH18" s="8"/>
      <c r="BI18" s="8"/>
      <c r="BJ18" s="8"/>
      <c r="BK18" s="8"/>
      <c r="BL18" s="8"/>
      <c r="BM18" s="8"/>
      <c r="BN18" s="8"/>
    </row>
    <row r="19" spans="1:66">
      <c r="A19" s="17">
        <v>17</v>
      </c>
      <c r="B19" s="18"/>
      <c r="C19" s="19"/>
      <c r="F19" s="44">
        <v>1</v>
      </c>
      <c r="AH19" s="47"/>
      <c r="AI19" s="47"/>
      <c r="AJ19" s="47"/>
      <c r="AK19" s="47"/>
      <c r="AL19" s="47"/>
      <c r="AM19" s="47"/>
      <c r="AN19" s="47"/>
      <c r="BC19" s="8"/>
      <c r="BD19" s="8"/>
      <c r="BE19" s="8"/>
      <c r="BF19" s="8"/>
      <c r="BG19" s="8"/>
      <c r="BH19" s="8"/>
      <c r="BI19" s="8"/>
      <c r="BJ19" s="8"/>
      <c r="BK19" s="8"/>
      <c r="BL19" s="8"/>
      <c r="BM19" s="8"/>
      <c r="BN19" s="8"/>
    </row>
    <row r="20" spans="1:66">
      <c r="A20" s="17">
        <v>18</v>
      </c>
      <c r="B20" s="18"/>
      <c r="C20" s="19"/>
      <c r="AH20" s="47"/>
      <c r="AI20" s="47"/>
      <c r="AJ20" s="47"/>
      <c r="AK20" s="47"/>
      <c r="AL20" s="47"/>
      <c r="AM20" s="47"/>
      <c r="AN20" s="47"/>
      <c r="BC20" s="8"/>
      <c r="BD20" s="8"/>
      <c r="BE20" s="8"/>
      <c r="BF20" s="8"/>
      <c r="BG20" s="8"/>
      <c r="BH20" s="8"/>
      <c r="BI20" s="8"/>
      <c r="BJ20" s="8"/>
      <c r="BK20" s="8"/>
      <c r="BL20" s="8"/>
      <c r="BM20" s="8"/>
      <c r="BN20" s="8"/>
    </row>
    <row r="21" spans="1:66">
      <c r="A21" s="17">
        <v>19</v>
      </c>
      <c r="B21" s="18"/>
      <c r="C21" s="19"/>
      <c r="AH21" s="47"/>
      <c r="AI21" s="47"/>
      <c r="AJ21" s="47"/>
      <c r="AK21" s="47"/>
      <c r="AL21" s="47"/>
      <c r="AM21" s="47"/>
      <c r="AN21" s="47"/>
      <c r="BC21" s="8"/>
      <c r="BD21" s="8"/>
      <c r="BE21" s="8"/>
      <c r="BF21" s="8"/>
      <c r="BG21" s="8"/>
      <c r="BH21" s="8"/>
      <c r="BI21" s="8"/>
      <c r="BJ21" s="8"/>
      <c r="BK21" s="8"/>
      <c r="BL21" s="8"/>
      <c r="BM21" s="8"/>
      <c r="BN21" s="8"/>
    </row>
    <row r="22" spans="1:66">
      <c r="A22" s="17">
        <v>20</v>
      </c>
      <c r="B22" s="18"/>
      <c r="C22" s="19"/>
      <c r="AH22" s="47"/>
      <c r="AI22" s="47"/>
      <c r="AJ22" s="47"/>
      <c r="AK22" s="47"/>
      <c r="AL22" s="47"/>
      <c r="AM22" s="47"/>
      <c r="AN22" s="47"/>
      <c r="BC22" s="8"/>
      <c r="BD22" s="8"/>
      <c r="BE22" s="8"/>
      <c r="BF22" s="8"/>
      <c r="BG22" s="8"/>
      <c r="BH22" s="8"/>
      <c r="BI22" s="8"/>
      <c r="BJ22" s="8"/>
      <c r="BK22" s="8"/>
      <c r="BL22" s="8"/>
      <c r="BM22" s="8"/>
      <c r="BN22" s="8"/>
    </row>
    <row r="23" spans="1:66">
      <c r="A23" s="17">
        <v>21</v>
      </c>
      <c r="B23" s="18"/>
      <c r="C23" s="19"/>
      <c r="AH23" s="47"/>
      <c r="AI23" s="47"/>
      <c r="AJ23" s="47"/>
      <c r="AK23" s="47"/>
      <c r="AL23" s="47"/>
      <c r="AM23" s="47"/>
      <c r="AN23" s="47"/>
      <c r="BC23" s="8"/>
      <c r="BD23" s="8"/>
      <c r="BE23" s="8"/>
      <c r="BF23" s="8"/>
      <c r="BG23" s="8"/>
      <c r="BH23" s="8"/>
      <c r="BI23" s="8"/>
      <c r="BJ23" s="8"/>
      <c r="BK23" s="8"/>
      <c r="BL23" s="8"/>
      <c r="BM23" s="8"/>
      <c r="BN23" s="8"/>
    </row>
    <row r="24" spans="1:66">
      <c r="A24" s="17">
        <v>22</v>
      </c>
      <c r="B24" s="18"/>
      <c r="C24" s="19"/>
      <c r="AH24" s="47"/>
      <c r="AI24" s="47"/>
      <c r="AJ24" s="47"/>
      <c r="AK24" s="47"/>
      <c r="AL24" s="47"/>
      <c r="AM24" s="47"/>
      <c r="AN24" s="47"/>
      <c r="BC24" s="8"/>
      <c r="BD24" s="8"/>
      <c r="BE24" s="8"/>
      <c r="BF24" s="8"/>
      <c r="BG24" s="8"/>
      <c r="BH24" s="8"/>
      <c r="BI24" s="8"/>
      <c r="BJ24" s="8"/>
      <c r="BK24" s="8"/>
      <c r="BL24" s="8"/>
      <c r="BM24" s="8"/>
      <c r="BN24" s="8"/>
    </row>
    <row r="25" spans="1:66">
      <c r="A25" s="17">
        <v>23</v>
      </c>
      <c r="B25" s="18"/>
      <c r="C25" s="19"/>
      <c r="AH25" s="47"/>
      <c r="AI25" s="47"/>
      <c r="AJ25" s="47"/>
      <c r="AK25" s="47"/>
      <c r="AL25" s="47"/>
      <c r="AM25" s="47"/>
      <c r="AN25" s="47"/>
      <c r="BC25" s="8"/>
      <c r="BD25" s="8"/>
      <c r="BE25" s="8"/>
      <c r="BF25" s="8"/>
      <c r="BG25" s="8"/>
      <c r="BH25" s="8"/>
      <c r="BI25" s="8"/>
      <c r="BJ25" s="8"/>
      <c r="BK25" s="8"/>
      <c r="BL25" s="8"/>
      <c r="BM25" s="8"/>
      <c r="BN25" s="8"/>
    </row>
    <row r="26" spans="1:66">
      <c r="A26" s="17">
        <v>24</v>
      </c>
      <c r="B26" s="18"/>
      <c r="C26" s="19"/>
      <c r="AH26" s="47"/>
      <c r="AI26" s="47"/>
      <c r="AJ26" s="47"/>
      <c r="AK26" s="47"/>
      <c r="AL26" s="47"/>
      <c r="AM26" s="47"/>
      <c r="AN26" s="47"/>
      <c r="BC26" s="8"/>
      <c r="BD26" s="8"/>
      <c r="BE26" s="8"/>
      <c r="BF26" s="8"/>
      <c r="BG26" s="8"/>
      <c r="BH26" s="8"/>
      <c r="BI26" s="8"/>
      <c r="BJ26" s="8"/>
      <c r="BK26" s="8"/>
      <c r="BL26" s="8"/>
      <c r="BM26" s="8"/>
      <c r="BN26" s="8"/>
    </row>
    <row r="27" spans="1:66">
      <c r="A27" s="17">
        <v>25</v>
      </c>
      <c r="B27" s="18"/>
      <c r="C27" s="19"/>
      <c r="AH27" s="47"/>
      <c r="AI27" s="47"/>
      <c r="AJ27" s="47"/>
      <c r="AK27" s="47"/>
      <c r="AL27" s="47"/>
      <c r="AM27" s="47"/>
      <c r="AN27" s="47"/>
      <c r="BC27" s="8"/>
      <c r="BD27" s="8"/>
      <c r="BE27" s="8"/>
      <c r="BF27" s="8"/>
      <c r="BG27" s="8"/>
      <c r="BH27" s="8"/>
      <c r="BI27" s="8"/>
      <c r="BJ27" s="8"/>
      <c r="BK27" s="8"/>
      <c r="BL27" s="8"/>
      <c r="BM27" s="8"/>
      <c r="BN27" s="8"/>
    </row>
    <row r="28" spans="1:66">
      <c r="A28" s="17">
        <v>26</v>
      </c>
      <c r="B28" s="18"/>
      <c r="C28" s="19"/>
      <c r="AH28" s="47"/>
      <c r="AI28" s="47"/>
      <c r="AJ28" s="47"/>
      <c r="AK28" s="47"/>
      <c r="AL28" s="47"/>
      <c r="AM28" s="47"/>
      <c r="AN28" s="47"/>
      <c r="BC28" s="8"/>
      <c r="BD28" s="8"/>
      <c r="BE28" s="8"/>
      <c r="BF28" s="8"/>
      <c r="BG28" s="8"/>
      <c r="BH28" s="8"/>
      <c r="BI28" s="8"/>
      <c r="BJ28" s="8"/>
      <c r="BK28" s="8"/>
      <c r="BL28" s="8"/>
      <c r="BM28" s="8"/>
      <c r="BN28" s="8"/>
    </row>
    <row r="29" spans="1:66">
      <c r="A29" s="17">
        <v>27</v>
      </c>
      <c r="B29" s="18"/>
      <c r="C29" s="19"/>
      <c r="AH29" s="47"/>
      <c r="AI29" s="47"/>
      <c r="AJ29" s="47"/>
      <c r="AK29" s="47"/>
      <c r="AL29" s="47"/>
      <c r="AM29" s="47"/>
      <c r="AN29" s="47"/>
      <c r="BC29" s="8"/>
      <c r="BD29" s="8"/>
      <c r="BE29" s="8"/>
      <c r="BF29" s="8"/>
      <c r="BG29" s="8"/>
      <c r="BH29" s="8"/>
      <c r="BI29" s="8"/>
      <c r="BJ29" s="8"/>
      <c r="BK29" s="8"/>
      <c r="BL29" s="8"/>
      <c r="BM29" s="8"/>
      <c r="BN29" s="8"/>
    </row>
    <row r="30" spans="1:66">
      <c r="A30" s="17">
        <v>28</v>
      </c>
      <c r="B30" s="18"/>
      <c r="C30" s="19"/>
      <c r="AH30" s="47"/>
      <c r="AI30" s="47"/>
      <c r="AJ30" s="47"/>
      <c r="AK30" s="47"/>
      <c r="AL30" s="47"/>
      <c r="AM30" s="47"/>
      <c r="AN30" s="47"/>
      <c r="BC30" s="8"/>
      <c r="BD30" s="8"/>
      <c r="BE30" s="8"/>
      <c r="BF30" s="8"/>
      <c r="BG30" s="8"/>
      <c r="BH30" s="8"/>
      <c r="BI30" s="8"/>
      <c r="BJ30" s="8"/>
      <c r="BK30" s="8"/>
      <c r="BL30" s="8"/>
      <c r="BM30" s="8"/>
      <c r="BN30" s="8"/>
    </row>
    <row r="31" spans="1:66">
      <c r="A31" s="17">
        <v>29</v>
      </c>
      <c r="B31" s="18"/>
      <c r="C31" s="19"/>
      <c r="AH31" s="47"/>
      <c r="AI31" s="47"/>
      <c r="AJ31" s="47"/>
      <c r="AK31" s="47"/>
      <c r="AL31" s="47"/>
      <c r="AM31" s="47"/>
      <c r="AN31" s="47"/>
      <c r="BC31" s="8"/>
      <c r="BD31" s="8"/>
      <c r="BE31" s="8"/>
      <c r="BF31" s="8"/>
      <c r="BG31" s="8"/>
      <c r="BH31" s="8"/>
      <c r="BI31" s="8"/>
      <c r="BJ31" s="8"/>
      <c r="BK31" s="8"/>
      <c r="BL31" s="8"/>
      <c r="BM31" s="8"/>
      <c r="BN31" s="8"/>
    </row>
    <row r="32" spans="1:66">
      <c r="A32" s="17">
        <v>30</v>
      </c>
      <c r="B32" s="18"/>
      <c r="C32" s="19"/>
      <c r="AH32" s="47"/>
      <c r="AI32" s="47"/>
      <c r="AJ32" s="47"/>
      <c r="AK32" s="47"/>
      <c r="AL32" s="47"/>
      <c r="AM32" s="47"/>
      <c r="AN32" s="47"/>
      <c r="BC32" s="8"/>
      <c r="BD32" s="8"/>
      <c r="BE32" s="8"/>
      <c r="BF32" s="8"/>
      <c r="BG32" s="8"/>
      <c r="BH32" s="8"/>
      <c r="BI32" s="8"/>
      <c r="BJ32" s="8"/>
      <c r="BK32" s="8"/>
      <c r="BL32" s="8"/>
      <c r="BM32" s="8"/>
      <c r="BN32" s="8"/>
    </row>
    <row r="33" spans="1:66">
      <c r="A33" s="17">
        <v>31</v>
      </c>
      <c r="B33" s="18"/>
      <c r="C33" s="19"/>
      <c r="AH33" s="47"/>
      <c r="AI33" s="47"/>
      <c r="AJ33" s="47"/>
      <c r="AK33" s="47"/>
      <c r="AL33" s="47"/>
      <c r="AM33" s="47"/>
      <c r="AN33" s="47"/>
      <c r="BC33" s="8"/>
      <c r="BD33" s="8"/>
      <c r="BE33" s="8"/>
      <c r="BF33" s="8"/>
      <c r="BG33" s="8"/>
      <c r="BH33" s="8"/>
      <c r="BI33" s="8"/>
      <c r="BJ33" s="8"/>
      <c r="BK33" s="8"/>
      <c r="BL33" s="8"/>
      <c r="BM33" s="8"/>
      <c r="BN33" s="8"/>
    </row>
    <row r="34" spans="1:66">
      <c r="A34" s="17">
        <v>32</v>
      </c>
      <c r="B34" s="18"/>
      <c r="C34" s="19"/>
      <c r="AH34" s="47"/>
      <c r="AI34" s="47"/>
      <c r="AJ34" s="47"/>
      <c r="AK34" s="47"/>
      <c r="AL34" s="47"/>
      <c r="AM34" s="47"/>
      <c r="AN34" s="47"/>
      <c r="BC34" s="8"/>
      <c r="BD34" s="8"/>
      <c r="BE34" s="8"/>
      <c r="BF34" s="8"/>
      <c r="BG34" s="8"/>
      <c r="BH34" s="8"/>
      <c r="BI34" s="8"/>
      <c r="BJ34" s="8"/>
      <c r="BK34" s="8"/>
      <c r="BL34" s="8"/>
      <c r="BM34" s="8"/>
      <c r="BN34" s="8"/>
    </row>
    <row r="35" spans="1:66">
      <c r="A35" s="17">
        <v>33</v>
      </c>
      <c r="B35" s="18"/>
      <c r="C35" s="19"/>
      <c r="AH35" s="47"/>
      <c r="AI35" s="47"/>
      <c r="AJ35" s="47"/>
      <c r="AK35" s="47"/>
      <c r="AL35" s="47"/>
      <c r="AM35" s="47"/>
      <c r="AN35" s="47"/>
      <c r="BC35" s="8"/>
      <c r="BD35" s="8"/>
      <c r="BE35" s="8"/>
      <c r="BF35" s="8"/>
      <c r="BG35" s="8"/>
      <c r="BH35" s="8"/>
      <c r="BI35" s="8"/>
      <c r="BJ35" s="8"/>
      <c r="BK35" s="8"/>
      <c r="BL35" s="8"/>
      <c r="BM35" s="8"/>
      <c r="BN35" s="8"/>
    </row>
    <row r="36" spans="1:66">
      <c r="A36" s="17">
        <v>34</v>
      </c>
      <c r="B36" s="18"/>
      <c r="C36" s="19"/>
      <c r="AH36" s="47"/>
      <c r="AI36" s="47"/>
      <c r="AJ36" s="47"/>
      <c r="AK36" s="47"/>
      <c r="AL36" s="47"/>
      <c r="AM36" s="47"/>
      <c r="AN36" s="47"/>
      <c r="BC36" s="8"/>
      <c r="BD36" s="8"/>
      <c r="BE36" s="8"/>
      <c r="BF36" s="8"/>
      <c r="BG36" s="8"/>
      <c r="BH36" s="8"/>
      <c r="BI36" s="8"/>
      <c r="BJ36" s="8"/>
      <c r="BK36" s="8"/>
      <c r="BL36" s="8"/>
      <c r="BM36" s="8"/>
      <c r="BN36" s="8"/>
    </row>
    <row r="37" spans="1:66">
      <c r="A37" s="17">
        <v>35</v>
      </c>
      <c r="B37" s="18"/>
      <c r="C37" s="19"/>
      <c r="AH37" s="47"/>
      <c r="AI37" s="47"/>
      <c r="AJ37" s="47"/>
      <c r="AK37" s="47"/>
      <c r="AL37" s="47"/>
      <c r="AM37" s="47"/>
      <c r="AN37" s="47"/>
      <c r="BC37" s="8"/>
      <c r="BD37" s="8"/>
      <c r="BE37" s="8"/>
      <c r="BF37" s="8"/>
      <c r="BG37" s="8"/>
      <c r="BH37" s="8"/>
      <c r="BI37" s="8"/>
      <c r="BJ37" s="8"/>
      <c r="BK37" s="8"/>
      <c r="BL37" s="8"/>
      <c r="BM37" s="8"/>
      <c r="BN37" s="8"/>
    </row>
    <row r="38" spans="1:66">
      <c r="A38" s="17">
        <v>36</v>
      </c>
      <c r="B38" s="18"/>
      <c r="C38" s="19"/>
      <c r="AH38" s="47"/>
      <c r="AI38" s="47"/>
      <c r="AJ38" s="47"/>
      <c r="AK38" s="47"/>
      <c r="AL38" s="47"/>
      <c r="AM38" s="47"/>
      <c r="AN38" s="47"/>
      <c r="BC38" s="8"/>
      <c r="BD38" s="8"/>
      <c r="BE38" s="8"/>
      <c r="BF38" s="8"/>
      <c r="BG38" s="8"/>
      <c r="BH38" s="8"/>
      <c r="BI38" s="8"/>
      <c r="BJ38" s="8"/>
      <c r="BK38" s="8"/>
      <c r="BL38" s="8"/>
      <c r="BM38" s="8"/>
      <c r="BN38" s="8"/>
    </row>
    <row r="39" spans="1:66">
      <c r="A39" s="17">
        <v>37</v>
      </c>
      <c r="B39" s="18"/>
      <c r="C39" s="19"/>
      <c r="AH39" s="47"/>
      <c r="AI39" s="47"/>
      <c r="AJ39" s="47"/>
      <c r="AK39" s="47"/>
      <c r="AL39" s="47"/>
      <c r="AM39" s="47"/>
      <c r="AN39" s="47"/>
      <c r="BC39" s="8"/>
      <c r="BD39" s="8"/>
      <c r="BE39" s="8"/>
      <c r="BF39" s="8"/>
      <c r="BG39" s="8"/>
      <c r="BH39" s="8"/>
      <c r="BI39" s="8"/>
      <c r="BJ39" s="8"/>
      <c r="BK39" s="8"/>
      <c r="BL39" s="8"/>
      <c r="BM39" s="8"/>
      <c r="BN39" s="8"/>
    </row>
    <row r="40" spans="1:66">
      <c r="A40" s="17">
        <v>38</v>
      </c>
      <c r="B40" s="18"/>
      <c r="C40" s="19"/>
      <c r="AH40" s="47"/>
      <c r="AI40" s="47"/>
      <c r="AJ40" s="47"/>
      <c r="AK40" s="47"/>
      <c r="AL40" s="47"/>
      <c r="AM40" s="47"/>
      <c r="AN40" s="47"/>
      <c r="BC40" s="8"/>
      <c r="BD40" s="8"/>
      <c r="BE40" s="8"/>
      <c r="BF40" s="8"/>
      <c r="BG40" s="8"/>
      <c r="BH40" s="8"/>
      <c r="BI40" s="8"/>
      <c r="BJ40" s="8"/>
      <c r="BK40" s="8"/>
      <c r="BL40" s="8"/>
      <c r="BM40" s="8"/>
      <c r="BN40" s="8"/>
    </row>
    <row r="41" spans="1:66">
      <c r="A41" s="17">
        <v>39</v>
      </c>
      <c r="B41" s="18"/>
      <c r="C41" s="19"/>
      <c r="AH41" s="47"/>
      <c r="AI41" s="47"/>
      <c r="AJ41" s="47"/>
      <c r="AK41" s="47"/>
      <c r="AL41" s="47"/>
      <c r="AM41" s="47"/>
      <c r="AN41" s="47"/>
      <c r="BC41" s="8"/>
      <c r="BD41" s="8"/>
      <c r="BE41" s="8"/>
      <c r="BF41" s="8"/>
      <c r="BG41" s="8"/>
      <c r="BH41" s="8"/>
      <c r="BI41" s="8"/>
      <c r="BJ41" s="8"/>
      <c r="BK41" s="8"/>
      <c r="BL41" s="8"/>
      <c r="BM41" s="8"/>
      <c r="BN41" s="8"/>
    </row>
    <row r="42" spans="1:66">
      <c r="A42" s="17">
        <v>40</v>
      </c>
      <c r="B42" s="18"/>
      <c r="C42" s="19"/>
      <c r="AH42" s="47"/>
      <c r="AI42" s="47"/>
      <c r="AJ42" s="47"/>
      <c r="AK42" s="47"/>
      <c r="AL42" s="47"/>
      <c r="AM42" s="47"/>
      <c r="AN42" s="47"/>
      <c r="BC42" s="8"/>
      <c r="BD42" s="8"/>
      <c r="BE42" s="8"/>
      <c r="BF42" s="8"/>
      <c r="BG42" s="8"/>
      <c r="BH42" s="8"/>
      <c r="BI42" s="8"/>
      <c r="BJ42" s="8"/>
      <c r="BK42" s="8"/>
      <c r="BL42" s="8"/>
      <c r="BM42" s="8"/>
      <c r="BN42" s="8"/>
    </row>
    <row r="43" spans="1:66">
      <c r="A43" s="17">
        <v>41</v>
      </c>
      <c r="B43" s="18"/>
      <c r="C43" s="19"/>
      <c r="AH43" s="47"/>
      <c r="AI43" s="47"/>
      <c r="AJ43" s="47"/>
      <c r="AK43" s="47"/>
      <c r="AL43" s="47"/>
      <c r="AM43" s="47"/>
      <c r="AN43" s="47"/>
      <c r="BC43" s="8"/>
      <c r="BD43" s="8"/>
      <c r="BE43" s="8"/>
      <c r="BF43" s="8"/>
      <c r="BG43" s="8"/>
      <c r="BH43" s="8"/>
      <c r="BI43" s="8"/>
      <c r="BJ43" s="8"/>
      <c r="BK43" s="8"/>
      <c r="BL43" s="8"/>
      <c r="BM43" s="8"/>
      <c r="BN43" s="8"/>
    </row>
    <row r="44" spans="1:66">
      <c r="A44" s="17">
        <v>42</v>
      </c>
      <c r="B44" s="18"/>
      <c r="C44" s="19"/>
      <c r="AH44" s="47"/>
      <c r="AI44" s="47"/>
      <c r="AJ44" s="47"/>
      <c r="AK44" s="47"/>
      <c r="AL44" s="47"/>
      <c r="AM44" s="47"/>
      <c r="AN44" s="47"/>
      <c r="BC44" s="8"/>
      <c r="BD44" s="8"/>
      <c r="BE44" s="8"/>
      <c r="BF44" s="8"/>
      <c r="BG44" s="8"/>
      <c r="BH44" s="8"/>
      <c r="BI44" s="8"/>
      <c r="BJ44" s="8"/>
      <c r="BK44" s="8"/>
      <c r="BL44" s="8"/>
      <c r="BM44" s="8"/>
      <c r="BN44" s="8"/>
    </row>
    <row r="45" spans="1:66">
      <c r="A45" s="17">
        <v>43</v>
      </c>
      <c r="B45" s="18"/>
      <c r="C45" s="19"/>
      <c r="AH45" s="47"/>
      <c r="AI45" s="47"/>
      <c r="AJ45" s="47"/>
      <c r="AK45" s="47"/>
      <c r="AL45" s="47"/>
      <c r="AM45" s="47"/>
      <c r="AN45" s="47"/>
      <c r="BC45" s="8"/>
      <c r="BD45" s="8"/>
      <c r="BE45" s="8"/>
      <c r="BF45" s="8"/>
      <c r="BG45" s="8"/>
      <c r="BH45" s="8"/>
      <c r="BI45" s="8"/>
      <c r="BJ45" s="8"/>
      <c r="BK45" s="8"/>
      <c r="BL45" s="8"/>
      <c r="BM45" s="8"/>
      <c r="BN45" s="8"/>
    </row>
    <row r="46" spans="1:66">
      <c r="A46" s="17">
        <v>44</v>
      </c>
      <c r="B46" s="18"/>
      <c r="C46" s="19"/>
      <c r="AH46" s="47"/>
      <c r="AI46" s="47"/>
      <c r="AJ46" s="47"/>
      <c r="AK46" s="47"/>
      <c r="AL46" s="47"/>
      <c r="AM46" s="47"/>
      <c r="AN46" s="47"/>
      <c r="BC46" s="8"/>
      <c r="BD46" s="8"/>
      <c r="BE46" s="8"/>
      <c r="BF46" s="8"/>
      <c r="BG46" s="8"/>
      <c r="BH46" s="8"/>
      <c r="BI46" s="8"/>
      <c r="BJ46" s="8"/>
      <c r="BK46" s="8"/>
      <c r="BL46" s="8"/>
      <c r="BM46" s="8"/>
      <c r="BN46" s="8"/>
    </row>
    <row r="47" spans="1:66">
      <c r="A47" s="17">
        <v>45</v>
      </c>
      <c r="B47" s="18"/>
      <c r="C47" s="19"/>
      <c r="AH47" s="47"/>
      <c r="AI47" s="47"/>
      <c r="AJ47" s="47"/>
      <c r="AK47" s="47"/>
      <c r="AL47" s="47"/>
      <c r="AM47" s="47"/>
      <c r="AN47" s="47"/>
      <c r="BC47" s="8"/>
      <c r="BD47" s="8"/>
      <c r="BE47" s="8"/>
      <c r="BF47" s="8"/>
      <c r="BG47" s="8"/>
      <c r="BH47" s="8"/>
      <c r="BI47" s="8"/>
      <c r="BJ47" s="8"/>
      <c r="BK47" s="8"/>
      <c r="BL47" s="8"/>
      <c r="BM47" s="8"/>
      <c r="BN47" s="8"/>
    </row>
    <row r="48" spans="1:66">
      <c r="A48" s="17">
        <v>46</v>
      </c>
      <c r="B48" s="18"/>
      <c r="C48" s="19"/>
      <c r="AH48" s="47"/>
      <c r="AI48" s="47"/>
      <c r="AJ48" s="47"/>
      <c r="AK48" s="47"/>
      <c r="AL48" s="47"/>
      <c r="AM48" s="47"/>
      <c r="AN48" s="47"/>
      <c r="BC48" s="8"/>
      <c r="BD48" s="8"/>
      <c r="BE48" s="8"/>
      <c r="BF48" s="8"/>
      <c r="BG48" s="8"/>
      <c r="BH48" s="8"/>
      <c r="BI48" s="8"/>
      <c r="BJ48" s="8"/>
      <c r="BK48" s="8"/>
      <c r="BL48" s="8"/>
      <c r="BM48" s="8"/>
      <c r="BN48" s="8"/>
    </row>
    <row r="49" spans="1:66">
      <c r="A49" s="17">
        <v>47</v>
      </c>
      <c r="B49" s="18"/>
      <c r="C49" s="19"/>
      <c r="AH49" s="47"/>
      <c r="AI49" s="47"/>
      <c r="AJ49" s="47"/>
      <c r="AK49" s="47"/>
      <c r="AL49" s="47"/>
      <c r="AM49" s="47"/>
      <c r="AN49" s="47"/>
      <c r="BC49" s="8"/>
      <c r="BD49" s="8"/>
      <c r="BE49" s="8"/>
      <c r="BF49" s="8"/>
      <c r="BG49" s="8"/>
      <c r="BH49" s="8"/>
      <c r="BI49" s="8"/>
      <c r="BJ49" s="8"/>
      <c r="BK49" s="8"/>
      <c r="BL49" s="8"/>
      <c r="BM49" s="8"/>
      <c r="BN49" s="8"/>
    </row>
    <row r="50" spans="1:66">
      <c r="A50" s="17">
        <v>48</v>
      </c>
      <c r="B50" s="18"/>
      <c r="C50" s="19"/>
      <c r="AH50" s="47"/>
      <c r="AI50" s="47"/>
      <c r="AJ50" s="47"/>
      <c r="AK50" s="47"/>
      <c r="AL50" s="47"/>
      <c r="AM50" s="47"/>
      <c r="AN50" s="47"/>
      <c r="BC50" s="8"/>
      <c r="BD50" s="8"/>
      <c r="BE50" s="8"/>
      <c r="BF50" s="8"/>
      <c r="BG50" s="8"/>
      <c r="BH50" s="8"/>
      <c r="BI50" s="8"/>
      <c r="BJ50" s="8"/>
      <c r="BK50" s="8"/>
      <c r="BL50" s="8"/>
      <c r="BM50" s="8"/>
      <c r="BN50" s="8"/>
    </row>
    <row r="51" spans="1:66">
      <c r="A51" s="17">
        <v>49</v>
      </c>
      <c r="B51" s="18"/>
      <c r="C51" s="19"/>
      <c r="AH51" s="47"/>
      <c r="AI51" s="47"/>
      <c r="AJ51" s="47"/>
      <c r="AK51" s="47"/>
      <c r="AL51" s="47"/>
      <c r="AM51" s="47"/>
      <c r="AN51" s="47"/>
      <c r="BC51" s="8"/>
      <c r="BD51" s="8"/>
      <c r="BE51" s="8"/>
      <c r="BF51" s="8"/>
      <c r="BG51" s="8"/>
      <c r="BH51" s="8"/>
      <c r="BI51" s="8"/>
      <c r="BJ51" s="8"/>
      <c r="BK51" s="8"/>
      <c r="BL51" s="8"/>
      <c r="BM51" s="8"/>
      <c r="BN51" s="8"/>
    </row>
    <row r="52" spans="1:66">
      <c r="A52" s="17">
        <v>50</v>
      </c>
      <c r="B52" s="18"/>
      <c r="C52" s="19"/>
      <c r="AH52" s="47"/>
      <c r="AI52" s="47"/>
      <c r="AJ52" s="47"/>
      <c r="AK52" s="47"/>
      <c r="AL52" s="47"/>
      <c r="AM52" s="47"/>
      <c r="AN52" s="47"/>
      <c r="BC52" s="8"/>
      <c r="BD52" s="8"/>
      <c r="BE52" s="8"/>
      <c r="BF52" s="8"/>
      <c r="BG52" s="8"/>
      <c r="BH52" s="8"/>
      <c r="BI52" s="8"/>
      <c r="BJ52" s="8"/>
      <c r="BK52" s="8"/>
      <c r="BL52" s="8"/>
      <c r="BM52" s="8"/>
      <c r="BN52" s="8"/>
    </row>
    <row r="53" spans="1:66">
      <c r="A53" s="17">
        <v>51</v>
      </c>
      <c r="B53" s="18"/>
      <c r="C53" s="19"/>
      <c r="AH53" s="47"/>
      <c r="AI53" s="47"/>
      <c r="AJ53" s="47"/>
      <c r="AK53" s="47"/>
      <c r="AL53" s="47"/>
      <c r="AM53" s="47"/>
      <c r="AN53" s="47"/>
      <c r="BC53" s="8"/>
      <c r="BD53" s="8"/>
      <c r="BE53" s="8"/>
      <c r="BF53" s="8"/>
      <c r="BG53" s="8"/>
      <c r="BH53" s="8"/>
      <c r="BI53" s="8"/>
      <c r="BJ53" s="8"/>
      <c r="BK53" s="8"/>
      <c r="BL53" s="8"/>
      <c r="BM53" s="8"/>
      <c r="BN53" s="8"/>
    </row>
    <row r="54" spans="1:66">
      <c r="A54" s="17">
        <v>52</v>
      </c>
      <c r="B54" s="18"/>
      <c r="C54" s="19"/>
      <c r="AH54" s="47"/>
      <c r="AI54" s="47"/>
      <c r="AJ54" s="47"/>
      <c r="AK54" s="47"/>
      <c r="AL54" s="47"/>
      <c r="AM54" s="47"/>
      <c r="AN54" s="47"/>
      <c r="BC54" s="8"/>
      <c r="BD54" s="8"/>
      <c r="BE54" s="8"/>
      <c r="BF54" s="8"/>
      <c r="BG54" s="8"/>
      <c r="BH54" s="8"/>
      <c r="BI54" s="8"/>
      <c r="BJ54" s="8"/>
      <c r="BK54" s="8"/>
      <c r="BL54" s="8"/>
      <c r="BM54" s="8"/>
      <c r="BN54" s="8"/>
    </row>
    <row r="55" spans="1:66">
      <c r="A55" s="17">
        <v>53</v>
      </c>
      <c r="B55" s="18"/>
      <c r="C55" s="19"/>
      <c r="AH55" s="47"/>
      <c r="AI55" s="47"/>
      <c r="AJ55" s="47"/>
      <c r="AK55" s="47"/>
      <c r="AL55" s="47"/>
      <c r="AM55" s="47"/>
      <c r="AN55" s="47"/>
      <c r="BC55" s="8"/>
      <c r="BD55" s="8"/>
      <c r="BE55" s="8"/>
      <c r="BF55" s="8"/>
      <c r="BG55" s="8"/>
      <c r="BH55" s="8"/>
      <c r="BI55" s="8"/>
      <c r="BJ55" s="8"/>
      <c r="BK55" s="8"/>
      <c r="BL55" s="8"/>
      <c r="BM55" s="8"/>
      <c r="BN55" s="8"/>
    </row>
    <row r="56" spans="1:66">
      <c r="A56" s="17">
        <v>54</v>
      </c>
      <c r="B56" s="18"/>
      <c r="C56" s="19"/>
      <c r="AH56" s="47"/>
      <c r="AI56" s="47"/>
      <c r="AJ56" s="47"/>
      <c r="AK56" s="47"/>
      <c r="AL56" s="47"/>
      <c r="AM56" s="47"/>
      <c r="AN56" s="47"/>
      <c r="BC56" s="8"/>
      <c r="BD56" s="8"/>
      <c r="BE56" s="8"/>
      <c r="BF56" s="8"/>
      <c r="BG56" s="8"/>
      <c r="BH56" s="8"/>
      <c r="BI56" s="8"/>
      <c r="BJ56" s="8"/>
      <c r="BK56" s="8"/>
      <c r="BL56" s="8"/>
      <c r="BM56" s="8"/>
      <c r="BN56" s="8"/>
    </row>
    <row r="57" spans="1:66">
      <c r="A57" s="17">
        <v>55</v>
      </c>
      <c r="B57" s="18"/>
      <c r="C57" s="19"/>
      <c r="AH57" s="47"/>
      <c r="AI57" s="47"/>
      <c r="AJ57" s="47"/>
      <c r="AK57" s="47"/>
      <c r="AL57" s="47"/>
      <c r="AM57" s="47"/>
      <c r="AN57" s="47"/>
      <c r="BC57" s="8"/>
      <c r="BD57" s="8"/>
      <c r="BE57" s="8"/>
      <c r="BF57" s="8"/>
      <c r="BG57" s="8"/>
      <c r="BH57" s="8"/>
      <c r="BI57" s="8"/>
      <c r="BJ57" s="8"/>
      <c r="BK57" s="8"/>
      <c r="BL57" s="8"/>
      <c r="BM57" s="8"/>
      <c r="BN57" s="8"/>
    </row>
    <row r="58" spans="1:66">
      <c r="A58" s="17">
        <v>56</v>
      </c>
      <c r="B58" s="18"/>
      <c r="C58" s="19"/>
      <c r="AH58" s="47"/>
      <c r="AI58" s="47"/>
      <c r="AJ58" s="47"/>
      <c r="AK58" s="47"/>
      <c r="AL58" s="47"/>
      <c r="AM58" s="47"/>
      <c r="AN58" s="47"/>
      <c r="BC58" s="8"/>
      <c r="BD58" s="8"/>
      <c r="BE58" s="8"/>
      <c r="BF58" s="8"/>
      <c r="BG58" s="8"/>
      <c r="BH58" s="8"/>
      <c r="BI58" s="8"/>
      <c r="BJ58" s="8"/>
      <c r="BK58" s="8"/>
      <c r="BL58" s="8"/>
      <c r="BM58" s="8"/>
      <c r="BN58" s="8"/>
    </row>
    <row r="59" spans="1:66">
      <c r="A59" s="17">
        <v>57</v>
      </c>
      <c r="B59" s="18"/>
      <c r="C59" s="19"/>
      <c r="AH59" s="47"/>
      <c r="AI59" s="47"/>
      <c r="AJ59" s="47"/>
      <c r="AK59" s="47"/>
      <c r="AL59" s="47"/>
      <c r="AM59" s="47"/>
      <c r="AN59" s="47"/>
      <c r="BC59" s="8"/>
      <c r="BD59" s="8"/>
      <c r="BE59" s="8"/>
      <c r="BF59" s="8"/>
      <c r="BG59" s="8"/>
      <c r="BH59" s="8"/>
      <c r="BI59" s="8"/>
      <c r="BJ59" s="8"/>
      <c r="BK59" s="8"/>
      <c r="BL59" s="8"/>
      <c r="BM59" s="8"/>
      <c r="BN59" s="8"/>
    </row>
    <row r="60" spans="1:66">
      <c r="A60" s="17">
        <v>58</v>
      </c>
      <c r="B60" s="18"/>
      <c r="C60" s="19"/>
      <c r="AH60" s="47"/>
      <c r="AI60" s="47"/>
      <c r="AJ60" s="47"/>
      <c r="AK60" s="47"/>
      <c r="AL60" s="47"/>
      <c r="AM60" s="47"/>
      <c r="AN60" s="47"/>
      <c r="BC60" s="8"/>
      <c r="BD60" s="8"/>
      <c r="BE60" s="8"/>
      <c r="BF60" s="8"/>
      <c r="BG60" s="8"/>
      <c r="BH60" s="8"/>
      <c r="BI60" s="8"/>
      <c r="BJ60" s="8"/>
      <c r="BK60" s="8"/>
      <c r="BL60" s="8"/>
      <c r="BM60" s="8"/>
      <c r="BN60" s="8"/>
    </row>
    <row r="61" spans="1:66">
      <c r="A61" s="17">
        <v>59</v>
      </c>
      <c r="B61" s="18"/>
      <c r="C61" s="19"/>
      <c r="AH61" s="47"/>
      <c r="AI61" s="47"/>
      <c r="AJ61" s="47"/>
      <c r="AK61" s="47"/>
      <c r="AL61" s="47"/>
      <c r="AM61" s="47"/>
      <c r="AN61" s="47"/>
      <c r="BC61" s="8"/>
      <c r="BD61" s="8"/>
      <c r="BE61" s="8"/>
      <c r="BF61" s="8"/>
      <c r="BG61" s="8"/>
      <c r="BH61" s="8"/>
      <c r="BI61" s="8"/>
      <c r="BJ61" s="8"/>
      <c r="BK61" s="8"/>
      <c r="BL61" s="8"/>
      <c r="BM61" s="8"/>
      <c r="BN61" s="8"/>
    </row>
    <row r="62" spans="1:66">
      <c r="A62" s="17">
        <v>60</v>
      </c>
      <c r="B62" s="18"/>
      <c r="C62" s="19"/>
      <c r="AH62" s="47"/>
      <c r="AI62" s="47"/>
      <c r="AJ62" s="47"/>
      <c r="AK62" s="47"/>
      <c r="AL62" s="47"/>
      <c r="AM62" s="47"/>
      <c r="AN62" s="47"/>
      <c r="BC62" s="8"/>
      <c r="BD62" s="8"/>
      <c r="BE62" s="8"/>
      <c r="BF62" s="8"/>
      <c r="BG62" s="8"/>
      <c r="BH62" s="8"/>
      <c r="BI62" s="8"/>
      <c r="BJ62" s="8"/>
      <c r="BK62" s="8"/>
      <c r="BL62" s="8"/>
      <c r="BM62" s="8"/>
      <c r="BN62" s="8"/>
    </row>
    <row r="63" spans="1:66">
      <c r="A63" s="17">
        <v>61</v>
      </c>
      <c r="B63" s="18"/>
      <c r="C63" s="19"/>
      <c r="AH63" s="47"/>
      <c r="AI63" s="47"/>
      <c r="AJ63" s="47"/>
      <c r="AK63" s="47"/>
      <c r="AL63" s="47"/>
      <c r="AM63" s="47"/>
      <c r="AN63" s="47"/>
      <c r="BC63" s="8"/>
      <c r="BD63" s="8"/>
      <c r="BE63" s="8"/>
      <c r="BF63" s="8"/>
      <c r="BG63" s="8"/>
      <c r="BH63" s="8"/>
      <c r="BI63" s="8"/>
      <c r="BJ63" s="8"/>
      <c r="BK63" s="8"/>
      <c r="BL63" s="8"/>
      <c r="BM63" s="8"/>
      <c r="BN63" s="8"/>
    </row>
    <row r="64" spans="1:66">
      <c r="A64" s="17">
        <v>62</v>
      </c>
      <c r="B64" s="18"/>
      <c r="C64" s="19"/>
      <c r="AH64" s="47"/>
      <c r="AI64" s="47"/>
      <c r="AJ64" s="47"/>
      <c r="AK64" s="47"/>
      <c r="AL64" s="47"/>
      <c r="AM64" s="47"/>
      <c r="AN64" s="47"/>
      <c r="BC64" s="8"/>
      <c r="BD64" s="8"/>
      <c r="BE64" s="8"/>
      <c r="BF64" s="8"/>
      <c r="BG64" s="8"/>
      <c r="BH64" s="8"/>
      <c r="BI64" s="8"/>
      <c r="BJ64" s="8"/>
      <c r="BK64" s="8"/>
      <c r="BL64" s="8"/>
      <c r="BM64" s="8"/>
      <c r="BN64" s="8"/>
    </row>
    <row r="65" spans="1:66">
      <c r="A65" s="17">
        <v>63</v>
      </c>
      <c r="B65" s="18"/>
      <c r="C65" s="19"/>
      <c r="AH65" s="47"/>
      <c r="AI65" s="47"/>
      <c r="AJ65" s="47"/>
      <c r="AK65" s="47"/>
      <c r="AL65" s="47"/>
      <c r="AM65" s="47"/>
      <c r="AN65" s="47"/>
      <c r="BC65" s="8"/>
      <c r="BD65" s="8"/>
      <c r="BE65" s="8"/>
      <c r="BF65" s="8"/>
      <c r="BG65" s="8"/>
      <c r="BH65" s="8"/>
      <c r="BI65" s="8"/>
      <c r="BJ65" s="8"/>
      <c r="BK65" s="8"/>
      <c r="BL65" s="8"/>
      <c r="BM65" s="8"/>
      <c r="BN65" s="8"/>
    </row>
    <row r="66" spans="1:66">
      <c r="A66" s="17">
        <v>64</v>
      </c>
      <c r="B66" s="18"/>
      <c r="C66" s="19"/>
      <c r="AH66" s="47"/>
      <c r="AI66" s="47"/>
      <c r="AJ66" s="47"/>
      <c r="AK66" s="47"/>
      <c r="AL66" s="47"/>
      <c r="AM66" s="47"/>
      <c r="AN66" s="47"/>
      <c r="BC66" s="8"/>
      <c r="BD66" s="8"/>
      <c r="BE66" s="8"/>
      <c r="BF66" s="8"/>
      <c r="BG66" s="8"/>
      <c r="BH66" s="8"/>
      <c r="BI66" s="8"/>
      <c r="BJ66" s="8"/>
      <c r="BK66" s="8"/>
      <c r="BL66" s="8"/>
      <c r="BM66" s="8"/>
      <c r="BN66" s="8"/>
    </row>
    <row r="67" spans="1:66">
      <c r="A67" s="17">
        <v>65</v>
      </c>
      <c r="B67" s="18"/>
      <c r="C67" s="19"/>
      <c r="AH67" s="47"/>
      <c r="AI67" s="47"/>
      <c r="AJ67" s="47"/>
      <c r="AK67" s="47"/>
      <c r="AL67" s="47"/>
      <c r="AM67" s="47"/>
      <c r="AN67" s="47"/>
      <c r="BC67" s="8"/>
      <c r="BD67" s="8"/>
      <c r="BE67" s="8"/>
      <c r="BF67" s="8"/>
      <c r="BG67" s="8"/>
      <c r="BH67" s="8"/>
      <c r="BI67" s="8"/>
      <c r="BJ67" s="8"/>
      <c r="BK67" s="8"/>
      <c r="BL67" s="8"/>
      <c r="BM67" s="8"/>
      <c r="BN67" s="8"/>
    </row>
    <row r="68" spans="1:66">
      <c r="A68" s="17">
        <v>66</v>
      </c>
      <c r="B68" s="18"/>
      <c r="C68" s="19"/>
      <c r="BC68" s="8"/>
      <c r="BD68" s="8"/>
      <c r="BE68" s="8"/>
      <c r="BF68" s="8"/>
      <c r="BG68" s="8"/>
      <c r="BH68" s="8"/>
      <c r="BI68" s="8"/>
      <c r="BJ68" s="8"/>
      <c r="BK68" s="8"/>
      <c r="BL68" s="8"/>
      <c r="BM68" s="8"/>
      <c r="BN68" s="8"/>
    </row>
    <row r="69" spans="1:66">
      <c r="A69" s="17">
        <v>67</v>
      </c>
      <c r="B69" s="18"/>
      <c r="C69" s="19"/>
      <c r="BC69" s="8"/>
      <c r="BD69" s="8"/>
      <c r="BE69" s="8"/>
      <c r="BF69" s="8"/>
      <c r="BG69" s="8"/>
      <c r="BH69" s="8"/>
      <c r="BI69" s="8"/>
      <c r="BJ69" s="8"/>
      <c r="BK69" s="8"/>
      <c r="BL69" s="8"/>
      <c r="BM69" s="8"/>
      <c r="BN69" s="8"/>
    </row>
    <row r="70" spans="1:66">
      <c r="A70" s="17">
        <v>68</v>
      </c>
      <c r="B70" s="18"/>
      <c r="C70" s="19"/>
      <c r="BC70" s="8"/>
      <c r="BD70" s="8"/>
      <c r="BE70" s="8"/>
      <c r="BF70" s="8"/>
      <c r="BG70" s="8"/>
      <c r="BH70" s="8"/>
      <c r="BI70" s="8"/>
      <c r="BJ70" s="8"/>
      <c r="BK70" s="8"/>
      <c r="BL70" s="8"/>
      <c r="BM70" s="8"/>
      <c r="BN70" s="8"/>
    </row>
    <row r="71" spans="1:66">
      <c r="A71" s="17">
        <v>69</v>
      </c>
      <c r="B71" s="18"/>
      <c r="C71" s="19"/>
      <c r="BC71" s="8"/>
      <c r="BD71" s="8"/>
      <c r="BE71" s="8"/>
      <c r="BF71" s="8"/>
      <c r="BG71" s="8"/>
      <c r="BH71" s="8"/>
      <c r="BI71" s="8"/>
      <c r="BJ71" s="8"/>
      <c r="BK71" s="8"/>
      <c r="BL71" s="8"/>
      <c r="BM71" s="8"/>
      <c r="BN71" s="8"/>
    </row>
    <row r="72" spans="1:66">
      <c r="A72" s="17">
        <v>70</v>
      </c>
      <c r="B72" s="18"/>
      <c r="C72" s="19"/>
      <c r="BC72" s="8"/>
      <c r="BD72" s="8"/>
      <c r="BE72" s="8"/>
      <c r="BF72" s="8"/>
      <c r="BG72" s="8"/>
      <c r="BH72" s="8"/>
      <c r="BI72" s="8"/>
      <c r="BJ72" s="8"/>
      <c r="BK72" s="8"/>
      <c r="BL72" s="8"/>
      <c r="BM72" s="8"/>
      <c r="BN72" s="8"/>
    </row>
    <row r="73" spans="1:66">
      <c r="A73" s="17">
        <v>71</v>
      </c>
      <c r="B73" s="18"/>
      <c r="C73" s="19"/>
      <c r="BC73" s="8"/>
      <c r="BD73" s="8"/>
      <c r="BE73" s="8"/>
      <c r="BF73" s="8"/>
      <c r="BG73" s="8"/>
      <c r="BH73" s="8"/>
      <c r="BI73" s="8"/>
      <c r="BJ73" s="8"/>
      <c r="BK73" s="8"/>
      <c r="BL73" s="8"/>
      <c r="BM73" s="8"/>
      <c r="BN73" s="8"/>
    </row>
    <row r="74" spans="1:66">
      <c r="A74" s="17">
        <v>72</v>
      </c>
      <c r="B74" s="18"/>
      <c r="C74" s="19"/>
      <c r="BC74" s="8"/>
      <c r="BD74" s="8"/>
      <c r="BE74" s="8"/>
      <c r="BF74" s="8"/>
      <c r="BG74" s="8"/>
      <c r="BH74" s="8"/>
      <c r="BI74" s="8"/>
      <c r="BJ74" s="8"/>
      <c r="BK74" s="8"/>
      <c r="BL74" s="8"/>
      <c r="BM74" s="8"/>
      <c r="BN74" s="8"/>
    </row>
    <row r="75" spans="1:66">
      <c r="A75" s="17">
        <v>73</v>
      </c>
      <c r="B75" s="18"/>
      <c r="C75" s="19"/>
      <c r="BC75" s="8"/>
      <c r="BD75" s="8"/>
      <c r="BE75" s="8"/>
      <c r="BF75" s="8"/>
      <c r="BG75" s="8"/>
      <c r="BH75" s="8"/>
      <c r="BI75" s="8"/>
      <c r="BJ75" s="8"/>
      <c r="BK75" s="8"/>
      <c r="BL75" s="8"/>
      <c r="BM75" s="8"/>
      <c r="BN75" s="8"/>
    </row>
    <row r="76" spans="1:66">
      <c r="A76" s="17">
        <v>74</v>
      </c>
      <c r="B76" s="18"/>
      <c r="C76" s="19"/>
      <c r="BC76" s="8"/>
      <c r="BD76" s="8"/>
      <c r="BE76" s="8"/>
      <c r="BF76" s="8"/>
      <c r="BG76" s="8"/>
      <c r="BH76" s="8"/>
      <c r="BI76" s="8"/>
      <c r="BJ76" s="8"/>
      <c r="BK76" s="8"/>
      <c r="BL76" s="8"/>
      <c r="BM76" s="8"/>
      <c r="BN76" s="8"/>
    </row>
    <row r="77" spans="1:66">
      <c r="A77" s="17">
        <v>75</v>
      </c>
      <c r="B77" s="18"/>
      <c r="C77" s="19"/>
      <c r="BC77" s="8"/>
      <c r="BD77" s="8"/>
      <c r="BE77" s="8"/>
      <c r="BF77" s="8"/>
      <c r="BG77" s="8"/>
      <c r="BH77" s="8"/>
      <c r="BI77" s="8"/>
      <c r="BJ77" s="8"/>
      <c r="BK77" s="8"/>
      <c r="BL77" s="8"/>
      <c r="BM77" s="8"/>
      <c r="BN77" s="8"/>
    </row>
    <row r="78" spans="1:66">
      <c r="A78" s="17">
        <v>76</v>
      </c>
      <c r="B78" s="18"/>
      <c r="C78" s="19"/>
      <c r="BC78" s="8"/>
      <c r="BD78" s="8"/>
      <c r="BE78" s="8"/>
      <c r="BF78" s="8"/>
      <c r="BG78" s="8"/>
      <c r="BH78" s="8"/>
      <c r="BI78" s="8"/>
      <c r="BJ78" s="8"/>
      <c r="BK78" s="8"/>
      <c r="BL78" s="8"/>
      <c r="BM78" s="8"/>
      <c r="BN78" s="8"/>
    </row>
    <row r="79" spans="1:66">
      <c r="A79" s="17">
        <v>77</v>
      </c>
      <c r="B79" s="18"/>
      <c r="C79" s="19"/>
      <c r="BC79" s="8"/>
      <c r="BD79" s="8"/>
      <c r="BE79" s="8"/>
      <c r="BF79" s="8"/>
      <c r="BG79" s="8"/>
      <c r="BH79" s="8"/>
      <c r="BI79" s="8"/>
      <c r="BJ79" s="8"/>
      <c r="BK79" s="8"/>
      <c r="BL79" s="8"/>
      <c r="BM79" s="8"/>
      <c r="BN79" s="8"/>
    </row>
    <row r="80" spans="1:66">
      <c r="A80" s="17">
        <v>78</v>
      </c>
      <c r="B80" s="18"/>
      <c r="C80" s="19"/>
      <c r="BC80" s="8"/>
      <c r="BD80" s="8"/>
      <c r="BE80" s="8"/>
      <c r="BF80" s="8"/>
      <c r="BG80" s="8"/>
      <c r="BH80" s="8"/>
      <c r="BI80" s="8"/>
      <c r="BJ80" s="8"/>
      <c r="BK80" s="8"/>
      <c r="BL80" s="8"/>
      <c r="BM80" s="8"/>
      <c r="BN80" s="8"/>
    </row>
    <row r="81" spans="1:66">
      <c r="A81" s="17">
        <v>79</v>
      </c>
      <c r="B81" s="18"/>
      <c r="C81" s="19"/>
      <c r="BC81" s="8"/>
      <c r="BD81" s="8"/>
      <c r="BE81" s="8"/>
      <c r="BF81" s="8"/>
      <c r="BG81" s="8"/>
      <c r="BH81" s="8"/>
      <c r="BI81" s="8"/>
      <c r="BJ81" s="8"/>
      <c r="BK81" s="8"/>
      <c r="BL81" s="8"/>
      <c r="BM81" s="8"/>
      <c r="BN81" s="8"/>
    </row>
    <row r="82" spans="1:66">
      <c r="A82" s="17">
        <v>80</v>
      </c>
      <c r="B82" s="18"/>
      <c r="C82" s="19"/>
      <c r="BC82" s="8"/>
      <c r="BD82" s="8"/>
      <c r="BE82" s="8"/>
      <c r="BF82" s="8"/>
      <c r="BG82" s="8"/>
      <c r="BH82" s="8"/>
      <c r="BI82" s="8"/>
      <c r="BJ82" s="8"/>
      <c r="BK82" s="8"/>
      <c r="BL82" s="8"/>
      <c r="BM82" s="8"/>
      <c r="BN82" s="8"/>
    </row>
    <row r="83" spans="1:66">
      <c r="A83" s="17">
        <v>81</v>
      </c>
      <c r="B83" s="18"/>
      <c r="C83" s="19"/>
      <c r="BC83" s="8"/>
      <c r="BD83" s="8"/>
      <c r="BE83" s="8"/>
      <c r="BF83" s="8"/>
      <c r="BG83" s="8"/>
      <c r="BH83" s="8"/>
      <c r="BI83" s="8"/>
      <c r="BJ83" s="8"/>
      <c r="BK83" s="8"/>
      <c r="BL83" s="8"/>
      <c r="BM83" s="8"/>
      <c r="BN83" s="8"/>
    </row>
    <row r="84" spans="1:66">
      <c r="A84" s="17">
        <v>82</v>
      </c>
      <c r="B84" s="18"/>
      <c r="C84" s="19"/>
      <c r="BC84" s="8"/>
      <c r="BD84" s="8"/>
      <c r="BE84" s="8"/>
      <c r="BF84" s="8"/>
      <c r="BG84" s="8"/>
      <c r="BH84" s="8"/>
      <c r="BI84" s="8"/>
      <c r="BJ84" s="8"/>
      <c r="BK84" s="8"/>
      <c r="BL84" s="8"/>
      <c r="BM84" s="8"/>
      <c r="BN84" s="8"/>
    </row>
    <row r="85" spans="1:66">
      <c r="A85" s="17">
        <v>83</v>
      </c>
      <c r="B85" s="18"/>
      <c r="C85" s="19"/>
      <c r="BC85" s="8"/>
      <c r="BD85" s="8"/>
      <c r="BE85" s="8"/>
      <c r="BF85" s="8"/>
      <c r="BG85" s="8"/>
      <c r="BH85" s="8"/>
      <c r="BI85" s="8"/>
      <c r="BJ85" s="8"/>
      <c r="BK85" s="8"/>
      <c r="BL85" s="8"/>
      <c r="BM85" s="8"/>
      <c r="BN85" s="8"/>
    </row>
    <row r="86" spans="1:66">
      <c r="A86" s="17">
        <v>84</v>
      </c>
      <c r="B86" s="18"/>
      <c r="C86" s="19"/>
      <c r="BC86" s="8"/>
      <c r="BD86" s="8"/>
      <c r="BE86" s="8"/>
      <c r="BF86" s="8"/>
      <c r="BG86" s="8"/>
      <c r="BH86" s="8"/>
      <c r="BI86" s="8"/>
      <c r="BJ86" s="8"/>
      <c r="BK86" s="8"/>
      <c r="BL86" s="8"/>
      <c r="BM86" s="8"/>
      <c r="BN86" s="8"/>
    </row>
    <row r="87" spans="1:66">
      <c r="A87" s="17">
        <v>85</v>
      </c>
      <c r="B87" s="18"/>
      <c r="C87" s="19"/>
      <c r="BC87" s="8"/>
      <c r="BD87" s="8"/>
      <c r="BE87" s="8"/>
      <c r="BF87" s="8"/>
      <c r="BG87" s="8"/>
      <c r="BH87" s="8"/>
      <c r="BI87" s="8"/>
      <c r="BJ87" s="8"/>
      <c r="BK87" s="8"/>
      <c r="BL87" s="8"/>
      <c r="BM87" s="8"/>
      <c r="BN87" s="8"/>
    </row>
    <row r="88" spans="1:66">
      <c r="A88" s="17">
        <v>86</v>
      </c>
      <c r="B88" s="18"/>
      <c r="C88" s="19"/>
      <c r="BC88" s="8"/>
      <c r="BD88" s="8"/>
      <c r="BE88" s="8"/>
      <c r="BF88" s="8"/>
      <c r="BG88" s="8"/>
      <c r="BH88" s="8"/>
      <c r="BI88" s="8"/>
      <c r="BJ88" s="8"/>
      <c r="BK88" s="8"/>
      <c r="BL88" s="8"/>
      <c r="BM88" s="8"/>
      <c r="BN88" s="8"/>
    </row>
    <row r="89" spans="1:66">
      <c r="A89" s="17">
        <v>87</v>
      </c>
      <c r="B89" s="18"/>
      <c r="C89" s="19"/>
      <c r="BC89" s="8"/>
      <c r="BD89" s="8"/>
      <c r="BE89" s="8"/>
      <c r="BF89" s="8"/>
      <c r="BG89" s="8"/>
      <c r="BH89" s="8"/>
      <c r="BI89" s="8"/>
      <c r="BJ89" s="8"/>
      <c r="BK89" s="8"/>
      <c r="BL89" s="8"/>
      <c r="BM89" s="8"/>
      <c r="BN89" s="8"/>
    </row>
    <row r="90" spans="1:66">
      <c r="A90" s="17">
        <v>88</v>
      </c>
      <c r="B90" s="18"/>
      <c r="C90" s="19"/>
      <c r="BC90" s="8"/>
      <c r="BD90" s="8"/>
      <c r="BE90" s="8"/>
      <c r="BF90" s="8"/>
      <c r="BG90" s="8"/>
      <c r="BH90" s="8"/>
      <c r="BI90" s="8"/>
      <c r="BJ90" s="8"/>
      <c r="BK90" s="8"/>
      <c r="BL90" s="8"/>
      <c r="BM90" s="8"/>
      <c r="BN90" s="8"/>
    </row>
    <row r="91" spans="1:66">
      <c r="A91" s="17">
        <v>89</v>
      </c>
      <c r="B91" s="18"/>
      <c r="C91" s="19"/>
      <c r="BC91" s="8"/>
      <c r="BD91" s="8"/>
      <c r="BE91" s="8"/>
      <c r="BF91" s="8"/>
      <c r="BG91" s="8"/>
      <c r="BH91" s="8"/>
      <c r="BI91" s="8"/>
      <c r="BJ91" s="8"/>
      <c r="BK91" s="8"/>
      <c r="BL91" s="8"/>
      <c r="BM91" s="8"/>
      <c r="BN91" s="8"/>
    </row>
    <row r="92" spans="1:66">
      <c r="A92" s="17">
        <v>90</v>
      </c>
      <c r="B92" s="18"/>
      <c r="C92" s="19"/>
      <c r="BC92" s="8"/>
      <c r="BD92" s="8"/>
      <c r="BE92" s="8"/>
      <c r="BF92" s="8"/>
      <c r="BG92" s="8"/>
      <c r="BH92" s="8"/>
      <c r="BI92" s="8"/>
      <c r="BJ92" s="8"/>
      <c r="BK92" s="8"/>
      <c r="BL92" s="8"/>
      <c r="BM92" s="8"/>
      <c r="BN92" s="8"/>
    </row>
    <row r="93" spans="1:66">
      <c r="A93" s="17">
        <v>91</v>
      </c>
      <c r="B93" s="18"/>
      <c r="C93" s="19"/>
      <c r="BC93" s="8"/>
      <c r="BD93" s="8"/>
      <c r="BE93" s="8"/>
      <c r="BF93" s="8"/>
      <c r="BG93" s="8"/>
      <c r="BH93" s="8"/>
      <c r="BI93" s="8"/>
      <c r="BJ93" s="8"/>
      <c r="BK93" s="8"/>
      <c r="BL93" s="8"/>
      <c r="BM93" s="8"/>
      <c r="BN93" s="8"/>
    </row>
    <row r="94" spans="1:66">
      <c r="A94" s="17">
        <v>92</v>
      </c>
      <c r="B94" s="18"/>
      <c r="C94" s="19"/>
      <c r="BC94" s="8"/>
      <c r="BD94" s="8"/>
      <c r="BE94" s="8"/>
      <c r="BF94" s="8"/>
      <c r="BG94" s="8"/>
      <c r="BH94" s="8"/>
      <c r="BI94" s="8"/>
      <c r="BJ94" s="8"/>
      <c r="BK94" s="8"/>
      <c r="BL94" s="8"/>
      <c r="BM94" s="8"/>
      <c r="BN94" s="8"/>
    </row>
    <row r="95" spans="1:66">
      <c r="A95" s="17">
        <v>93</v>
      </c>
      <c r="B95" s="18"/>
      <c r="C95" s="19"/>
      <c r="BC95" s="8"/>
      <c r="BD95" s="8"/>
      <c r="BE95" s="8"/>
      <c r="BF95" s="8"/>
      <c r="BG95" s="8"/>
      <c r="BH95" s="8"/>
      <c r="BI95" s="8"/>
      <c r="BJ95" s="8"/>
      <c r="BK95" s="8"/>
      <c r="BL95" s="8"/>
      <c r="BM95" s="8"/>
      <c r="BN95" s="8"/>
    </row>
    <row r="96" spans="1:66">
      <c r="A96" s="17">
        <v>94</v>
      </c>
      <c r="B96" s="18"/>
      <c r="C96" s="19"/>
      <c r="BC96" s="8"/>
      <c r="BD96" s="8"/>
      <c r="BE96" s="8"/>
      <c r="BF96" s="8"/>
      <c r="BG96" s="8"/>
      <c r="BH96" s="8"/>
      <c r="BI96" s="8"/>
      <c r="BJ96" s="8"/>
      <c r="BK96" s="8"/>
      <c r="BL96" s="8"/>
      <c r="BM96" s="8"/>
      <c r="BN96" s="8"/>
    </row>
    <row r="97" spans="1:66">
      <c r="A97" s="17">
        <v>95</v>
      </c>
      <c r="B97" s="18"/>
      <c r="C97" s="19"/>
      <c r="BC97" s="8"/>
      <c r="BD97" s="8"/>
      <c r="BE97" s="8"/>
      <c r="BF97" s="8"/>
      <c r="BG97" s="8"/>
      <c r="BH97" s="8"/>
      <c r="BI97" s="8"/>
      <c r="BJ97" s="8"/>
      <c r="BK97" s="8"/>
      <c r="BL97" s="8"/>
      <c r="BM97" s="8"/>
      <c r="BN97" s="8"/>
    </row>
    <row r="98" spans="1:66">
      <c r="A98" s="17">
        <v>96</v>
      </c>
      <c r="B98" s="18"/>
      <c r="C98" s="19"/>
      <c r="BC98" s="8"/>
      <c r="BD98" s="8"/>
      <c r="BE98" s="8"/>
      <c r="BF98" s="8"/>
      <c r="BG98" s="8"/>
      <c r="BH98" s="8"/>
      <c r="BI98" s="8"/>
      <c r="BJ98" s="8"/>
      <c r="BK98" s="8"/>
      <c r="BL98" s="8"/>
      <c r="BM98" s="8"/>
      <c r="BN98" s="8"/>
    </row>
    <row r="99" spans="1:66">
      <c r="A99" s="17">
        <v>97</v>
      </c>
      <c r="B99" s="18"/>
      <c r="C99" s="19"/>
      <c r="BC99" s="8"/>
      <c r="BD99" s="8"/>
      <c r="BE99" s="8"/>
      <c r="BF99" s="8"/>
      <c r="BG99" s="8"/>
      <c r="BH99" s="8"/>
      <c r="BI99" s="8"/>
      <c r="BJ99" s="8"/>
      <c r="BK99" s="8"/>
      <c r="BL99" s="8"/>
      <c r="BM99" s="8"/>
      <c r="BN99" s="8"/>
    </row>
    <row r="100" spans="1:66">
      <c r="A100" s="17">
        <v>98</v>
      </c>
      <c r="B100" s="18"/>
      <c r="C100" s="19"/>
      <c r="BC100" s="8"/>
      <c r="BD100" s="8"/>
      <c r="BE100" s="8"/>
      <c r="BF100" s="8"/>
      <c r="BG100" s="8"/>
      <c r="BH100" s="8"/>
      <c r="BI100" s="8"/>
      <c r="BJ100" s="8"/>
      <c r="BK100" s="8"/>
      <c r="BL100" s="8"/>
      <c r="BM100" s="8"/>
      <c r="BN100" s="8"/>
    </row>
    <row r="101" spans="1:66">
      <c r="A101" s="17">
        <v>99</v>
      </c>
      <c r="B101" s="18"/>
      <c r="C101" s="19"/>
      <c r="BC101" s="8"/>
      <c r="BD101" s="8"/>
      <c r="BE101" s="8"/>
      <c r="BF101" s="8"/>
      <c r="BG101" s="8"/>
      <c r="BH101" s="8"/>
      <c r="BI101" s="8"/>
      <c r="BJ101" s="8"/>
      <c r="BK101" s="8"/>
      <c r="BL101" s="8"/>
      <c r="BM101" s="8"/>
      <c r="BN101" s="8"/>
    </row>
    <row r="102" spans="1:66">
      <c r="A102" s="17">
        <v>100</v>
      </c>
      <c r="B102" s="18"/>
      <c r="C102" s="19"/>
      <c r="BC102" s="8"/>
      <c r="BD102" s="8"/>
      <c r="BE102" s="8"/>
      <c r="BF102" s="8"/>
      <c r="BG102" s="8"/>
      <c r="BH102" s="8"/>
      <c r="BI102" s="8"/>
      <c r="BJ102" s="8"/>
      <c r="BK102" s="8"/>
      <c r="BL102" s="8"/>
      <c r="BM102" s="8"/>
      <c r="BN102" s="8"/>
    </row>
    <row r="103" spans="1:66">
      <c r="A103" s="45" t="s">
        <v>45</v>
      </c>
    </row>
  </sheetData>
  <dataConsolidate/>
  <mergeCells count="4">
    <mergeCell ref="F2:G2"/>
    <mergeCell ref="I4:J4"/>
    <mergeCell ref="K4:L4"/>
    <mergeCell ref="M4:N4"/>
  </mergeCells>
  <pageMargins left="0.75" right="0.75" top="1" bottom="1" header="0.5" footer="0.5"/>
  <pageSetup orientation="portrait" horizontalDpi="200" verticalDpi="200"/>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A86CF-5905-46B3-9421-82AEE7EF3B17}">
  <sheetPr codeName="Sheet7"/>
  <dimension ref="A1:BN167"/>
  <sheetViews>
    <sheetView showGridLines="0" workbookViewId="0">
      <selection activeCell="M6" sqref="M6"/>
    </sheetView>
  </sheetViews>
  <sheetFormatPr defaultColWidth="10" defaultRowHeight="15.6"/>
  <cols>
    <col min="1" max="1" width="8.88671875" style="17" customWidth="1"/>
    <col min="2" max="2" width="11.77734375" style="6" customWidth="1"/>
    <col min="3" max="3" width="11.77734375" style="7" customWidth="1"/>
    <col min="4" max="4" width="8.44140625" style="8" customWidth="1"/>
    <col min="5" max="5" width="8.44140625" style="9" customWidth="1"/>
    <col min="6" max="6" width="12.88671875" style="10" customWidth="1"/>
    <col min="7" max="7" width="10" style="9"/>
    <col min="8" max="8" width="7.33203125" style="9" customWidth="1"/>
    <col min="9" max="14" width="11.21875" style="9" customWidth="1"/>
    <col min="15" max="17" width="10" style="9"/>
    <col min="18" max="19" width="10" style="8"/>
    <col min="20" max="20" width="15.77734375" style="8" customWidth="1"/>
    <col min="21" max="22" width="12.44140625" style="8" customWidth="1"/>
    <col min="23" max="54" width="10" style="8"/>
    <col min="55" max="256" width="10" style="9"/>
    <col min="257" max="257" width="8.88671875" style="9" customWidth="1"/>
    <col min="258" max="259" width="11.77734375" style="9" customWidth="1"/>
    <col min="260" max="261" width="8.44140625" style="9" customWidth="1"/>
    <col min="262" max="262" width="12.88671875" style="9" customWidth="1"/>
    <col min="263" max="263" width="10" style="9"/>
    <col min="264" max="264" width="7.33203125" style="9" customWidth="1"/>
    <col min="265" max="270" width="11.21875" style="9" customWidth="1"/>
    <col min="271" max="275" width="10" style="9"/>
    <col min="276" max="276" width="15.77734375" style="9" customWidth="1"/>
    <col min="277" max="278" width="12.44140625" style="9" customWidth="1"/>
    <col min="279" max="512" width="10" style="9"/>
    <col min="513" max="513" width="8.88671875" style="9" customWidth="1"/>
    <col min="514" max="515" width="11.77734375" style="9" customWidth="1"/>
    <col min="516" max="517" width="8.44140625" style="9" customWidth="1"/>
    <col min="518" max="518" width="12.88671875" style="9" customWidth="1"/>
    <col min="519" max="519" width="10" style="9"/>
    <col min="520" max="520" width="7.33203125" style="9" customWidth="1"/>
    <col min="521" max="526" width="11.21875" style="9" customWidth="1"/>
    <col min="527" max="531" width="10" style="9"/>
    <col min="532" max="532" width="15.77734375" style="9" customWidth="1"/>
    <col min="533" max="534" width="12.44140625" style="9" customWidth="1"/>
    <col min="535" max="768" width="10" style="9"/>
    <col min="769" max="769" width="8.88671875" style="9" customWidth="1"/>
    <col min="770" max="771" width="11.77734375" style="9" customWidth="1"/>
    <col min="772" max="773" width="8.44140625" style="9" customWidth="1"/>
    <col min="774" max="774" width="12.88671875" style="9" customWidth="1"/>
    <col min="775" max="775" width="10" style="9"/>
    <col min="776" max="776" width="7.33203125" style="9" customWidth="1"/>
    <col min="777" max="782" width="11.21875" style="9" customWidth="1"/>
    <col min="783" max="787" width="10" style="9"/>
    <col min="788" max="788" width="15.77734375" style="9" customWidth="1"/>
    <col min="789" max="790" width="12.44140625" style="9" customWidth="1"/>
    <col min="791" max="1024" width="10" style="9"/>
    <col min="1025" max="1025" width="8.88671875" style="9" customWidth="1"/>
    <col min="1026" max="1027" width="11.77734375" style="9" customWidth="1"/>
    <col min="1028" max="1029" width="8.44140625" style="9" customWidth="1"/>
    <col min="1030" max="1030" width="12.88671875" style="9" customWidth="1"/>
    <col min="1031" max="1031" width="10" style="9"/>
    <col min="1032" max="1032" width="7.33203125" style="9" customWidth="1"/>
    <col min="1033" max="1038" width="11.21875" style="9" customWidth="1"/>
    <col min="1039" max="1043" width="10" style="9"/>
    <col min="1044" max="1044" width="15.77734375" style="9" customWidth="1"/>
    <col min="1045" max="1046" width="12.44140625" style="9" customWidth="1"/>
    <col min="1047" max="1280" width="10" style="9"/>
    <col min="1281" max="1281" width="8.88671875" style="9" customWidth="1"/>
    <col min="1282" max="1283" width="11.77734375" style="9" customWidth="1"/>
    <col min="1284" max="1285" width="8.44140625" style="9" customWidth="1"/>
    <col min="1286" max="1286" width="12.88671875" style="9" customWidth="1"/>
    <col min="1287" max="1287" width="10" style="9"/>
    <col min="1288" max="1288" width="7.33203125" style="9" customWidth="1"/>
    <col min="1289" max="1294" width="11.21875" style="9" customWidth="1"/>
    <col min="1295" max="1299" width="10" style="9"/>
    <col min="1300" max="1300" width="15.77734375" style="9" customWidth="1"/>
    <col min="1301" max="1302" width="12.44140625" style="9" customWidth="1"/>
    <col min="1303" max="1536" width="10" style="9"/>
    <col min="1537" max="1537" width="8.88671875" style="9" customWidth="1"/>
    <col min="1538" max="1539" width="11.77734375" style="9" customWidth="1"/>
    <col min="1540" max="1541" width="8.44140625" style="9" customWidth="1"/>
    <col min="1542" max="1542" width="12.88671875" style="9" customWidth="1"/>
    <col min="1543" max="1543" width="10" style="9"/>
    <col min="1544" max="1544" width="7.33203125" style="9" customWidth="1"/>
    <col min="1545" max="1550" width="11.21875" style="9" customWidth="1"/>
    <col min="1551" max="1555" width="10" style="9"/>
    <col min="1556" max="1556" width="15.77734375" style="9" customWidth="1"/>
    <col min="1557" max="1558" width="12.44140625" style="9" customWidth="1"/>
    <col min="1559" max="1792" width="10" style="9"/>
    <col min="1793" max="1793" width="8.88671875" style="9" customWidth="1"/>
    <col min="1794" max="1795" width="11.77734375" style="9" customWidth="1"/>
    <col min="1796" max="1797" width="8.44140625" style="9" customWidth="1"/>
    <col min="1798" max="1798" width="12.88671875" style="9" customWidth="1"/>
    <col min="1799" max="1799" width="10" style="9"/>
    <col min="1800" max="1800" width="7.33203125" style="9" customWidth="1"/>
    <col min="1801" max="1806" width="11.21875" style="9" customWidth="1"/>
    <col min="1807" max="1811" width="10" style="9"/>
    <col min="1812" max="1812" width="15.77734375" style="9" customWidth="1"/>
    <col min="1813" max="1814" width="12.44140625" style="9" customWidth="1"/>
    <col min="1815" max="2048" width="10" style="9"/>
    <col min="2049" max="2049" width="8.88671875" style="9" customWidth="1"/>
    <col min="2050" max="2051" width="11.77734375" style="9" customWidth="1"/>
    <col min="2052" max="2053" width="8.44140625" style="9" customWidth="1"/>
    <col min="2054" max="2054" width="12.88671875" style="9" customWidth="1"/>
    <col min="2055" max="2055" width="10" style="9"/>
    <col min="2056" max="2056" width="7.33203125" style="9" customWidth="1"/>
    <col min="2057" max="2062" width="11.21875" style="9" customWidth="1"/>
    <col min="2063" max="2067" width="10" style="9"/>
    <col min="2068" max="2068" width="15.77734375" style="9" customWidth="1"/>
    <col min="2069" max="2070" width="12.44140625" style="9" customWidth="1"/>
    <col min="2071" max="2304" width="10" style="9"/>
    <col min="2305" max="2305" width="8.88671875" style="9" customWidth="1"/>
    <col min="2306" max="2307" width="11.77734375" style="9" customWidth="1"/>
    <col min="2308" max="2309" width="8.44140625" style="9" customWidth="1"/>
    <col min="2310" max="2310" width="12.88671875" style="9" customWidth="1"/>
    <col min="2311" max="2311" width="10" style="9"/>
    <col min="2312" max="2312" width="7.33203125" style="9" customWidth="1"/>
    <col min="2313" max="2318" width="11.21875" style="9" customWidth="1"/>
    <col min="2319" max="2323" width="10" style="9"/>
    <col min="2324" max="2324" width="15.77734375" style="9" customWidth="1"/>
    <col min="2325" max="2326" width="12.44140625" style="9" customWidth="1"/>
    <col min="2327" max="2560" width="10" style="9"/>
    <col min="2561" max="2561" width="8.88671875" style="9" customWidth="1"/>
    <col min="2562" max="2563" width="11.77734375" style="9" customWidth="1"/>
    <col min="2564" max="2565" width="8.44140625" style="9" customWidth="1"/>
    <col min="2566" max="2566" width="12.88671875" style="9" customWidth="1"/>
    <col min="2567" max="2567" width="10" style="9"/>
    <col min="2568" max="2568" width="7.33203125" style="9" customWidth="1"/>
    <col min="2569" max="2574" width="11.21875" style="9" customWidth="1"/>
    <col min="2575" max="2579" width="10" style="9"/>
    <col min="2580" max="2580" width="15.77734375" style="9" customWidth="1"/>
    <col min="2581" max="2582" width="12.44140625" style="9" customWidth="1"/>
    <col min="2583" max="2816" width="10" style="9"/>
    <col min="2817" max="2817" width="8.88671875" style="9" customWidth="1"/>
    <col min="2818" max="2819" width="11.77734375" style="9" customWidth="1"/>
    <col min="2820" max="2821" width="8.44140625" style="9" customWidth="1"/>
    <col min="2822" max="2822" width="12.88671875" style="9" customWidth="1"/>
    <col min="2823" max="2823" width="10" style="9"/>
    <col min="2824" max="2824" width="7.33203125" style="9" customWidth="1"/>
    <col min="2825" max="2830" width="11.21875" style="9" customWidth="1"/>
    <col min="2831" max="2835" width="10" style="9"/>
    <col min="2836" max="2836" width="15.77734375" style="9" customWidth="1"/>
    <col min="2837" max="2838" width="12.44140625" style="9" customWidth="1"/>
    <col min="2839" max="3072" width="10" style="9"/>
    <col min="3073" max="3073" width="8.88671875" style="9" customWidth="1"/>
    <col min="3074" max="3075" width="11.77734375" style="9" customWidth="1"/>
    <col min="3076" max="3077" width="8.44140625" style="9" customWidth="1"/>
    <col min="3078" max="3078" width="12.88671875" style="9" customWidth="1"/>
    <col min="3079" max="3079" width="10" style="9"/>
    <col min="3080" max="3080" width="7.33203125" style="9" customWidth="1"/>
    <col min="3081" max="3086" width="11.21875" style="9" customWidth="1"/>
    <col min="3087" max="3091" width="10" style="9"/>
    <col min="3092" max="3092" width="15.77734375" style="9" customWidth="1"/>
    <col min="3093" max="3094" width="12.44140625" style="9" customWidth="1"/>
    <col min="3095" max="3328" width="10" style="9"/>
    <col min="3329" max="3329" width="8.88671875" style="9" customWidth="1"/>
    <col min="3330" max="3331" width="11.77734375" style="9" customWidth="1"/>
    <col min="3332" max="3333" width="8.44140625" style="9" customWidth="1"/>
    <col min="3334" max="3334" width="12.88671875" style="9" customWidth="1"/>
    <col min="3335" max="3335" width="10" style="9"/>
    <col min="3336" max="3336" width="7.33203125" style="9" customWidth="1"/>
    <col min="3337" max="3342" width="11.21875" style="9" customWidth="1"/>
    <col min="3343" max="3347" width="10" style="9"/>
    <col min="3348" max="3348" width="15.77734375" style="9" customWidth="1"/>
    <col min="3349" max="3350" width="12.44140625" style="9" customWidth="1"/>
    <col min="3351" max="3584" width="10" style="9"/>
    <col min="3585" max="3585" width="8.88671875" style="9" customWidth="1"/>
    <col min="3586" max="3587" width="11.77734375" style="9" customWidth="1"/>
    <col min="3588" max="3589" width="8.44140625" style="9" customWidth="1"/>
    <col min="3590" max="3590" width="12.88671875" style="9" customWidth="1"/>
    <col min="3591" max="3591" width="10" style="9"/>
    <col min="3592" max="3592" width="7.33203125" style="9" customWidth="1"/>
    <col min="3593" max="3598" width="11.21875" style="9" customWidth="1"/>
    <col min="3599" max="3603" width="10" style="9"/>
    <col min="3604" max="3604" width="15.77734375" style="9" customWidth="1"/>
    <col min="3605" max="3606" width="12.44140625" style="9" customWidth="1"/>
    <col min="3607" max="3840" width="10" style="9"/>
    <col min="3841" max="3841" width="8.88671875" style="9" customWidth="1"/>
    <col min="3842" max="3843" width="11.77734375" style="9" customWidth="1"/>
    <col min="3844" max="3845" width="8.44140625" style="9" customWidth="1"/>
    <col min="3846" max="3846" width="12.88671875" style="9" customWidth="1"/>
    <col min="3847" max="3847" width="10" style="9"/>
    <col min="3848" max="3848" width="7.33203125" style="9" customWidth="1"/>
    <col min="3849" max="3854" width="11.21875" style="9" customWidth="1"/>
    <col min="3855" max="3859" width="10" style="9"/>
    <col min="3860" max="3860" width="15.77734375" style="9" customWidth="1"/>
    <col min="3861" max="3862" width="12.44140625" style="9" customWidth="1"/>
    <col min="3863" max="4096" width="10" style="9"/>
    <col min="4097" max="4097" width="8.88671875" style="9" customWidth="1"/>
    <col min="4098" max="4099" width="11.77734375" style="9" customWidth="1"/>
    <col min="4100" max="4101" width="8.44140625" style="9" customWidth="1"/>
    <col min="4102" max="4102" width="12.88671875" style="9" customWidth="1"/>
    <col min="4103" max="4103" width="10" style="9"/>
    <col min="4104" max="4104" width="7.33203125" style="9" customWidth="1"/>
    <col min="4105" max="4110" width="11.21875" style="9" customWidth="1"/>
    <col min="4111" max="4115" width="10" style="9"/>
    <col min="4116" max="4116" width="15.77734375" style="9" customWidth="1"/>
    <col min="4117" max="4118" width="12.44140625" style="9" customWidth="1"/>
    <col min="4119" max="4352" width="10" style="9"/>
    <col min="4353" max="4353" width="8.88671875" style="9" customWidth="1"/>
    <col min="4354" max="4355" width="11.77734375" style="9" customWidth="1"/>
    <col min="4356" max="4357" width="8.44140625" style="9" customWidth="1"/>
    <col min="4358" max="4358" width="12.88671875" style="9" customWidth="1"/>
    <col min="4359" max="4359" width="10" style="9"/>
    <col min="4360" max="4360" width="7.33203125" style="9" customWidth="1"/>
    <col min="4361" max="4366" width="11.21875" style="9" customWidth="1"/>
    <col min="4367" max="4371" width="10" style="9"/>
    <col min="4372" max="4372" width="15.77734375" style="9" customWidth="1"/>
    <col min="4373" max="4374" width="12.44140625" style="9" customWidth="1"/>
    <col min="4375" max="4608" width="10" style="9"/>
    <col min="4609" max="4609" width="8.88671875" style="9" customWidth="1"/>
    <col min="4610" max="4611" width="11.77734375" style="9" customWidth="1"/>
    <col min="4612" max="4613" width="8.44140625" style="9" customWidth="1"/>
    <col min="4614" max="4614" width="12.88671875" style="9" customWidth="1"/>
    <col min="4615" max="4615" width="10" style="9"/>
    <col min="4616" max="4616" width="7.33203125" style="9" customWidth="1"/>
    <col min="4617" max="4622" width="11.21875" style="9" customWidth="1"/>
    <col min="4623" max="4627" width="10" style="9"/>
    <col min="4628" max="4628" width="15.77734375" style="9" customWidth="1"/>
    <col min="4629" max="4630" width="12.44140625" style="9" customWidth="1"/>
    <col min="4631" max="4864" width="10" style="9"/>
    <col min="4865" max="4865" width="8.88671875" style="9" customWidth="1"/>
    <col min="4866" max="4867" width="11.77734375" style="9" customWidth="1"/>
    <col min="4868" max="4869" width="8.44140625" style="9" customWidth="1"/>
    <col min="4870" max="4870" width="12.88671875" style="9" customWidth="1"/>
    <col min="4871" max="4871" width="10" style="9"/>
    <col min="4872" max="4872" width="7.33203125" style="9" customWidth="1"/>
    <col min="4873" max="4878" width="11.21875" style="9" customWidth="1"/>
    <col min="4879" max="4883" width="10" style="9"/>
    <col min="4884" max="4884" width="15.77734375" style="9" customWidth="1"/>
    <col min="4885" max="4886" width="12.44140625" style="9" customWidth="1"/>
    <col min="4887" max="5120" width="10" style="9"/>
    <col min="5121" max="5121" width="8.88671875" style="9" customWidth="1"/>
    <col min="5122" max="5123" width="11.77734375" style="9" customWidth="1"/>
    <col min="5124" max="5125" width="8.44140625" style="9" customWidth="1"/>
    <col min="5126" max="5126" width="12.88671875" style="9" customWidth="1"/>
    <col min="5127" max="5127" width="10" style="9"/>
    <col min="5128" max="5128" width="7.33203125" style="9" customWidth="1"/>
    <col min="5129" max="5134" width="11.21875" style="9" customWidth="1"/>
    <col min="5135" max="5139" width="10" style="9"/>
    <col min="5140" max="5140" width="15.77734375" style="9" customWidth="1"/>
    <col min="5141" max="5142" width="12.44140625" style="9" customWidth="1"/>
    <col min="5143" max="5376" width="10" style="9"/>
    <col min="5377" max="5377" width="8.88671875" style="9" customWidth="1"/>
    <col min="5378" max="5379" width="11.77734375" style="9" customWidth="1"/>
    <col min="5380" max="5381" width="8.44140625" style="9" customWidth="1"/>
    <col min="5382" max="5382" width="12.88671875" style="9" customWidth="1"/>
    <col min="5383" max="5383" width="10" style="9"/>
    <col min="5384" max="5384" width="7.33203125" style="9" customWidth="1"/>
    <col min="5385" max="5390" width="11.21875" style="9" customWidth="1"/>
    <col min="5391" max="5395" width="10" style="9"/>
    <col min="5396" max="5396" width="15.77734375" style="9" customWidth="1"/>
    <col min="5397" max="5398" width="12.44140625" style="9" customWidth="1"/>
    <col min="5399" max="5632" width="10" style="9"/>
    <col min="5633" max="5633" width="8.88671875" style="9" customWidth="1"/>
    <col min="5634" max="5635" width="11.77734375" style="9" customWidth="1"/>
    <col min="5636" max="5637" width="8.44140625" style="9" customWidth="1"/>
    <col min="5638" max="5638" width="12.88671875" style="9" customWidth="1"/>
    <col min="5639" max="5639" width="10" style="9"/>
    <col min="5640" max="5640" width="7.33203125" style="9" customWidth="1"/>
    <col min="5641" max="5646" width="11.21875" style="9" customWidth="1"/>
    <col min="5647" max="5651" width="10" style="9"/>
    <col min="5652" max="5652" width="15.77734375" style="9" customWidth="1"/>
    <col min="5653" max="5654" width="12.44140625" style="9" customWidth="1"/>
    <col min="5655" max="5888" width="10" style="9"/>
    <col min="5889" max="5889" width="8.88671875" style="9" customWidth="1"/>
    <col min="5890" max="5891" width="11.77734375" style="9" customWidth="1"/>
    <col min="5892" max="5893" width="8.44140625" style="9" customWidth="1"/>
    <col min="5894" max="5894" width="12.88671875" style="9" customWidth="1"/>
    <col min="5895" max="5895" width="10" style="9"/>
    <col min="5896" max="5896" width="7.33203125" style="9" customWidth="1"/>
    <col min="5897" max="5902" width="11.21875" style="9" customWidth="1"/>
    <col min="5903" max="5907" width="10" style="9"/>
    <col min="5908" max="5908" width="15.77734375" style="9" customWidth="1"/>
    <col min="5909" max="5910" width="12.44140625" style="9" customWidth="1"/>
    <col min="5911" max="6144" width="10" style="9"/>
    <col min="6145" max="6145" width="8.88671875" style="9" customWidth="1"/>
    <col min="6146" max="6147" width="11.77734375" style="9" customWidth="1"/>
    <col min="6148" max="6149" width="8.44140625" style="9" customWidth="1"/>
    <col min="6150" max="6150" width="12.88671875" style="9" customWidth="1"/>
    <col min="6151" max="6151" width="10" style="9"/>
    <col min="6152" max="6152" width="7.33203125" style="9" customWidth="1"/>
    <col min="6153" max="6158" width="11.21875" style="9" customWidth="1"/>
    <col min="6159" max="6163" width="10" style="9"/>
    <col min="6164" max="6164" width="15.77734375" style="9" customWidth="1"/>
    <col min="6165" max="6166" width="12.44140625" style="9" customWidth="1"/>
    <col min="6167" max="6400" width="10" style="9"/>
    <col min="6401" max="6401" width="8.88671875" style="9" customWidth="1"/>
    <col min="6402" max="6403" width="11.77734375" style="9" customWidth="1"/>
    <col min="6404" max="6405" width="8.44140625" style="9" customWidth="1"/>
    <col min="6406" max="6406" width="12.88671875" style="9" customWidth="1"/>
    <col min="6407" max="6407" width="10" style="9"/>
    <col min="6408" max="6408" width="7.33203125" style="9" customWidth="1"/>
    <col min="6409" max="6414" width="11.21875" style="9" customWidth="1"/>
    <col min="6415" max="6419" width="10" style="9"/>
    <col min="6420" max="6420" width="15.77734375" style="9" customWidth="1"/>
    <col min="6421" max="6422" width="12.44140625" style="9" customWidth="1"/>
    <col min="6423" max="6656" width="10" style="9"/>
    <col min="6657" max="6657" width="8.88671875" style="9" customWidth="1"/>
    <col min="6658" max="6659" width="11.77734375" style="9" customWidth="1"/>
    <col min="6660" max="6661" width="8.44140625" style="9" customWidth="1"/>
    <col min="6662" max="6662" width="12.88671875" style="9" customWidth="1"/>
    <col min="6663" max="6663" width="10" style="9"/>
    <col min="6664" max="6664" width="7.33203125" style="9" customWidth="1"/>
    <col min="6665" max="6670" width="11.21875" style="9" customWidth="1"/>
    <col min="6671" max="6675" width="10" style="9"/>
    <col min="6676" max="6676" width="15.77734375" style="9" customWidth="1"/>
    <col min="6677" max="6678" width="12.44140625" style="9" customWidth="1"/>
    <col min="6679" max="6912" width="10" style="9"/>
    <col min="6913" max="6913" width="8.88671875" style="9" customWidth="1"/>
    <col min="6914" max="6915" width="11.77734375" style="9" customWidth="1"/>
    <col min="6916" max="6917" width="8.44140625" style="9" customWidth="1"/>
    <col min="6918" max="6918" width="12.88671875" style="9" customWidth="1"/>
    <col min="6919" max="6919" width="10" style="9"/>
    <col min="6920" max="6920" width="7.33203125" style="9" customWidth="1"/>
    <col min="6921" max="6926" width="11.21875" style="9" customWidth="1"/>
    <col min="6927" max="6931" width="10" style="9"/>
    <col min="6932" max="6932" width="15.77734375" style="9" customWidth="1"/>
    <col min="6933" max="6934" width="12.44140625" style="9" customWidth="1"/>
    <col min="6935" max="7168" width="10" style="9"/>
    <col min="7169" max="7169" width="8.88671875" style="9" customWidth="1"/>
    <col min="7170" max="7171" width="11.77734375" style="9" customWidth="1"/>
    <col min="7172" max="7173" width="8.44140625" style="9" customWidth="1"/>
    <col min="7174" max="7174" width="12.88671875" style="9" customWidth="1"/>
    <col min="7175" max="7175" width="10" style="9"/>
    <col min="7176" max="7176" width="7.33203125" style="9" customWidth="1"/>
    <col min="7177" max="7182" width="11.21875" style="9" customWidth="1"/>
    <col min="7183" max="7187" width="10" style="9"/>
    <col min="7188" max="7188" width="15.77734375" style="9" customWidth="1"/>
    <col min="7189" max="7190" width="12.44140625" style="9" customWidth="1"/>
    <col min="7191" max="7424" width="10" style="9"/>
    <col min="7425" max="7425" width="8.88671875" style="9" customWidth="1"/>
    <col min="7426" max="7427" width="11.77734375" style="9" customWidth="1"/>
    <col min="7428" max="7429" width="8.44140625" style="9" customWidth="1"/>
    <col min="7430" max="7430" width="12.88671875" style="9" customWidth="1"/>
    <col min="7431" max="7431" width="10" style="9"/>
    <col min="7432" max="7432" width="7.33203125" style="9" customWidth="1"/>
    <col min="7433" max="7438" width="11.21875" style="9" customWidth="1"/>
    <col min="7439" max="7443" width="10" style="9"/>
    <col min="7444" max="7444" width="15.77734375" style="9" customWidth="1"/>
    <col min="7445" max="7446" width="12.44140625" style="9" customWidth="1"/>
    <col min="7447" max="7680" width="10" style="9"/>
    <col min="7681" max="7681" width="8.88671875" style="9" customWidth="1"/>
    <col min="7682" max="7683" width="11.77734375" style="9" customWidth="1"/>
    <col min="7684" max="7685" width="8.44140625" style="9" customWidth="1"/>
    <col min="7686" max="7686" width="12.88671875" style="9" customWidth="1"/>
    <col min="7687" max="7687" width="10" style="9"/>
    <col min="7688" max="7688" width="7.33203125" style="9" customWidth="1"/>
    <col min="7689" max="7694" width="11.21875" style="9" customWidth="1"/>
    <col min="7695" max="7699" width="10" style="9"/>
    <col min="7700" max="7700" width="15.77734375" style="9" customWidth="1"/>
    <col min="7701" max="7702" width="12.44140625" style="9" customWidth="1"/>
    <col min="7703" max="7936" width="10" style="9"/>
    <col min="7937" max="7937" width="8.88671875" style="9" customWidth="1"/>
    <col min="7938" max="7939" width="11.77734375" style="9" customWidth="1"/>
    <col min="7940" max="7941" width="8.44140625" style="9" customWidth="1"/>
    <col min="7942" max="7942" width="12.88671875" style="9" customWidth="1"/>
    <col min="7943" max="7943" width="10" style="9"/>
    <col min="7944" max="7944" width="7.33203125" style="9" customWidth="1"/>
    <col min="7945" max="7950" width="11.21875" style="9" customWidth="1"/>
    <col min="7951" max="7955" width="10" style="9"/>
    <col min="7956" max="7956" width="15.77734375" style="9" customWidth="1"/>
    <col min="7957" max="7958" width="12.44140625" style="9" customWidth="1"/>
    <col min="7959" max="8192" width="10" style="9"/>
    <col min="8193" max="8193" width="8.88671875" style="9" customWidth="1"/>
    <col min="8194" max="8195" width="11.77734375" style="9" customWidth="1"/>
    <col min="8196" max="8197" width="8.44140625" style="9" customWidth="1"/>
    <col min="8198" max="8198" width="12.88671875" style="9" customWidth="1"/>
    <col min="8199" max="8199" width="10" style="9"/>
    <col min="8200" max="8200" width="7.33203125" style="9" customWidth="1"/>
    <col min="8201" max="8206" width="11.21875" style="9" customWidth="1"/>
    <col min="8207" max="8211" width="10" style="9"/>
    <col min="8212" max="8212" width="15.77734375" style="9" customWidth="1"/>
    <col min="8213" max="8214" width="12.44140625" style="9" customWidth="1"/>
    <col min="8215" max="8448" width="10" style="9"/>
    <col min="8449" max="8449" width="8.88671875" style="9" customWidth="1"/>
    <col min="8450" max="8451" width="11.77734375" style="9" customWidth="1"/>
    <col min="8452" max="8453" width="8.44140625" style="9" customWidth="1"/>
    <col min="8454" max="8454" width="12.88671875" style="9" customWidth="1"/>
    <col min="8455" max="8455" width="10" style="9"/>
    <col min="8456" max="8456" width="7.33203125" style="9" customWidth="1"/>
    <col min="8457" max="8462" width="11.21875" style="9" customWidth="1"/>
    <col min="8463" max="8467" width="10" style="9"/>
    <col min="8468" max="8468" width="15.77734375" style="9" customWidth="1"/>
    <col min="8469" max="8470" width="12.44140625" style="9" customWidth="1"/>
    <col min="8471" max="8704" width="10" style="9"/>
    <col min="8705" max="8705" width="8.88671875" style="9" customWidth="1"/>
    <col min="8706" max="8707" width="11.77734375" style="9" customWidth="1"/>
    <col min="8708" max="8709" width="8.44140625" style="9" customWidth="1"/>
    <col min="8710" max="8710" width="12.88671875" style="9" customWidth="1"/>
    <col min="8711" max="8711" width="10" style="9"/>
    <col min="8712" max="8712" width="7.33203125" style="9" customWidth="1"/>
    <col min="8713" max="8718" width="11.21875" style="9" customWidth="1"/>
    <col min="8719" max="8723" width="10" style="9"/>
    <col min="8724" max="8724" width="15.77734375" style="9" customWidth="1"/>
    <col min="8725" max="8726" width="12.44140625" style="9" customWidth="1"/>
    <col min="8727" max="8960" width="10" style="9"/>
    <col min="8961" max="8961" width="8.88671875" style="9" customWidth="1"/>
    <col min="8962" max="8963" width="11.77734375" style="9" customWidth="1"/>
    <col min="8964" max="8965" width="8.44140625" style="9" customWidth="1"/>
    <col min="8966" max="8966" width="12.88671875" style="9" customWidth="1"/>
    <col min="8967" max="8967" width="10" style="9"/>
    <col min="8968" max="8968" width="7.33203125" style="9" customWidth="1"/>
    <col min="8969" max="8974" width="11.21875" style="9" customWidth="1"/>
    <col min="8975" max="8979" width="10" style="9"/>
    <col min="8980" max="8980" width="15.77734375" style="9" customWidth="1"/>
    <col min="8981" max="8982" width="12.44140625" style="9" customWidth="1"/>
    <col min="8983" max="9216" width="10" style="9"/>
    <col min="9217" max="9217" width="8.88671875" style="9" customWidth="1"/>
    <col min="9218" max="9219" width="11.77734375" style="9" customWidth="1"/>
    <col min="9220" max="9221" width="8.44140625" style="9" customWidth="1"/>
    <col min="9222" max="9222" width="12.88671875" style="9" customWidth="1"/>
    <col min="9223" max="9223" width="10" style="9"/>
    <col min="9224" max="9224" width="7.33203125" style="9" customWidth="1"/>
    <col min="9225" max="9230" width="11.21875" style="9" customWidth="1"/>
    <col min="9231" max="9235" width="10" style="9"/>
    <col min="9236" max="9236" width="15.77734375" style="9" customWidth="1"/>
    <col min="9237" max="9238" width="12.44140625" style="9" customWidth="1"/>
    <col min="9239" max="9472" width="10" style="9"/>
    <col min="9473" max="9473" width="8.88671875" style="9" customWidth="1"/>
    <col min="9474" max="9475" width="11.77734375" style="9" customWidth="1"/>
    <col min="9476" max="9477" width="8.44140625" style="9" customWidth="1"/>
    <col min="9478" max="9478" width="12.88671875" style="9" customWidth="1"/>
    <col min="9479" max="9479" width="10" style="9"/>
    <col min="9480" max="9480" width="7.33203125" style="9" customWidth="1"/>
    <col min="9481" max="9486" width="11.21875" style="9" customWidth="1"/>
    <col min="9487" max="9491" width="10" style="9"/>
    <col min="9492" max="9492" width="15.77734375" style="9" customWidth="1"/>
    <col min="9493" max="9494" width="12.44140625" style="9" customWidth="1"/>
    <col min="9495" max="9728" width="10" style="9"/>
    <col min="9729" max="9729" width="8.88671875" style="9" customWidth="1"/>
    <col min="9730" max="9731" width="11.77734375" style="9" customWidth="1"/>
    <col min="9732" max="9733" width="8.44140625" style="9" customWidth="1"/>
    <col min="9734" max="9734" width="12.88671875" style="9" customWidth="1"/>
    <col min="9735" max="9735" width="10" style="9"/>
    <col min="9736" max="9736" width="7.33203125" style="9" customWidth="1"/>
    <col min="9737" max="9742" width="11.21875" style="9" customWidth="1"/>
    <col min="9743" max="9747" width="10" style="9"/>
    <col min="9748" max="9748" width="15.77734375" style="9" customWidth="1"/>
    <col min="9749" max="9750" width="12.44140625" style="9" customWidth="1"/>
    <col min="9751" max="9984" width="10" style="9"/>
    <col min="9985" max="9985" width="8.88671875" style="9" customWidth="1"/>
    <col min="9986" max="9987" width="11.77734375" style="9" customWidth="1"/>
    <col min="9988" max="9989" width="8.44140625" style="9" customWidth="1"/>
    <col min="9990" max="9990" width="12.88671875" style="9" customWidth="1"/>
    <col min="9991" max="9991" width="10" style="9"/>
    <col min="9992" max="9992" width="7.33203125" style="9" customWidth="1"/>
    <col min="9993" max="9998" width="11.21875" style="9" customWidth="1"/>
    <col min="9999" max="10003" width="10" style="9"/>
    <col min="10004" max="10004" width="15.77734375" style="9" customWidth="1"/>
    <col min="10005" max="10006" width="12.44140625" style="9" customWidth="1"/>
    <col min="10007" max="10240" width="10" style="9"/>
    <col min="10241" max="10241" width="8.88671875" style="9" customWidth="1"/>
    <col min="10242" max="10243" width="11.77734375" style="9" customWidth="1"/>
    <col min="10244" max="10245" width="8.44140625" style="9" customWidth="1"/>
    <col min="10246" max="10246" width="12.88671875" style="9" customWidth="1"/>
    <col min="10247" max="10247" width="10" style="9"/>
    <col min="10248" max="10248" width="7.33203125" style="9" customWidth="1"/>
    <col min="10249" max="10254" width="11.21875" style="9" customWidth="1"/>
    <col min="10255" max="10259" width="10" style="9"/>
    <col min="10260" max="10260" width="15.77734375" style="9" customWidth="1"/>
    <col min="10261" max="10262" width="12.44140625" style="9" customWidth="1"/>
    <col min="10263" max="10496" width="10" style="9"/>
    <col min="10497" max="10497" width="8.88671875" style="9" customWidth="1"/>
    <col min="10498" max="10499" width="11.77734375" style="9" customWidth="1"/>
    <col min="10500" max="10501" width="8.44140625" style="9" customWidth="1"/>
    <col min="10502" max="10502" width="12.88671875" style="9" customWidth="1"/>
    <col min="10503" max="10503" width="10" style="9"/>
    <col min="10504" max="10504" width="7.33203125" style="9" customWidth="1"/>
    <col min="10505" max="10510" width="11.21875" style="9" customWidth="1"/>
    <col min="10511" max="10515" width="10" style="9"/>
    <col min="10516" max="10516" width="15.77734375" style="9" customWidth="1"/>
    <col min="10517" max="10518" width="12.44140625" style="9" customWidth="1"/>
    <col min="10519" max="10752" width="10" style="9"/>
    <col min="10753" max="10753" width="8.88671875" style="9" customWidth="1"/>
    <col min="10754" max="10755" width="11.77734375" style="9" customWidth="1"/>
    <col min="10756" max="10757" width="8.44140625" style="9" customWidth="1"/>
    <col min="10758" max="10758" width="12.88671875" style="9" customWidth="1"/>
    <col min="10759" max="10759" width="10" style="9"/>
    <col min="10760" max="10760" width="7.33203125" style="9" customWidth="1"/>
    <col min="10761" max="10766" width="11.21875" style="9" customWidth="1"/>
    <col min="10767" max="10771" width="10" style="9"/>
    <col min="10772" max="10772" width="15.77734375" style="9" customWidth="1"/>
    <col min="10773" max="10774" width="12.44140625" style="9" customWidth="1"/>
    <col min="10775" max="11008" width="10" style="9"/>
    <col min="11009" max="11009" width="8.88671875" style="9" customWidth="1"/>
    <col min="11010" max="11011" width="11.77734375" style="9" customWidth="1"/>
    <col min="11012" max="11013" width="8.44140625" style="9" customWidth="1"/>
    <col min="11014" max="11014" width="12.88671875" style="9" customWidth="1"/>
    <col min="11015" max="11015" width="10" style="9"/>
    <col min="11016" max="11016" width="7.33203125" style="9" customWidth="1"/>
    <col min="11017" max="11022" width="11.21875" style="9" customWidth="1"/>
    <col min="11023" max="11027" width="10" style="9"/>
    <col min="11028" max="11028" width="15.77734375" style="9" customWidth="1"/>
    <col min="11029" max="11030" width="12.44140625" style="9" customWidth="1"/>
    <col min="11031" max="11264" width="10" style="9"/>
    <col min="11265" max="11265" width="8.88671875" style="9" customWidth="1"/>
    <col min="11266" max="11267" width="11.77734375" style="9" customWidth="1"/>
    <col min="11268" max="11269" width="8.44140625" style="9" customWidth="1"/>
    <col min="11270" max="11270" width="12.88671875" style="9" customWidth="1"/>
    <col min="11271" max="11271" width="10" style="9"/>
    <col min="11272" max="11272" width="7.33203125" style="9" customWidth="1"/>
    <col min="11273" max="11278" width="11.21875" style="9" customWidth="1"/>
    <col min="11279" max="11283" width="10" style="9"/>
    <col min="11284" max="11284" width="15.77734375" style="9" customWidth="1"/>
    <col min="11285" max="11286" width="12.44140625" style="9" customWidth="1"/>
    <col min="11287" max="11520" width="10" style="9"/>
    <col min="11521" max="11521" width="8.88671875" style="9" customWidth="1"/>
    <col min="11522" max="11523" width="11.77734375" style="9" customWidth="1"/>
    <col min="11524" max="11525" width="8.44140625" style="9" customWidth="1"/>
    <col min="11526" max="11526" width="12.88671875" style="9" customWidth="1"/>
    <col min="11527" max="11527" width="10" style="9"/>
    <col min="11528" max="11528" width="7.33203125" style="9" customWidth="1"/>
    <col min="11529" max="11534" width="11.21875" style="9" customWidth="1"/>
    <col min="11535" max="11539" width="10" style="9"/>
    <col min="11540" max="11540" width="15.77734375" style="9" customWidth="1"/>
    <col min="11541" max="11542" width="12.44140625" style="9" customWidth="1"/>
    <col min="11543" max="11776" width="10" style="9"/>
    <col min="11777" max="11777" width="8.88671875" style="9" customWidth="1"/>
    <col min="11778" max="11779" width="11.77734375" style="9" customWidth="1"/>
    <col min="11780" max="11781" width="8.44140625" style="9" customWidth="1"/>
    <col min="11782" max="11782" width="12.88671875" style="9" customWidth="1"/>
    <col min="11783" max="11783" width="10" style="9"/>
    <col min="11784" max="11784" width="7.33203125" style="9" customWidth="1"/>
    <col min="11785" max="11790" width="11.21875" style="9" customWidth="1"/>
    <col min="11791" max="11795" width="10" style="9"/>
    <col min="11796" max="11796" width="15.77734375" style="9" customWidth="1"/>
    <col min="11797" max="11798" width="12.44140625" style="9" customWidth="1"/>
    <col min="11799" max="12032" width="10" style="9"/>
    <col min="12033" max="12033" width="8.88671875" style="9" customWidth="1"/>
    <col min="12034" max="12035" width="11.77734375" style="9" customWidth="1"/>
    <col min="12036" max="12037" width="8.44140625" style="9" customWidth="1"/>
    <col min="12038" max="12038" width="12.88671875" style="9" customWidth="1"/>
    <col min="12039" max="12039" width="10" style="9"/>
    <col min="12040" max="12040" width="7.33203125" style="9" customWidth="1"/>
    <col min="12041" max="12046" width="11.21875" style="9" customWidth="1"/>
    <col min="12047" max="12051" width="10" style="9"/>
    <col min="12052" max="12052" width="15.77734375" style="9" customWidth="1"/>
    <col min="12053" max="12054" width="12.44140625" style="9" customWidth="1"/>
    <col min="12055" max="12288" width="10" style="9"/>
    <col min="12289" max="12289" width="8.88671875" style="9" customWidth="1"/>
    <col min="12290" max="12291" width="11.77734375" style="9" customWidth="1"/>
    <col min="12292" max="12293" width="8.44140625" style="9" customWidth="1"/>
    <col min="12294" max="12294" width="12.88671875" style="9" customWidth="1"/>
    <col min="12295" max="12295" width="10" style="9"/>
    <col min="12296" max="12296" width="7.33203125" style="9" customWidth="1"/>
    <col min="12297" max="12302" width="11.21875" style="9" customWidth="1"/>
    <col min="12303" max="12307" width="10" style="9"/>
    <col min="12308" max="12308" width="15.77734375" style="9" customWidth="1"/>
    <col min="12309" max="12310" width="12.44140625" style="9" customWidth="1"/>
    <col min="12311" max="12544" width="10" style="9"/>
    <col min="12545" max="12545" width="8.88671875" style="9" customWidth="1"/>
    <col min="12546" max="12547" width="11.77734375" style="9" customWidth="1"/>
    <col min="12548" max="12549" width="8.44140625" style="9" customWidth="1"/>
    <col min="12550" max="12550" width="12.88671875" style="9" customWidth="1"/>
    <col min="12551" max="12551" width="10" style="9"/>
    <col min="12552" max="12552" width="7.33203125" style="9" customWidth="1"/>
    <col min="12553" max="12558" width="11.21875" style="9" customWidth="1"/>
    <col min="12559" max="12563" width="10" style="9"/>
    <col min="12564" max="12564" width="15.77734375" style="9" customWidth="1"/>
    <col min="12565" max="12566" width="12.44140625" style="9" customWidth="1"/>
    <col min="12567" max="12800" width="10" style="9"/>
    <col min="12801" max="12801" width="8.88671875" style="9" customWidth="1"/>
    <col min="12802" max="12803" width="11.77734375" style="9" customWidth="1"/>
    <col min="12804" max="12805" width="8.44140625" style="9" customWidth="1"/>
    <col min="12806" max="12806" width="12.88671875" style="9" customWidth="1"/>
    <col min="12807" max="12807" width="10" style="9"/>
    <col min="12808" max="12808" width="7.33203125" style="9" customWidth="1"/>
    <col min="12809" max="12814" width="11.21875" style="9" customWidth="1"/>
    <col min="12815" max="12819" width="10" style="9"/>
    <col min="12820" max="12820" width="15.77734375" style="9" customWidth="1"/>
    <col min="12821" max="12822" width="12.44140625" style="9" customWidth="1"/>
    <col min="12823" max="13056" width="10" style="9"/>
    <col min="13057" max="13057" width="8.88671875" style="9" customWidth="1"/>
    <col min="13058" max="13059" width="11.77734375" style="9" customWidth="1"/>
    <col min="13060" max="13061" width="8.44140625" style="9" customWidth="1"/>
    <col min="13062" max="13062" width="12.88671875" style="9" customWidth="1"/>
    <col min="13063" max="13063" width="10" style="9"/>
    <col min="13064" max="13064" width="7.33203125" style="9" customWidth="1"/>
    <col min="13065" max="13070" width="11.21875" style="9" customWidth="1"/>
    <col min="13071" max="13075" width="10" style="9"/>
    <col min="13076" max="13076" width="15.77734375" style="9" customWidth="1"/>
    <col min="13077" max="13078" width="12.44140625" style="9" customWidth="1"/>
    <col min="13079" max="13312" width="10" style="9"/>
    <col min="13313" max="13313" width="8.88671875" style="9" customWidth="1"/>
    <col min="13314" max="13315" width="11.77734375" style="9" customWidth="1"/>
    <col min="13316" max="13317" width="8.44140625" style="9" customWidth="1"/>
    <col min="13318" max="13318" width="12.88671875" style="9" customWidth="1"/>
    <col min="13319" max="13319" width="10" style="9"/>
    <col min="13320" max="13320" width="7.33203125" style="9" customWidth="1"/>
    <col min="13321" max="13326" width="11.21875" style="9" customWidth="1"/>
    <col min="13327" max="13331" width="10" style="9"/>
    <col min="13332" max="13332" width="15.77734375" style="9" customWidth="1"/>
    <col min="13333" max="13334" width="12.44140625" style="9" customWidth="1"/>
    <col min="13335" max="13568" width="10" style="9"/>
    <col min="13569" max="13569" width="8.88671875" style="9" customWidth="1"/>
    <col min="13570" max="13571" width="11.77734375" style="9" customWidth="1"/>
    <col min="13572" max="13573" width="8.44140625" style="9" customWidth="1"/>
    <col min="13574" max="13574" width="12.88671875" style="9" customWidth="1"/>
    <col min="13575" max="13575" width="10" style="9"/>
    <col min="13576" max="13576" width="7.33203125" style="9" customWidth="1"/>
    <col min="13577" max="13582" width="11.21875" style="9" customWidth="1"/>
    <col min="13583" max="13587" width="10" style="9"/>
    <col min="13588" max="13588" width="15.77734375" style="9" customWidth="1"/>
    <col min="13589" max="13590" width="12.44140625" style="9" customWidth="1"/>
    <col min="13591" max="13824" width="10" style="9"/>
    <col min="13825" max="13825" width="8.88671875" style="9" customWidth="1"/>
    <col min="13826" max="13827" width="11.77734375" style="9" customWidth="1"/>
    <col min="13828" max="13829" width="8.44140625" style="9" customWidth="1"/>
    <col min="13830" max="13830" width="12.88671875" style="9" customWidth="1"/>
    <col min="13831" max="13831" width="10" style="9"/>
    <col min="13832" max="13832" width="7.33203125" style="9" customWidth="1"/>
    <col min="13833" max="13838" width="11.21875" style="9" customWidth="1"/>
    <col min="13839" max="13843" width="10" style="9"/>
    <col min="13844" max="13844" width="15.77734375" style="9" customWidth="1"/>
    <col min="13845" max="13846" width="12.44140625" style="9" customWidth="1"/>
    <col min="13847" max="14080" width="10" style="9"/>
    <col min="14081" max="14081" width="8.88671875" style="9" customWidth="1"/>
    <col min="14082" max="14083" width="11.77734375" style="9" customWidth="1"/>
    <col min="14084" max="14085" width="8.44140625" style="9" customWidth="1"/>
    <col min="14086" max="14086" width="12.88671875" style="9" customWidth="1"/>
    <col min="14087" max="14087" width="10" style="9"/>
    <col min="14088" max="14088" width="7.33203125" style="9" customWidth="1"/>
    <col min="14089" max="14094" width="11.21875" style="9" customWidth="1"/>
    <col min="14095" max="14099" width="10" style="9"/>
    <col min="14100" max="14100" width="15.77734375" style="9" customWidth="1"/>
    <col min="14101" max="14102" width="12.44140625" style="9" customWidth="1"/>
    <col min="14103" max="14336" width="10" style="9"/>
    <col min="14337" max="14337" width="8.88671875" style="9" customWidth="1"/>
    <col min="14338" max="14339" width="11.77734375" style="9" customWidth="1"/>
    <col min="14340" max="14341" width="8.44140625" style="9" customWidth="1"/>
    <col min="14342" max="14342" width="12.88671875" style="9" customWidth="1"/>
    <col min="14343" max="14343" width="10" style="9"/>
    <col min="14344" max="14344" width="7.33203125" style="9" customWidth="1"/>
    <col min="14345" max="14350" width="11.21875" style="9" customWidth="1"/>
    <col min="14351" max="14355" width="10" style="9"/>
    <col min="14356" max="14356" width="15.77734375" style="9" customWidth="1"/>
    <col min="14357" max="14358" width="12.44140625" style="9" customWidth="1"/>
    <col min="14359" max="14592" width="10" style="9"/>
    <col min="14593" max="14593" width="8.88671875" style="9" customWidth="1"/>
    <col min="14594" max="14595" width="11.77734375" style="9" customWidth="1"/>
    <col min="14596" max="14597" width="8.44140625" style="9" customWidth="1"/>
    <col min="14598" max="14598" width="12.88671875" style="9" customWidth="1"/>
    <col min="14599" max="14599" width="10" style="9"/>
    <col min="14600" max="14600" width="7.33203125" style="9" customWidth="1"/>
    <col min="14601" max="14606" width="11.21875" style="9" customWidth="1"/>
    <col min="14607" max="14611" width="10" style="9"/>
    <col min="14612" max="14612" width="15.77734375" style="9" customWidth="1"/>
    <col min="14613" max="14614" width="12.44140625" style="9" customWidth="1"/>
    <col min="14615" max="14848" width="10" style="9"/>
    <col min="14849" max="14849" width="8.88671875" style="9" customWidth="1"/>
    <col min="14850" max="14851" width="11.77734375" style="9" customWidth="1"/>
    <col min="14852" max="14853" width="8.44140625" style="9" customWidth="1"/>
    <col min="14854" max="14854" width="12.88671875" style="9" customWidth="1"/>
    <col min="14855" max="14855" width="10" style="9"/>
    <col min="14856" max="14856" width="7.33203125" style="9" customWidth="1"/>
    <col min="14857" max="14862" width="11.21875" style="9" customWidth="1"/>
    <col min="14863" max="14867" width="10" style="9"/>
    <col min="14868" max="14868" width="15.77734375" style="9" customWidth="1"/>
    <col min="14869" max="14870" width="12.44140625" style="9" customWidth="1"/>
    <col min="14871" max="15104" width="10" style="9"/>
    <col min="15105" max="15105" width="8.88671875" style="9" customWidth="1"/>
    <col min="15106" max="15107" width="11.77734375" style="9" customWidth="1"/>
    <col min="15108" max="15109" width="8.44140625" style="9" customWidth="1"/>
    <col min="15110" max="15110" width="12.88671875" style="9" customWidth="1"/>
    <col min="15111" max="15111" width="10" style="9"/>
    <col min="15112" max="15112" width="7.33203125" style="9" customWidth="1"/>
    <col min="15113" max="15118" width="11.21875" style="9" customWidth="1"/>
    <col min="15119" max="15123" width="10" style="9"/>
    <col min="15124" max="15124" width="15.77734375" style="9" customWidth="1"/>
    <col min="15125" max="15126" width="12.44140625" style="9" customWidth="1"/>
    <col min="15127" max="15360" width="10" style="9"/>
    <col min="15361" max="15361" width="8.88671875" style="9" customWidth="1"/>
    <col min="15362" max="15363" width="11.77734375" style="9" customWidth="1"/>
    <col min="15364" max="15365" width="8.44140625" style="9" customWidth="1"/>
    <col min="15366" max="15366" width="12.88671875" style="9" customWidth="1"/>
    <col min="15367" max="15367" width="10" style="9"/>
    <col min="15368" max="15368" width="7.33203125" style="9" customWidth="1"/>
    <col min="15369" max="15374" width="11.21875" style="9" customWidth="1"/>
    <col min="15375" max="15379" width="10" style="9"/>
    <col min="15380" max="15380" width="15.77734375" style="9" customWidth="1"/>
    <col min="15381" max="15382" width="12.44140625" style="9" customWidth="1"/>
    <col min="15383" max="15616" width="10" style="9"/>
    <col min="15617" max="15617" width="8.88671875" style="9" customWidth="1"/>
    <col min="15618" max="15619" width="11.77734375" style="9" customWidth="1"/>
    <col min="15620" max="15621" width="8.44140625" style="9" customWidth="1"/>
    <col min="15622" max="15622" width="12.88671875" style="9" customWidth="1"/>
    <col min="15623" max="15623" width="10" style="9"/>
    <col min="15624" max="15624" width="7.33203125" style="9" customWidth="1"/>
    <col min="15625" max="15630" width="11.21875" style="9" customWidth="1"/>
    <col min="15631" max="15635" width="10" style="9"/>
    <col min="15636" max="15636" width="15.77734375" style="9" customWidth="1"/>
    <col min="15637" max="15638" width="12.44140625" style="9" customWidth="1"/>
    <col min="15639" max="15872" width="10" style="9"/>
    <col min="15873" max="15873" width="8.88671875" style="9" customWidth="1"/>
    <col min="15874" max="15875" width="11.77734375" style="9" customWidth="1"/>
    <col min="15876" max="15877" width="8.44140625" style="9" customWidth="1"/>
    <col min="15878" max="15878" width="12.88671875" style="9" customWidth="1"/>
    <col min="15879" max="15879" width="10" style="9"/>
    <col min="15880" max="15880" width="7.33203125" style="9" customWidth="1"/>
    <col min="15881" max="15886" width="11.21875" style="9" customWidth="1"/>
    <col min="15887" max="15891" width="10" style="9"/>
    <col min="15892" max="15892" width="15.77734375" style="9" customWidth="1"/>
    <col min="15893" max="15894" width="12.44140625" style="9" customWidth="1"/>
    <col min="15895" max="16128" width="10" style="9"/>
    <col min="16129" max="16129" width="8.88671875" style="9" customWidth="1"/>
    <col min="16130" max="16131" width="11.77734375" style="9" customWidth="1"/>
    <col min="16132" max="16133" width="8.44140625" style="9" customWidth="1"/>
    <col min="16134" max="16134" width="12.88671875" style="9" customWidth="1"/>
    <col min="16135" max="16135" width="10" style="9"/>
    <col min="16136" max="16136" width="7.33203125" style="9" customWidth="1"/>
    <col min="16137" max="16142" width="11.21875" style="9" customWidth="1"/>
    <col min="16143" max="16147" width="10" style="9"/>
    <col min="16148" max="16148" width="15.77734375" style="9" customWidth="1"/>
    <col min="16149" max="16150" width="12.44140625" style="9" customWidth="1"/>
    <col min="16151" max="16384" width="10" style="9"/>
  </cols>
  <sheetData>
    <row r="1" spans="1:66" ht="31.2" thickBot="1">
      <c r="A1" s="5" t="s">
        <v>35</v>
      </c>
      <c r="I1" s="8"/>
      <c r="J1" s="8"/>
      <c r="K1" s="8"/>
      <c r="L1" s="8"/>
      <c r="M1" s="8"/>
      <c r="N1" s="8"/>
      <c r="O1" s="8"/>
      <c r="Q1" s="8"/>
      <c r="AH1" s="47"/>
      <c r="AI1" s="47"/>
      <c r="AJ1" s="47"/>
      <c r="AK1" s="47"/>
      <c r="AL1" s="47" t="s">
        <v>64</v>
      </c>
      <c r="AM1" s="47" t="s">
        <v>73</v>
      </c>
      <c r="AN1" s="47"/>
      <c r="BC1" s="8"/>
      <c r="BD1" s="8"/>
      <c r="BE1" s="8"/>
      <c r="BF1" s="8"/>
      <c r="BG1" s="8"/>
      <c r="BH1" s="8"/>
      <c r="BI1" s="8"/>
      <c r="BJ1" s="8"/>
      <c r="BK1" s="8"/>
      <c r="BL1" s="8"/>
      <c r="BM1" s="8"/>
      <c r="BN1" s="8"/>
    </row>
    <row r="2" spans="1:66" s="15" customFormat="1" ht="39.75" customHeight="1" thickBot="1">
      <c r="A2" s="12" t="s">
        <v>36</v>
      </c>
      <c r="B2" s="13" t="s">
        <v>64</v>
      </c>
      <c r="C2" s="14" t="s">
        <v>73</v>
      </c>
      <c r="D2" s="8"/>
      <c r="F2" s="67" t="s">
        <v>37</v>
      </c>
      <c r="G2" s="68"/>
      <c r="I2" s="16"/>
      <c r="J2" s="16"/>
      <c r="K2" s="16"/>
      <c r="L2" s="16"/>
      <c r="M2" s="16"/>
      <c r="N2" s="16"/>
      <c r="O2" s="16"/>
      <c r="Q2" s="16"/>
      <c r="R2" s="8"/>
      <c r="S2" s="8"/>
      <c r="T2" s="8"/>
      <c r="U2" s="8"/>
      <c r="V2" s="8"/>
      <c r="W2" s="16"/>
      <c r="X2" s="16"/>
      <c r="Y2" s="8"/>
      <c r="Z2" s="8"/>
      <c r="AA2" s="8"/>
      <c r="AB2" s="8"/>
      <c r="AC2" s="8"/>
      <c r="AD2" s="8"/>
      <c r="AE2" s="8"/>
      <c r="AF2" s="8"/>
      <c r="AG2" s="8"/>
      <c r="AH2" s="47">
        <v>0.3</v>
      </c>
      <c r="AI2" s="47"/>
      <c r="AJ2" s="47"/>
      <c r="AK2" s="47">
        <v>0.3</v>
      </c>
      <c r="AL2" s="47">
        <v>0</v>
      </c>
      <c r="AM2" s="47">
        <v>0</v>
      </c>
      <c r="AN2" s="47"/>
      <c r="AO2" s="8"/>
      <c r="AP2" s="8"/>
      <c r="AQ2" s="8"/>
      <c r="AR2" s="8"/>
      <c r="AS2" s="8"/>
      <c r="AT2" s="8"/>
      <c r="AU2" s="8"/>
      <c r="AV2" s="8"/>
      <c r="AW2" s="8"/>
      <c r="AX2" s="8"/>
      <c r="AY2" s="8"/>
      <c r="AZ2" s="8"/>
      <c r="BA2" s="8"/>
      <c r="BB2" s="8"/>
      <c r="BC2" s="16"/>
      <c r="BD2" s="16"/>
      <c r="BE2" s="16"/>
      <c r="BF2" s="16"/>
      <c r="BG2" s="16"/>
      <c r="BH2" s="16"/>
      <c r="BI2" s="16"/>
      <c r="BJ2" s="16"/>
      <c r="BK2" s="16"/>
      <c r="BL2" s="16"/>
      <c r="BM2" s="16"/>
      <c r="BN2" s="16"/>
    </row>
    <row r="3" spans="1:66" ht="16.2" thickBot="1">
      <c r="A3" s="17">
        <v>1</v>
      </c>
      <c r="B3" s="18">
        <v>6.5583257684599321</v>
      </c>
      <c r="C3" s="19">
        <v>0.49940743428760032</v>
      </c>
      <c r="F3" s="20">
        <v>1000</v>
      </c>
      <c r="G3" s="21" t="s">
        <v>38</v>
      </c>
      <c r="AH3" s="47">
        <v>0.4</v>
      </c>
      <c r="AI3" s="47"/>
      <c r="AJ3" s="47"/>
      <c r="AK3" s="47">
        <v>0.3</v>
      </c>
      <c r="AL3" s="47">
        <v>0</v>
      </c>
      <c r="AM3" s="47">
        <v>34</v>
      </c>
      <c r="AN3" s="47"/>
      <c r="BC3" s="8"/>
      <c r="BD3" s="8"/>
      <c r="BE3" s="8"/>
      <c r="BF3" s="8"/>
      <c r="BG3" s="8"/>
      <c r="BH3" s="8"/>
      <c r="BI3" s="8"/>
      <c r="BJ3" s="8"/>
      <c r="BK3" s="8"/>
      <c r="BL3" s="8"/>
      <c r="BM3" s="8"/>
      <c r="BN3" s="8"/>
    </row>
    <row r="4" spans="1:66" ht="16.2" thickBot="1">
      <c r="A4" s="17">
        <v>2</v>
      </c>
      <c r="B4" s="18">
        <v>6.3169249630570494</v>
      </c>
      <c r="C4" s="19">
        <v>0.46992676381555698</v>
      </c>
      <c r="F4" s="22">
        <v>0.99999960511922836</v>
      </c>
      <c r="G4" s="23" t="s">
        <v>39</v>
      </c>
      <c r="I4" s="69" t="s">
        <v>64</v>
      </c>
      <c r="J4" s="70"/>
      <c r="K4" s="71" t="s">
        <v>73</v>
      </c>
      <c r="L4" s="72"/>
      <c r="M4" s="73" t="s">
        <v>40</v>
      </c>
      <c r="N4" s="74"/>
      <c r="P4" s="24"/>
      <c r="AH4" s="47">
        <v>0.5</v>
      </c>
      <c r="AI4" s="47"/>
      <c r="AJ4" s="47"/>
      <c r="AK4" s="47">
        <v>0.4</v>
      </c>
      <c r="AL4" s="47">
        <v>0</v>
      </c>
      <c r="AM4" s="47">
        <v>34</v>
      </c>
      <c r="AN4" s="47"/>
      <c r="BC4" s="8"/>
      <c r="BD4" s="8"/>
      <c r="BE4" s="8"/>
      <c r="BF4" s="8"/>
      <c r="BG4" s="8"/>
      <c r="BH4" s="8"/>
      <c r="BI4" s="8"/>
      <c r="BJ4" s="8"/>
      <c r="BK4" s="8"/>
      <c r="BL4" s="8"/>
      <c r="BM4" s="8"/>
      <c r="BN4" s="8"/>
    </row>
    <row r="5" spans="1:66">
      <c r="A5" s="17">
        <v>3</v>
      </c>
      <c r="B5" s="18">
        <v>6.7070216590514011</v>
      </c>
      <c r="C5" s="19">
        <v>0.43469179777477351</v>
      </c>
      <c r="I5" s="25" t="s">
        <v>41</v>
      </c>
      <c r="J5" s="26">
        <v>6.7105298808920386</v>
      </c>
      <c r="K5" s="27" t="s">
        <v>41</v>
      </c>
      <c r="L5" s="28">
        <v>0.47873336698492819</v>
      </c>
      <c r="M5" s="29" t="s">
        <v>74</v>
      </c>
      <c r="N5" s="30"/>
      <c r="P5" s="24"/>
      <c r="AH5" s="47">
        <v>0.6</v>
      </c>
      <c r="AI5" s="47"/>
      <c r="AJ5" s="47"/>
      <c r="AK5" s="47">
        <v>0.4</v>
      </c>
      <c r="AL5" s="47">
        <v>0</v>
      </c>
      <c r="AM5" s="47">
        <v>645</v>
      </c>
      <c r="AN5" s="47"/>
      <c r="BC5" s="8"/>
      <c r="BD5" s="8"/>
      <c r="BE5" s="8"/>
      <c r="BF5" s="8"/>
      <c r="BG5" s="8"/>
      <c r="BH5" s="8"/>
      <c r="BI5" s="8"/>
      <c r="BJ5" s="8"/>
      <c r="BK5" s="8"/>
      <c r="BL5" s="8"/>
      <c r="BM5" s="8"/>
      <c r="BN5" s="8"/>
    </row>
    <row r="6" spans="1:66">
      <c r="A6" s="17">
        <v>4</v>
      </c>
      <c r="B6" s="18">
        <v>6.654111722444064</v>
      </c>
      <c r="C6" s="19">
        <v>0.50304600619105622</v>
      </c>
      <c r="I6" s="25" t="s">
        <v>42</v>
      </c>
      <c r="J6" s="31">
        <v>0.36474923326087572</v>
      </c>
      <c r="K6" s="27" t="s">
        <v>42</v>
      </c>
      <c r="L6" s="32">
        <v>4.6181396921872946E-2</v>
      </c>
      <c r="M6" s="33"/>
      <c r="N6" s="34"/>
      <c r="AH6" s="47">
        <v>0.7</v>
      </c>
      <c r="AI6" s="47"/>
      <c r="AJ6" s="47"/>
      <c r="AK6" s="47">
        <v>0.5</v>
      </c>
      <c r="AL6" s="47">
        <v>0</v>
      </c>
      <c r="AM6" s="47">
        <v>645</v>
      </c>
      <c r="AN6" s="47"/>
      <c r="BC6" s="8"/>
      <c r="BD6" s="8"/>
      <c r="BE6" s="8"/>
      <c r="BF6" s="8"/>
      <c r="BG6" s="8"/>
      <c r="BH6" s="8"/>
      <c r="BI6" s="8"/>
      <c r="BJ6" s="8"/>
      <c r="BK6" s="8"/>
      <c r="BL6" s="8"/>
      <c r="BM6" s="8"/>
      <c r="BN6" s="8"/>
    </row>
    <row r="7" spans="1:66">
      <c r="A7" s="17">
        <v>5</v>
      </c>
      <c r="B7" s="18">
        <v>6.531917172454464</v>
      </c>
      <c r="C7" s="19">
        <v>0.50419135247761993</v>
      </c>
      <c r="F7" s="35"/>
      <c r="I7" s="25" t="s">
        <v>43</v>
      </c>
      <c r="J7" s="26">
        <v>8.4001458108972749</v>
      </c>
      <c r="K7" s="27" t="s">
        <v>43</v>
      </c>
      <c r="L7" s="28">
        <v>0.67165553190572658</v>
      </c>
      <c r="N7" s="36"/>
      <c r="AH7" s="47">
        <v>0.8</v>
      </c>
      <c r="AI7" s="47"/>
      <c r="AJ7" s="47"/>
      <c r="AK7" s="47">
        <v>0.5</v>
      </c>
      <c r="AL7" s="47">
        <v>0</v>
      </c>
      <c r="AM7" s="47">
        <v>314</v>
      </c>
      <c r="AN7" s="47"/>
      <c r="BC7" s="8"/>
      <c r="BD7" s="8"/>
      <c r="BE7" s="8"/>
      <c r="BF7" s="8"/>
      <c r="BG7" s="8"/>
      <c r="BH7" s="8"/>
      <c r="BI7" s="8"/>
      <c r="BJ7" s="8"/>
      <c r="BK7" s="8"/>
      <c r="BL7" s="8"/>
      <c r="BM7" s="8"/>
      <c r="BN7" s="8"/>
    </row>
    <row r="8" spans="1:66" ht="16.2" thickBot="1">
      <c r="A8" s="17">
        <v>6</v>
      </c>
      <c r="B8" s="18">
        <v>6.1778603941774017</v>
      </c>
      <c r="C8" s="19">
        <v>0.50752885278035409</v>
      </c>
      <c r="F8" s="35"/>
      <c r="I8" s="37" t="s">
        <v>44</v>
      </c>
      <c r="J8" s="38">
        <v>5.6225450751077686</v>
      </c>
      <c r="K8" s="39" t="s">
        <v>44</v>
      </c>
      <c r="L8" s="40">
        <v>0.3478868939159625</v>
      </c>
      <c r="M8" s="41"/>
      <c r="N8" s="42"/>
      <c r="AH8" s="47">
        <v>0.9</v>
      </c>
      <c r="AI8" s="47"/>
      <c r="AJ8" s="47"/>
      <c r="AK8" s="47">
        <v>0.6</v>
      </c>
      <c r="AL8" s="47">
        <v>0</v>
      </c>
      <c r="AM8" s="47">
        <v>314</v>
      </c>
      <c r="AN8" s="47"/>
      <c r="BC8" s="8"/>
      <c r="BD8" s="8"/>
      <c r="BE8" s="8"/>
      <c r="BF8" s="8"/>
      <c r="BG8" s="8"/>
      <c r="BH8" s="8"/>
      <c r="BI8" s="8"/>
      <c r="BJ8" s="8"/>
      <c r="BK8" s="8"/>
      <c r="BL8" s="8"/>
      <c r="BM8" s="8"/>
      <c r="BN8" s="8"/>
    </row>
    <row r="9" spans="1:66">
      <c r="A9" s="17">
        <v>7</v>
      </c>
      <c r="B9" s="18">
        <v>7.5077723966164589</v>
      </c>
      <c r="C9" s="19">
        <v>0.44731141043006706</v>
      </c>
      <c r="F9" s="35"/>
      <c r="J9" s="8"/>
      <c r="AH9" s="47">
        <v>1</v>
      </c>
      <c r="AI9" s="47"/>
      <c r="AJ9" s="47"/>
      <c r="AK9" s="47">
        <v>0.6</v>
      </c>
      <c r="AL9" s="47">
        <v>0</v>
      </c>
      <c r="AM9" s="47">
        <v>7</v>
      </c>
      <c r="AN9" s="47"/>
      <c r="BC9" s="8"/>
      <c r="BD9" s="8"/>
      <c r="BE9" s="8"/>
      <c r="BF9" s="8"/>
      <c r="BG9" s="8"/>
      <c r="BH9" s="8"/>
      <c r="BI9" s="8"/>
      <c r="BJ9" s="8"/>
      <c r="BK9" s="8"/>
      <c r="BL9" s="8"/>
      <c r="BM9" s="8"/>
      <c r="BN9" s="8"/>
    </row>
    <row r="10" spans="1:66">
      <c r="A10" s="17">
        <v>8</v>
      </c>
      <c r="B10" s="18">
        <v>7.2192764949389403</v>
      </c>
      <c r="C10" s="19">
        <v>0.42859789887810329</v>
      </c>
      <c r="F10" s="35"/>
      <c r="J10" s="8"/>
      <c r="P10" s="24"/>
      <c r="AH10" s="47">
        <v>1.1000000000000001</v>
      </c>
      <c r="AI10" s="47"/>
      <c r="AJ10" s="47"/>
      <c r="AK10" s="47">
        <v>0.7</v>
      </c>
      <c r="AL10" s="47">
        <v>0</v>
      </c>
      <c r="AM10" s="47">
        <v>7</v>
      </c>
      <c r="AN10" s="47"/>
      <c r="BC10" s="8"/>
      <c r="BD10" s="8"/>
      <c r="BE10" s="8"/>
      <c r="BF10" s="8"/>
      <c r="BG10" s="8"/>
      <c r="BH10" s="8"/>
      <c r="BI10" s="8"/>
      <c r="BJ10" s="8"/>
      <c r="BK10" s="8"/>
      <c r="BL10" s="8"/>
      <c r="BM10" s="8"/>
      <c r="BN10" s="8"/>
    </row>
    <row r="11" spans="1:66">
      <c r="A11" s="17">
        <v>9</v>
      </c>
      <c r="B11" s="18">
        <v>7.1551738029124898</v>
      </c>
      <c r="C11" s="19">
        <v>0.49697911021026053</v>
      </c>
      <c r="J11" s="8"/>
      <c r="P11" s="24"/>
      <c r="AH11" s="47">
        <v>1.2</v>
      </c>
      <c r="AI11" s="47"/>
      <c r="AJ11" s="47"/>
      <c r="AK11" s="47">
        <v>0.7</v>
      </c>
      <c r="AL11" s="47">
        <v>0</v>
      </c>
      <c r="AM11" s="47">
        <v>0</v>
      </c>
      <c r="AN11" s="47"/>
      <c r="BC11" s="8"/>
      <c r="BD11" s="8"/>
      <c r="BE11" s="8"/>
      <c r="BF11" s="8"/>
      <c r="BG11" s="8"/>
      <c r="BH11" s="8"/>
      <c r="BI11" s="8"/>
      <c r="BJ11" s="8"/>
      <c r="BK11" s="8"/>
      <c r="BL11" s="8"/>
      <c r="BM11" s="8"/>
      <c r="BN11" s="8"/>
    </row>
    <row r="12" spans="1:66">
      <c r="A12" s="17">
        <v>10</v>
      </c>
      <c r="B12" s="18">
        <v>6.1097059455772698</v>
      </c>
      <c r="C12" s="19">
        <v>0.49167928768155306</v>
      </c>
      <c r="P12" s="24"/>
      <c r="AH12" s="47">
        <v>1.3</v>
      </c>
      <c r="AI12" s="47"/>
      <c r="AJ12" s="47"/>
      <c r="AK12" s="47">
        <v>0.8</v>
      </c>
      <c r="AL12" s="47">
        <v>0</v>
      </c>
      <c r="AM12" s="47"/>
      <c r="AN12" s="47"/>
      <c r="BC12" s="8"/>
      <c r="BD12" s="8"/>
      <c r="BE12" s="8"/>
      <c r="BF12" s="8"/>
      <c r="BG12" s="8"/>
      <c r="BH12" s="8"/>
      <c r="BI12" s="8"/>
      <c r="BJ12" s="8"/>
      <c r="BK12" s="8"/>
      <c r="BL12" s="8"/>
      <c r="BM12" s="8"/>
      <c r="BN12" s="8"/>
    </row>
    <row r="13" spans="1:66">
      <c r="A13" s="17">
        <v>11</v>
      </c>
      <c r="B13" s="18">
        <v>6.9252552281637856</v>
      </c>
      <c r="C13" s="19">
        <v>0.52949303855489382</v>
      </c>
      <c r="AH13" s="47">
        <v>1.4</v>
      </c>
      <c r="AI13" s="47"/>
      <c r="AJ13" s="47"/>
      <c r="AK13" s="47">
        <v>0.8</v>
      </c>
      <c r="AL13" s="47">
        <v>0</v>
      </c>
      <c r="AM13" s="47"/>
      <c r="AN13" s="47"/>
      <c r="BC13" s="8"/>
      <c r="BD13" s="8"/>
      <c r="BE13" s="8"/>
      <c r="BF13" s="8"/>
      <c r="BG13" s="8"/>
      <c r="BH13" s="8"/>
      <c r="BI13" s="8"/>
      <c r="BJ13" s="8"/>
      <c r="BK13" s="8"/>
      <c r="BL13" s="8"/>
      <c r="BM13" s="8"/>
      <c r="BN13" s="8"/>
    </row>
    <row r="14" spans="1:66">
      <c r="A14" s="17">
        <v>12</v>
      </c>
      <c r="B14" s="18">
        <v>6.668264884418261</v>
      </c>
      <c r="C14" s="19">
        <v>0.45268580986742829</v>
      </c>
      <c r="E14" s="43"/>
      <c r="AH14" s="47">
        <v>1.5</v>
      </c>
      <c r="AI14" s="47"/>
      <c r="AJ14" s="47"/>
      <c r="AK14" s="47">
        <v>0.9</v>
      </c>
      <c r="AL14" s="47">
        <v>0</v>
      </c>
      <c r="AM14" s="47"/>
      <c r="AN14" s="47"/>
      <c r="BC14" s="8"/>
      <c r="BD14" s="8"/>
      <c r="BE14" s="8"/>
      <c r="BF14" s="8"/>
      <c r="BG14" s="8"/>
      <c r="BH14" s="8"/>
      <c r="BI14" s="8"/>
      <c r="BJ14" s="8"/>
      <c r="BK14" s="8"/>
      <c r="BL14" s="8"/>
      <c r="BM14" s="8"/>
      <c r="BN14" s="8"/>
    </row>
    <row r="15" spans="1:66">
      <c r="A15" s="17">
        <v>13</v>
      </c>
      <c r="B15" s="18">
        <v>6.5292947803069703</v>
      </c>
      <c r="C15" s="19">
        <v>0.57710567205584973</v>
      </c>
      <c r="E15" s="43"/>
      <c r="AH15" s="47">
        <v>1.6</v>
      </c>
      <c r="AI15" s="47"/>
      <c r="AJ15" s="47"/>
      <c r="AK15" s="47">
        <v>0.9</v>
      </c>
      <c r="AL15" s="47">
        <v>0</v>
      </c>
      <c r="AM15" s="47"/>
      <c r="AN15" s="47"/>
      <c r="BC15" s="8"/>
      <c r="BD15" s="8"/>
      <c r="BE15" s="8"/>
      <c r="BF15" s="8"/>
      <c r="BG15" s="8"/>
      <c r="BH15" s="8"/>
      <c r="BI15" s="8"/>
      <c r="BJ15" s="8"/>
      <c r="BK15" s="8"/>
      <c r="BL15" s="8"/>
      <c r="BM15" s="8"/>
      <c r="BN15" s="8"/>
    </row>
    <row r="16" spans="1:66">
      <c r="A16" s="17">
        <v>14</v>
      </c>
      <c r="B16" s="18">
        <v>7.851943706079421</v>
      </c>
      <c r="C16" s="19">
        <v>0.54492554175727304</v>
      </c>
      <c r="E16" s="43"/>
      <c r="AH16" s="47">
        <v>1.7</v>
      </c>
      <c r="AI16" s="47"/>
      <c r="AJ16" s="47"/>
      <c r="AK16" s="47">
        <v>1</v>
      </c>
      <c r="AL16" s="47">
        <v>0</v>
      </c>
      <c r="AM16" s="47"/>
      <c r="AN16" s="47"/>
      <c r="BC16" s="8"/>
      <c r="BD16" s="8"/>
      <c r="BE16" s="8"/>
      <c r="BF16" s="8"/>
      <c r="BG16" s="8"/>
      <c r="BH16" s="8"/>
      <c r="BI16" s="8"/>
      <c r="BJ16" s="8"/>
      <c r="BK16" s="8"/>
      <c r="BL16" s="8"/>
      <c r="BM16" s="8"/>
      <c r="BN16" s="8"/>
    </row>
    <row r="17" spans="1:66">
      <c r="A17" s="17">
        <v>15</v>
      </c>
      <c r="B17" s="18">
        <v>7.1070688271360059</v>
      </c>
      <c r="C17" s="19">
        <v>0.56938093064641893</v>
      </c>
      <c r="AH17" s="47">
        <v>1.8</v>
      </c>
      <c r="AI17" s="47"/>
      <c r="AJ17" s="47"/>
      <c r="AK17" s="47">
        <v>1</v>
      </c>
      <c r="AL17" s="47">
        <v>0</v>
      </c>
      <c r="AM17" s="47"/>
      <c r="AN17" s="47"/>
      <c r="BC17" s="8"/>
      <c r="BD17" s="8"/>
      <c r="BE17" s="8"/>
      <c r="BF17" s="8"/>
      <c r="BG17" s="8"/>
      <c r="BH17" s="8"/>
      <c r="BI17" s="8"/>
      <c r="BJ17" s="8"/>
      <c r="BK17" s="8"/>
      <c r="BL17" s="8"/>
      <c r="BM17" s="8"/>
      <c r="BN17" s="8"/>
    </row>
    <row r="18" spans="1:66">
      <c r="A18" s="17">
        <v>16</v>
      </c>
      <c r="B18" s="18">
        <v>7.0391594110042996</v>
      </c>
      <c r="C18" s="19">
        <v>0.45096802765939853</v>
      </c>
      <c r="AH18" s="47">
        <v>1.9</v>
      </c>
      <c r="AI18" s="47"/>
      <c r="AJ18" s="47"/>
      <c r="AK18" s="47">
        <v>1.1000000000000001</v>
      </c>
      <c r="AL18" s="47">
        <v>0</v>
      </c>
      <c r="AM18" s="47"/>
      <c r="AN18" s="47"/>
      <c r="BC18" s="8"/>
      <c r="BD18" s="8"/>
      <c r="BE18" s="8"/>
      <c r="BF18" s="8"/>
      <c r="BG18" s="8"/>
      <c r="BH18" s="8"/>
      <c r="BI18" s="8"/>
      <c r="BJ18" s="8"/>
      <c r="BK18" s="8"/>
      <c r="BL18" s="8"/>
      <c r="BM18" s="8"/>
      <c r="BN18" s="8"/>
    </row>
    <row r="19" spans="1:66">
      <c r="A19" s="17">
        <v>17</v>
      </c>
      <c r="B19" s="18">
        <v>7.1408346836531456</v>
      </c>
      <c r="C19" s="19">
        <v>0.49184593731998794</v>
      </c>
      <c r="F19" s="44">
        <v>1</v>
      </c>
      <c r="AH19" s="47">
        <v>2</v>
      </c>
      <c r="AI19" s="47"/>
      <c r="AJ19" s="47"/>
      <c r="AK19" s="47">
        <v>1.1000000000000001</v>
      </c>
      <c r="AL19" s="47">
        <v>0</v>
      </c>
      <c r="AM19" s="47"/>
      <c r="AN19" s="47"/>
      <c r="BC19" s="8"/>
      <c r="BD19" s="8"/>
      <c r="BE19" s="8"/>
      <c r="BF19" s="8"/>
      <c r="BG19" s="8"/>
      <c r="BH19" s="8"/>
      <c r="BI19" s="8"/>
      <c r="BJ19" s="8"/>
      <c r="BK19" s="8"/>
      <c r="BL19" s="8"/>
      <c r="BM19" s="8"/>
      <c r="BN19" s="8"/>
    </row>
    <row r="20" spans="1:66">
      <c r="A20" s="17">
        <v>18</v>
      </c>
      <c r="B20" s="18">
        <v>6.9380167783289606</v>
      </c>
      <c r="C20" s="19">
        <v>0.50283942740876852</v>
      </c>
      <c r="AH20" s="47">
        <v>2.1</v>
      </c>
      <c r="AI20" s="47"/>
      <c r="AJ20" s="47"/>
      <c r="AK20" s="47">
        <v>1.2</v>
      </c>
      <c r="AL20" s="47">
        <v>0</v>
      </c>
      <c r="AM20" s="47"/>
      <c r="AN20" s="47"/>
      <c r="BC20" s="8"/>
      <c r="BD20" s="8"/>
      <c r="BE20" s="8"/>
      <c r="BF20" s="8"/>
      <c r="BG20" s="8"/>
      <c r="BH20" s="8"/>
      <c r="BI20" s="8"/>
      <c r="BJ20" s="8"/>
      <c r="BK20" s="8"/>
      <c r="BL20" s="8"/>
      <c r="BM20" s="8"/>
      <c r="BN20" s="8"/>
    </row>
    <row r="21" spans="1:66">
      <c r="A21" s="17">
        <v>19</v>
      </c>
      <c r="B21" s="18">
        <v>7.1979777633940758</v>
      </c>
      <c r="C21" s="19">
        <v>0.52689663905544248</v>
      </c>
      <c r="AH21" s="47">
        <v>2.2000000000000002</v>
      </c>
      <c r="AI21" s="47"/>
      <c r="AJ21" s="47"/>
      <c r="AK21" s="47">
        <v>1.2</v>
      </c>
      <c r="AL21" s="47">
        <v>0</v>
      </c>
      <c r="AM21" s="47"/>
      <c r="AN21" s="47"/>
      <c r="BC21" s="8"/>
      <c r="BD21" s="8"/>
      <c r="BE21" s="8"/>
      <c r="BF21" s="8"/>
      <c r="BG21" s="8"/>
      <c r="BH21" s="8"/>
      <c r="BI21" s="8"/>
      <c r="BJ21" s="8"/>
      <c r="BK21" s="8"/>
      <c r="BL21" s="8"/>
      <c r="BM21" s="8"/>
      <c r="BN21" s="8"/>
    </row>
    <row r="22" spans="1:66">
      <c r="A22" s="17">
        <v>20</v>
      </c>
      <c r="B22" s="18">
        <v>6.4561503359415342</v>
      </c>
      <c r="C22" s="19">
        <v>0.48401086297013968</v>
      </c>
      <c r="AH22" s="47">
        <v>2.2999999999999998</v>
      </c>
      <c r="AI22" s="47"/>
      <c r="AJ22" s="47"/>
      <c r="AK22" s="47">
        <v>1.3</v>
      </c>
      <c r="AL22" s="47">
        <v>0</v>
      </c>
      <c r="AM22" s="47"/>
      <c r="AN22" s="47"/>
      <c r="BC22" s="8"/>
      <c r="BD22" s="8"/>
      <c r="BE22" s="8"/>
      <c r="BF22" s="8"/>
      <c r="BG22" s="8"/>
      <c r="BH22" s="8"/>
      <c r="BI22" s="8"/>
      <c r="BJ22" s="8"/>
      <c r="BK22" s="8"/>
      <c r="BL22" s="8"/>
      <c r="BM22" s="8"/>
      <c r="BN22" s="8"/>
    </row>
    <row r="23" spans="1:66">
      <c r="A23" s="17">
        <v>21</v>
      </c>
      <c r="B23" s="18">
        <v>6.3187722890518589</v>
      </c>
      <c r="C23" s="19">
        <v>0.45718577021969958</v>
      </c>
      <c r="AH23" s="47">
        <v>2.4</v>
      </c>
      <c r="AI23" s="47"/>
      <c r="AJ23" s="47"/>
      <c r="AK23" s="47">
        <v>1.3</v>
      </c>
      <c r="AL23" s="47">
        <v>0</v>
      </c>
      <c r="AM23" s="47"/>
      <c r="AN23" s="47"/>
      <c r="BC23" s="8"/>
      <c r="BD23" s="8"/>
      <c r="BE23" s="8"/>
      <c r="BF23" s="8"/>
      <c r="BG23" s="8"/>
      <c r="BH23" s="8"/>
      <c r="BI23" s="8"/>
      <c r="BJ23" s="8"/>
      <c r="BK23" s="8"/>
      <c r="BL23" s="8"/>
      <c r="BM23" s="8"/>
      <c r="BN23" s="8"/>
    </row>
    <row r="24" spans="1:66">
      <c r="A24" s="17">
        <v>22</v>
      </c>
      <c r="B24" s="18">
        <v>6.904445384612039</v>
      </c>
      <c r="C24" s="19">
        <v>0.39974762545592807</v>
      </c>
      <c r="AH24" s="47">
        <v>2.5</v>
      </c>
      <c r="AI24" s="47"/>
      <c r="AJ24" s="47"/>
      <c r="AK24" s="47">
        <v>1.4</v>
      </c>
      <c r="AL24" s="47">
        <v>0</v>
      </c>
      <c r="AM24" s="47"/>
      <c r="AN24" s="47"/>
      <c r="BC24" s="8"/>
      <c r="BD24" s="8"/>
      <c r="BE24" s="8"/>
      <c r="BF24" s="8"/>
      <c r="BG24" s="8"/>
      <c r="BH24" s="8"/>
      <c r="BI24" s="8"/>
      <c r="BJ24" s="8"/>
      <c r="BK24" s="8"/>
      <c r="BL24" s="8"/>
      <c r="BM24" s="8"/>
      <c r="BN24" s="8"/>
    </row>
    <row r="25" spans="1:66">
      <c r="A25" s="17">
        <v>23</v>
      </c>
      <c r="B25" s="18">
        <v>6.8337494919427071</v>
      </c>
      <c r="C25" s="19">
        <v>0.61314881839481117</v>
      </c>
      <c r="AH25" s="47">
        <v>2.6</v>
      </c>
      <c r="AI25" s="47"/>
      <c r="AJ25" s="47"/>
      <c r="AK25" s="47">
        <v>1.4</v>
      </c>
      <c r="AL25" s="47">
        <v>0</v>
      </c>
      <c r="AM25" s="47"/>
      <c r="AN25" s="47"/>
      <c r="BC25" s="8"/>
      <c r="BD25" s="8"/>
      <c r="BE25" s="8"/>
      <c r="BF25" s="8"/>
      <c r="BG25" s="8"/>
      <c r="BH25" s="8"/>
      <c r="BI25" s="8"/>
      <c r="BJ25" s="8"/>
      <c r="BK25" s="8"/>
      <c r="BL25" s="8"/>
      <c r="BM25" s="8"/>
      <c r="BN25" s="8"/>
    </row>
    <row r="26" spans="1:66">
      <c r="A26" s="17">
        <v>24</v>
      </c>
      <c r="B26" s="18">
        <v>6.0773055388831629</v>
      </c>
      <c r="C26" s="19">
        <v>0.4537273874103156</v>
      </c>
      <c r="AH26" s="47">
        <v>2.7</v>
      </c>
      <c r="AI26" s="47"/>
      <c r="AJ26" s="47"/>
      <c r="AK26" s="47">
        <v>1.5</v>
      </c>
      <c r="AL26" s="47">
        <v>0</v>
      </c>
      <c r="AM26" s="47"/>
      <c r="AN26" s="47"/>
      <c r="BC26" s="8"/>
      <c r="BD26" s="8"/>
      <c r="BE26" s="8"/>
      <c r="BF26" s="8"/>
      <c r="BG26" s="8"/>
      <c r="BH26" s="8"/>
      <c r="BI26" s="8"/>
      <c r="BJ26" s="8"/>
      <c r="BK26" s="8"/>
      <c r="BL26" s="8"/>
      <c r="BM26" s="8"/>
      <c r="BN26" s="8"/>
    </row>
    <row r="27" spans="1:66">
      <c r="A27" s="17">
        <v>25</v>
      </c>
      <c r="B27" s="18">
        <v>7.1768627540563932</v>
      </c>
      <c r="C27" s="19">
        <v>0.48655248522547495</v>
      </c>
      <c r="AH27" s="47">
        <v>2.8</v>
      </c>
      <c r="AI27" s="47"/>
      <c r="AJ27" s="47"/>
      <c r="AK27" s="47">
        <v>1.5</v>
      </c>
      <c r="AL27" s="47">
        <v>0</v>
      </c>
      <c r="AM27" s="47"/>
      <c r="AN27" s="47"/>
      <c r="BC27" s="8"/>
      <c r="BD27" s="8"/>
      <c r="BE27" s="8"/>
      <c r="BF27" s="8"/>
      <c r="BG27" s="8"/>
      <c r="BH27" s="8"/>
      <c r="BI27" s="8"/>
      <c r="BJ27" s="8"/>
      <c r="BK27" s="8"/>
      <c r="BL27" s="8"/>
      <c r="BM27" s="8"/>
      <c r="BN27" s="8"/>
    </row>
    <row r="28" spans="1:66">
      <c r="A28" s="17">
        <v>26</v>
      </c>
      <c r="B28" s="18">
        <v>6.5458200577782293</v>
      </c>
      <c r="C28" s="19">
        <v>0.45623067769523429</v>
      </c>
      <c r="AH28" s="47">
        <v>2.9</v>
      </c>
      <c r="AI28" s="47"/>
      <c r="AJ28" s="47"/>
      <c r="AK28" s="47">
        <v>1.6</v>
      </c>
      <c r="AL28" s="47">
        <v>0</v>
      </c>
      <c r="AM28" s="47"/>
      <c r="AN28" s="47"/>
      <c r="BC28" s="8"/>
      <c r="BD28" s="8"/>
      <c r="BE28" s="8"/>
      <c r="BF28" s="8"/>
      <c r="BG28" s="8"/>
      <c r="BH28" s="8"/>
      <c r="BI28" s="8"/>
      <c r="BJ28" s="8"/>
      <c r="BK28" s="8"/>
      <c r="BL28" s="8"/>
      <c r="BM28" s="8"/>
      <c r="BN28" s="8"/>
    </row>
    <row r="29" spans="1:66">
      <c r="A29" s="17">
        <v>27</v>
      </c>
      <c r="B29" s="18">
        <v>7.4807806075695513</v>
      </c>
      <c r="C29" s="19">
        <v>0.42481741044436006</v>
      </c>
      <c r="AH29" s="47">
        <v>3</v>
      </c>
      <c r="AI29" s="47"/>
      <c r="AJ29" s="47"/>
      <c r="AK29" s="47">
        <v>1.6</v>
      </c>
      <c r="AL29" s="47">
        <v>0</v>
      </c>
      <c r="AM29" s="47"/>
      <c r="AN29" s="47"/>
      <c r="BC29" s="8"/>
      <c r="BD29" s="8"/>
      <c r="BE29" s="8"/>
      <c r="BF29" s="8"/>
      <c r="BG29" s="8"/>
      <c r="BH29" s="8"/>
      <c r="BI29" s="8"/>
      <c r="BJ29" s="8"/>
      <c r="BK29" s="8"/>
      <c r="BL29" s="8"/>
      <c r="BM29" s="8"/>
      <c r="BN29" s="8"/>
    </row>
    <row r="30" spans="1:66">
      <c r="A30" s="17">
        <v>28</v>
      </c>
      <c r="B30" s="18">
        <v>6.0572798333251381</v>
      </c>
      <c r="C30" s="19">
        <v>0.48437967136142096</v>
      </c>
      <c r="AH30" s="47">
        <v>3.1</v>
      </c>
      <c r="AI30" s="47"/>
      <c r="AJ30" s="47"/>
      <c r="AK30" s="47">
        <v>1.7</v>
      </c>
      <c r="AL30" s="47">
        <v>0</v>
      </c>
      <c r="AM30" s="47"/>
      <c r="AN30" s="47"/>
      <c r="BC30" s="8"/>
      <c r="BD30" s="8"/>
      <c r="BE30" s="8"/>
      <c r="BF30" s="8"/>
      <c r="BG30" s="8"/>
      <c r="BH30" s="8"/>
      <c r="BI30" s="8"/>
      <c r="BJ30" s="8"/>
      <c r="BK30" s="8"/>
      <c r="BL30" s="8"/>
      <c r="BM30" s="8"/>
      <c r="BN30" s="8"/>
    </row>
    <row r="31" spans="1:66">
      <c r="A31" s="17">
        <v>29</v>
      </c>
      <c r="B31" s="18">
        <v>6.6585579050365764</v>
      </c>
      <c r="C31" s="19">
        <v>0.41773868804466008</v>
      </c>
      <c r="AH31" s="47">
        <v>3.2</v>
      </c>
      <c r="AI31" s="47"/>
      <c r="AJ31" s="47"/>
      <c r="AK31" s="47">
        <v>1.7</v>
      </c>
      <c r="AL31" s="47">
        <v>0</v>
      </c>
      <c r="AM31" s="47"/>
      <c r="AN31" s="47"/>
      <c r="BC31" s="8"/>
      <c r="BD31" s="8"/>
      <c r="BE31" s="8"/>
      <c r="BF31" s="8"/>
      <c r="BG31" s="8"/>
      <c r="BH31" s="8"/>
      <c r="BI31" s="8"/>
      <c r="BJ31" s="8"/>
      <c r="BK31" s="8"/>
      <c r="BL31" s="8"/>
      <c r="BM31" s="8"/>
      <c r="BN31" s="8"/>
    </row>
    <row r="32" spans="1:66">
      <c r="A32" s="17">
        <v>30</v>
      </c>
      <c r="B32" s="18">
        <v>6.6411737935469723</v>
      </c>
      <c r="C32" s="19">
        <v>0.5466941705244831</v>
      </c>
      <c r="AH32" s="47">
        <v>3.3</v>
      </c>
      <c r="AI32" s="47"/>
      <c r="AJ32" s="47"/>
      <c r="AK32" s="47">
        <v>1.8</v>
      </c>
      <c r="AL32" s="47">
        <v>0</v>
      </c>
      <c r="AM32" s="47"/>
      <c r="AN32" s="47"/>
      <c r="BC32" s="8"/>
      <c r="BD32" s="8"/>
      <c r="BE32" s="8"/>
      <c r="BF32" s="8"/>
      <c r="BG32" s="8"/>
      <c r="BH32" s="8"/>
      <c r="BI32" s="8"/>
      <c r="BJ32" s="8"/>
      <c r="BK32" s="8"/>
      <c r="BL32" s="8"/>
      <c r="BM32" s="8"/>
      <c r="BN32" s="8"/>
    </row>
    <row r="33" spans="1:66">
      <c r="A33" s="17">
        <v>31</v>
      </c>
      <c r="B33" s="18">
        <v>6.5642248470570328</v>
      </c>
      <c r="C33" s="19">
        <v>0.39791431844214864</v>
      </c>
      <c r="AH33" s="47">
        <v>3.4</v>
      </c>
      <c r="AI33" s="47"/>
      <c r="AJ33" s="47"/>
      <c r="AK33" s="47">
        <v>1.8</v>
      </c>
      <c r="AL33" s="47">
        <v>0</v>
      </c>
      <c r="AM33" s="47"/>
      <c r="AN33" s="47"/>
      <c r="BC33" s="8"/>
      <c r="BD33" s="8"/>
      <c r="BE33" s="8"/>
      <c r="BF33" s="8"/>
      <c r="BG33" s="8"/>
      <c r="BH33" s="8"/>
      <c r="BI33" s="8"/>
      <c r="BJ33" s="8"/>
      <c r="BK33" s="8"/>
      <c r="BL33" s="8"/>
      <c r="BM33" s="8"/>
      <c r="BN33" s="8"/>
    </row>
    <row r="34" spans="1:66">
      <c r="A34" s="17">
        <v>32</v>
      </c>
      <c r="B34" s="18">
        <v>6.2820289035449193</v>
      </c>
      <c r="C34" s="19">
        <v>0.45857126683069765</v>
      </c>
      <c r="AH34" s="47">
        <v>3.5</v>
      </c>
      <c r="AI34" s="47"/>
      <c r="AJ34" s="47"/>
      <c r="AK34" s="47">
        <v>1.9</v>
      </c>
      <c r="AL34" s="47">
        <v>0</v>
      </c>
      <c r="AM34" s="47"/>
      <c r="AN34" s="47"/>
      <c r="BC34" s="8"/>
      <c r="BD34" s="8"/>
      <c r="BE34" s="8"/>
      <c r="BF34" s="8"/>
      <c r="BG34" s="8"/>
      <c r="BH34" s="8"/>
      <c r="BI34" s="8"/>
      <c r="BJ34" s="8"/>
      <c r="BK34" s="8"/>
      <c r="BL34" s="8"/>
      <c r="BM34" s="8"/>
      <c r="BN34" s="8"/>
    </row>
    <row r="35" spans="1:66">
      <c r="A35" s="17">
        <v>33</v>
      </c>
      <c r="B35" s="18">
        <v>6.734332794320137</v>
      </c>
      <c r="C35" s="19">
        <v>0.44712162925800675</v>
      </c>
      <c r="AH35" s="47">
        <v>3.6</v>
      </c>
      <c r="AI35" s="47"/>
      <c r="AJ35" s="47"/>
      <c r="AK35" s="47">
        <v>1.9</v>
      </c>
      <c r="AL35" s="47">
        <v>0</v>
      </c>
      <c r="AM35" s="47"/>
      <c r="AN35" s="47"/>
      <c r="BC35" s="8"/>
      <c r="BD35" s="8"/>
      <c r="BE35" s="8"/>
      <c r="BF35" s="8"/>
      <c r="BG35" s="8"/>
      <c r="BH35" s="8"/>
      <c r="BI35" s="8"/>
      <c r="BJ35" s="8"/>
      <c r="BK35" s="8"/>
      <c r="BL35" s="8"/>
      <c r="BM35" s="8"/>
      <c r="BN35" s="8"/>
    </row>
    <row r="36" spans="1:66">
      <c r="A36" s="17">
        <v>34</v>
      </c>
      <c r="B36" s="18">
        <v>6.9012751618829933</v>
      </c>
      <c r="C36" s="19">
        <v>0.42012587622481296</v>
      </c>
      <c r="AH36" s="47">
        <v>3.7</v>
      </c>
      <c r="AI36" s="47"/>
      <c r="AJ36" s="47"/>
      <c r="AK36" s="47">
        <v>2</v>
      </c>
      <c r="AL36" s="47">
        <v>0</v>
      </c>
      <c r="AM36" s="47"/>
      <c r="AN36" s="47"/>
      <c r="BC36" s="8"/>
      <c r="BD36" s="8"/>
      <c r="BE36" s="8"/>
      <c r="BF36" s="8"/>
      <c r="BG36" s="8"/>
      <c r="BH36" s="8"/>
      <c r="BI36" s="8"/>
      <c r="BJ36" s="8"/>
      <c r="BK36" s="8"/>
      <c r="BL36" s="8"/>
      <c r="BM36" s="8"/>
      <c r="BN36" s="8"/>
    </row>
    <row r="37" spans="1:66">
      <c r="A37" s="17">
        <v>35</v>
      </c>
      <c r="B37" s="18">
        <v>6.2949542233718692</v>
      </c>
      <c r="C37" s="19">
        <v>0.42562478007538651</v>
      </c>
      <c r="AH37" s="47">
        <v>3.8</v>
      </c>
      <c r="AI37" s="47"/>
      <c r="AJ37" s="47"/>
      <c r="AK37" s="47">
        <v>2</v>
      </c>
      <c r="AL37" s="47">
        <v>0</v>
      </c>
      <c r="AM37" s="47"/>
      <c r="AN37" s="47"/>
      <c r="BC37" s="8"/>
      <c r="BD37" s="8"/>
      <c r="BE37" s="8"/>
      <c r="BF37" s="8"/>
      <c r="BG37" s="8"/>
      <c r="BH37" s="8"/>
      <c r="BI37" s="8"/>
      <c r="BJ37" s="8"/>
      <c r="BK37" s="8"/>
      <c r="BL37" s="8"/>
      <c r="BM37" s="8"/>
      <c r="BN37" s="8"/>
    </row>
    <row r="38" spans="1:66">
      <c r="A38" s="17">
        <v>36</v>
      </c>
      <c r="B38" s="18">
        <v>7.0007767468176292</v>
      </c>
      <c r="C38" s="19">
        <v>0.53019978076190943</v>
      </c>
      <c r="AH38" s="47">
        <v>3.9</v>
      </c>
      <c r="AI38" s="47"/>
      <c r="AJ38" s="47"/>
      <c r="AK38" s="47">
        <v>2.1</v>
      </c>
      <c r="AL38" s="47">
        <v>0</v>
      </c>
      <c r="AM38" s="47"/>
      <c r="AN38" s="47"/>
      <c r="BC38" s="8"/>
      <c r="BD38" s="8"/>
      <c r="BE38" s="8"/>
      <c r="BF38" s="8"/>
      <c r="BG38" s="8"/>
      <c r="BH38" s="8"/>
      <c r="BI38" s="8"/>
      <c r="BJ38" s="8"/>
      <c r="BK38" s="8"/>
      <c r="BL38" s="8"/>
      <c r="BM38" s="8"/>
      <c r="BN38" s="8"/>
    </row>
    <row r="39" spans="1:66">
      <c r="A39" s="17">
        <v>37</v>
      </c>
      <c r="B39" s="18">
        <v>6.8556608540449044</v>
      </c>
      <c r="C39" s="19">
        <v>0.40365550080397</v>
      </c>
      <c r="AH39" s="47">
        <v>4</v>
      </c>
      <c r="AI39" s="47"/>
      <c r="AJ39" s="47"/>
      <c r="AK39" s="47">
        <v>2.1</v>
      </c>
      <c r="AL39" s="47">
        <v>0</v>
      </c>
      <c r="AM39" s="47"/>
      <c r="AN39" s="47"/>
      <c r="BC39" s="8"/>
      <c r="BD39" s="8"/>
      <c r="BE39" s="8"/>
      <c r="BF39" s="8"/>
      <c r="BG39" s="8"/>
      <c r="BH39" s="8"/>
      <c r="BI39" s="8"/>
      <c r="BJ39" s="8"/>
      <c r="BK39" s="8"/>
      <c r="BL39" s="8"/>
      <c r="BM39" s="8"/>
      <c r="BN39" s="8"/>
    </row>
    <row r="40" spans="1:66">
      <c r="A40" s="17">
        <v>38</v>
      </c>
      <c r="B40" s="18">
        <v>6.463628281058611</v>
      </c>
      <c r="C40" s="19">
        <v>0.52043815458313858</v>
      </c>
      <c r="AH40" s="47">
        <v>4.0999999999999996</v>
      </c>
      <c r="AI40" s="47"/>
      <c r="AJ40" s="47"/>
      <c r="AK40" s="47">
        <v>2.2000000000000002</v>
      </c>
      <c r="AL40" s="47">
        <v>0</v>
      </c>
      <c r="AM40" s="47"/>
      <c r="AN40" s="47"/>
      <c r="BC40" s="8"/>
      <c r="BD40" s="8"/>
      <c r="BE40" s="8"/>
      <c r="BF40" s="8"/>
      <c r="BG40" s="8"/>
      <c r="BH40" s="8"/>
      <c r="BI40" s="8"/>
      <c r="BJ40" s="8"/>
      <c r="BK40" s="8"/>
      <c r="BL40" s="8"/>
      <c r="BM40" s="8"/>
      <c r="BN40" s="8"/>
    </row>
    <row r="41" spans="1:66">
      <c r="A41" s="17">
        <v>39</v>
      </c>
      <c r="B41" s="18">
        <v>6.7030459984074913</v>
      </c>
      <c r="C41" s="19">
        <v>0.50300705364834197</v>
      </c>
      <c r="AH41" s="47">
        <v>4.2</v>
      </c>
      <c r="AI41" s="47"/>
      <c r="AJ41" s="47"/>
      <c r="AK41" s="47">
        <v>2.2000000000000002</v>
      </c>
      <c r="AL41" s="47">
        <v>0</v>
      </c>
      <c r="AM41" s="47"/>
      <c r="AN41" s="47"/>
      <c r="BC41" s="8"/>
      <c r="BD41" s="8"/>
      <c r="BE41" s="8"/>
      <c r="BF41" s="8"/>
      <c r="BG41" s="8"/>
      <c r="BH41" s="8"/>
      <c r="BI41" s="8"/>
      <c r="BJ41" s="8"/>
      <c r="BK41" s="8"/>
      <c r="BL41" s="8"/>
      <c r="BM41" s="8"/>
      <c r="BN41" s="8"/>
    </row>
    <row r="42" spans="1:66">
      <c r="A42" s="17">
        <v>40</v>
      </c>
      <c r="B42" s="18">
        <v>6.8053240950921143</v>
      </c>
      <c r="C42" s="19">
        <v>0.42874081905710798</v>
      </c>
      <c r="AH42" s="47">
        <v>4.3</v>
      </c>
      <c r="AI42" s="47"/>
      <c r="AJ42" s="47"/>
      <c r="AK42" s="47">
        <v>2.2999999999999998</v>
      </c>
      <c r="AL42" s="47">
        <v>0</v>
      </c>
      <c r="AM42" s="47"/>
      <c r="AN42" s="47"/>
      <c r="BC42" s="8"/>
      <c r="BD42" s="8"/>
      <c r="BE42" s="8"/>
      <c r="BF42" s="8"/>
      <c r="BG42" s="8"/>
      <c r="BH42" s="8"/>
      <c r="BI42" s="8"/>
      <c r="BJ42" s="8"/>
      <c r="BK42" s="8"/>
      <c r="BL42" s="8"/>
      <c r="BM42" s="8"/>
      <c r="BN42" s="8"/>
    </row>
    <row r="43" spans="1:66">
      <c r="A43" s="17">
        <v>41</v>
      </c>
      <c r="B43" s="18">
        <v>6.7564594588880436</v>
      </c>
      <c r="C43" s="19">
        <v>0.48076463777159395</v>
      </c>
      <c r="AH43" s="47">
        <v>4.4000000000000004</v>
      </c>
      <c r="AI43" s="47"/>
      <c r="AJ43" s="47"/>
      <c r="AK43" s="47">
        <v>2.2999999999999998</v>
      </c>
      <c r="AL43" s="47">
        <v>0</v>
      </c>
      <c r="AM43" s="47"/>
      <c r="AN43" s="47"/>
      <c r="BC43" s="8"/>
      <c r="BD43" s="8"/>
      <c r="BE43" s="8"/>
      <c r="BF43" s="8"/>
      <c r="BG43" s="8"/>
      <c r="BH43" s="8"/>
      <c r="BI43" s="8"/>
      <c r="BJ43" s="8"/>
      <c r="BK43" s="8"/>
      <c r="BL43" s="8"/>
      <c r="BM43" s="8"/>
      <c r="BN43" s="8"/>
    </row>
    <row r="44" spans="1:66">
      <c r="A44" s="17">
        <v>42</v>
      </c>
      <c r="B44" s="18">
        <v>6.9908813321489216</v>
      </c>
      <c r="C44" s="19">
        <v>0.49036049626730088</v>
      </c>
      <c r="AH44" s="47">
        <v>4.5</v>
      </c>
      <c r="AI44" s="47"/>
      <c r="AJ44" s="47"/>
      <c r="AK44" s="47">
        <v>2.4</v>
      </c>
      <c r="AL44" s="47">
        <v>0</v>
      </c>
      <c r="AM44" s="47"/>
      <c r="AN44" s="47"/>
      <c r="BC44" s="8"/>
      <c r="BD44" s="8"/>
      <c r="BE44" s="8"/>
      <c r="BF44" s="8"/>
      <c r="BG44" s="8"/>
      <c r="BH44" s="8"/>
      <c r="BI44" s="8"/>
      <c r="BJ44" s="8"/>
      <c r="BK44" s="8"/>
      <c r="BL44" s="8"/>
      <c r="BM44" s="8"/>
      <c r="BN44" s="8"/>
    </row>
    <row r="45" spans="1:66">
      <c r="A45" s="17">
        <v>43</v>
      </c>
      <c r="B45" s="18">
        <v>6.406209867718724</v>
      </c>
      <c r="C45" s="19">
        <v>0.41221712265292626</v>
      </c>
      <c r="AH45" s="47">
        <v>4.5999999999999996</v>
      </c>
      <c r="AI45" s="47"/>
      <c r="AJ45" s="47"/>
      <c r="AK45" s="47">
        <v>2.4</v>
      </c>
      <c r="AL45" s="47">
        <v>0</v>
      </c>
      <c r="AM45" s="47"/>
      <c r="AN45" s="47"/>
      <c r="BC45" s="8"/>
      <c r="BD45" s="8"/>
      <c r="BE45" s="8"/>
      <c r="BF45" s="8"/>
      <c r="BG45" s="8"/>
      <c r="BH45" s="8"/>
      <c r="BI45" s="8"/>
      <c r="BJ45" s="8"/>
      <c r="BK45" s="8"/>
      <c r="BL45" s="8"/>
      <c r="BM45" s="8"/>
      <c r="BN45" s="8"/>
    </row>
    <row r="46" spans="1:66">
      <c r="A46" s="17">
        <v>44</v>
      </c>
      <c r="B46" s="18">
        <v>6.5895913063756471</v>
      </c>
      <c r="C46" s="19">
        <v>0.4006238659314425</v>
      </c>
      <c r="AH46" s="47">
        <v>4.7</v>
      </c>
      <c r="AI46" s="47"/>
      <c r="AJ46" s="47"/>
      <c r="AK46" s="47">
        <v>2.5</v>
      </c>
      <c r="AL46" s="47">
        <v>0</v>
      </c>
      <c r="AM46" s="47"/>
      <c r="AN46" s="47"/>
      <c r="BC46" s="8"/>
      <c r="BD46" s="8"/>
      <c r="BE46" s="8"/>
      <c r="BF46" s="8"/>
      <c r="BG46" s="8"/>
      <c r="BH46" s="8"/>
      <c r="BI46" s="8"/>
      <c r="BJ46" s="8"/>
      <c r="BK46" s="8"/>
      <c r="BL46" s="8"/>
      <c r="BM46" s="8"/>
      <c r="BN46" s="8"/>
    </row>
    <row r="47" spans="1:66">
      <c r="A47" s="17">
        <v>45</v>
      </c>
      <c r="B47" s="18">
        <v>6.5526214610425413</v>
      </c>
      <c r="C47" s="19">
        <v>0.48223292400790718</v>
      </c>
      <c r="AH47" s="47">
        <v>4.8</v>
      </c>
      <c r="AI47" s="47"/>
      <c r="AJ47" s="47"/>
      <c r="AK47" s="47">
        <v>2.5</v>
      </c>
      <c r="AL47" s="47">
        <v>0</v>
      </c>
      <c r="AM47" s="47"/>
      <c r="AN47" s="47"/>
      <c r="BC47" s="8"/>
      <c r="BD47" s="8"/>
      <c r="BE47" s="8"/>
      <c r="BF47" s="8"/>
      <c r="BG47" s="8"/>
      <c r="BH47" s="8"/>
      <c r="BI47" s="8"/>
      <c r="BJ47" s="8"/>
      <c r="BK47" s="8"/>
      <c r="BL47" s="8"/>
      <c r="BM47" s="8"/>
      <c r="BN47" s="8"/>
    </row>
    <row r="48" spans="1:66">
      <c r="A48" s="17">
        <v>46</v>
      </c>
      <c r="B48" s="18">
        <v>6.0474422520046609</v>
      </c>
      <c r="C48" s="19">
        <v>0.53711235862551343</v>
      </c>
      <c r="AH48" s="47">
        <v>4.9000000000000004</v>
      </c>
      <c r="AI48" s="47"/>
      <c r="AJ48" s="47"/>
      <c r="AK48" s="47">
        <v>2.6</v>
      </c>
      <c r="AL48" s="47">
        <v>0</v>
      </c>
      <c r="AM48" s="47"/>
      <c r="AN48" s="47"/>
      <c r="BC48" s="8"/>
      <c r="BD48" s="8"/>
      <c r="BE48" s="8"/>
      <c r="BF48" s="8"/>
      <c r="BG48" s="8"/>
      <c r="BH48" s="8"/>
      <c r="BI48" s="8"/>
      <c r="BJ48" s="8"/>
      <c r="BK48" s="8"/>
      <c r="BL48" s="8"/>
      <c r="BM48" s="8"/>
      <c r="BN48" s="8"/>
    </row>
    <row r="49" spans="1:66">
      <c r="A49" s="17">
        <v>47</v>
      </c>
      <c r="B49" s="18">
        <v>7.0062371173479177</v>
      </c>
      <c r="C49" s="19">
        <v>0.61007189310055521</v>
      </c>
      <c r="AH49" s="47">
        <v>5</v>
      </c>
      <c r="AI49" s="47"/>
      <c r="AJ49" s="47"/>
      <c r="AK49" s="47">
        <v>2.6</v>
      </c>
      <c r="AL49" s="47">
        <v>0</v>
      </c>
      <c r="AM49" s="47"/>
      <c r="AN49" s="47"/>
      <c r="BC49" s="8"/>
      <c r="BD49" s="8"/>
      <c r="BE49" s="8"/>
      <c r="BF49" s="8"/>
      <c r="BG49" s="8"/>
      <c r="BH49" s="8"/>
      <c r="BI49" s="8"/>
      <c r="BJ49" s="8"/>
      <c r="BK49" s="8"/>
      <c r="BL49" s="8"/>
      <c r="BM49" s="8"/>
      <c r="BN49" s="8"/>
    </row>
    <row r="50" spans="1:66">
      <c r="A50" s="17">
        <v>48</v>
      </c>
      <c r="B50" s="18">
        <v>6.2873610106111171</v>
      </c>
      <c r="C50" s="19">
        <v>0.41905574015852681</v>
      </c>
      <c r="AH50" s="47">
        <v>5.0999999999999996</v>
      </c>
      <c r="AI50" s="47"/>
      <c r="AJ50" s="47"/>
      <c r="AK50" s="47">
        <v>2.7</v>
      </c>
      <c r="AL50" s="47">
        <v>0</v>
      </c>
      <c r="AM50" s="47"/>
      <c r="AN50" s="47"/>
      <c r="BC50" s="8"/>
      <c r="BD50" s="8"/>
      <c r="BE50" s="8"/>
      <c r="BF50" s="8"/>
      <c r="BG50" s="8"/>
      <c r="BH50" s="8"/>
      <c r="BI50" s="8"/>
      <c r="BJ50" s="8"/>
      <c r="BK50" s="8"/>
      <c r="BL50" s="8"/>
      <c r="BM50" s="8"/>
      <c r="BN50" s="8"/>
    </row>
    <row r="51" spans="1:66">
      <c r="A51" s="17">
        <v>49</v>
      </c>
      <c r="B51" s="18">
        <v>6.8226091184263158</v>
      </c>
      <c r="C51" s="19">
        <v>0.40814232046945881</v>
      </c>
      <c r="AH51" s="47">
        <v>5.2</v>
      </c>
      <c r="AI51" s="47"/>
      <c r="AJ51" s="47"/>
      <c r="AK51" s="47">
        <v>2.7</v>
      </c>
      <c r="AL51" s="47">
        <v>0</v>
      </c>
      <c r="AM51" s="47"/>
      <c r="AN51" s="47"/>
      <c r="BC51" s="8"/>
      <c r="BD51" s="8"/>
      <c r="BE51" s="8"/>
      <c r="BF51" s="8"/>
      <c r="BG51" s="8"/>
      <c r="BH51" s="8"/>
      <c r="BI51" s="8"/>
      <c r="BJ51" s="8"/>
      <c r="BK51" s="8"/>
      <c r="BL51" s="8"/>
      <c r="BM51" s="8"/>
      <c r="BN51" s="8"/>
    </row>
    <row r="52" spans="1:66">
      <c r="A52" s="17">
        <v>50</v>
      </c>
      <c r="B52" s="18">
        <v>6.7464346677810676</v>
      </c>
      <c r="C52" s="19">
        <v>0.49748581458436758</v>
      </c>
      <c r="AH52" s="47">
        <v>5.3</v>
      </c>
      <c r="AI52" s="47"/>
      <c r="AJ52" s="47"/>
      <c r="AK52" s="47">
        <v>2.8</v>
      </c>
      <c r="AL52" s="47">
        <v>0</v>
      </c>
      <c r="AM52" s="47"/>
      <c r="AN52" s="47"/>
      <c r="BC52" s="8"/>
      <c r="BD52" s="8"/>
      <c r="BE52" s="8"/>
      <c r="BF52" s="8"/>
      <c r="BG52" s="8"/>
      <c r="BH52" s="8"/>
      <c r="BI52" s="8"/>
      <c r="BJ52" s="8"/>
      <c r="BK52" s="8"/>
      <c r="BL52" s="8"/>
      <c r="BM52" s="8"/>
      <c r="BN52" s="8"/>
    </row>
    <row r="53" spans="1:66">
      <c r="A53" s="17">
        <v>51</v>
      </c>
      <c r="B53" s="18">
        <v>6.1851425452970252</v>
      </c>
      <c r="C53" s="19">
        <v>0.44930206534865008</v>
      </c>
      <c r="AH53" s="47">
        <v>5.4</v>
      </c>
      <c r="AI53" s="47"/>
      <c r="AJ53" s="47"/>
      <c r="AK53" s="47">
        <v>2.8</v>
      </c>
      <c r="AL53" s="47">
        <v>0</v>
      </c>
      <c r="AM53" s="47"/>
      <c r="AN53" s="47"/>
      <c r="BC53" s="8"/>
      <c r="BD53" s="8"/>
      <c r="BE53" s="8"/>
      <c r="BF53" s="8"/>
      <c r="BG53" s="8"/>
      <c r="BH53" s="8"/>
      <c r="BI53" s="8"/>
      <c r="BJ53" s="8"/>
      <c r="BK53" s="8"/>
      <c r="BL53" s="8"/>
      <c r="BM53" s="8"/>
      <c r="BN53" s="8"/>
    </row>
    <row r="54" spans="1:66">
      <c r="A54" s="17">
        <v>52</v>
      </c>
      <c r="B54" s="18">
        <v>6.9203077053720712</v>
      </c>
      <c r="C54" s="19">
        <v>0.45820805791524283</v>
      </c>
      <c r="AH54" s="47">
        <v>5.5</v>
      </c>
      <c r="AI54" s="47"/>
      <c r="AJ54" s="47"/>
      <c r="AK54" s="47">
        <v>2.9</v>
      </c>
      <c r="AL54" s="47">
        <v>0</v>
      </c>
      <c r="AM54" s="47"/>
      <c r="AN54" s="47"/>
      <c r="BC54" s="8"/>
      <c r="BD54" s="8"/>
      <c r="BE54" s="8"/>
      <c r="BF54" s="8"/>
      <c r="BG54" s="8"/>
      <c r="BH54" s="8"/>
      <c r="BI54" s="8"/>
      <c r="BJ54" s="8"/>
      <c r="BK54" s="8"/>
      <c r="BL54" s="8"/>
      <c r="BM54" s="8"/>
      <c r="BN54" s="8"/>
    </row>
    <row r="55" spans="1:66">
      <c r="A55" s="17">
        <v>53</v>
      </c>
      <c r="B55" s="18">
        <v>6.6944146928911623</v>
      </c>
      <c r="C55" s="19">
        <v>0.52854749081132857</v>
      </c>
      <c r="AH55" s="47">
        <v>5.6</v>
      </c>
      <c r="AI55" s="47"/>
      <c r="AJ55" s="47"/>
      <c r="AK55" s="47">
        <v>2.9</v>
      </c>
      <c r="AL55" s="47">
        <v>0</v>
      </c>
      <c r="AM55" s="47"/>
      <c r="AN55" s="47"/>
      <c r="BC55" s="8"/>
      <c r="BD55" s="8"/>
      <c r="BE55" s="8"/>
      <c r="BF55" s="8"/>
      <c r="BG55" s="8"/>
      <c r="BH55" s="8"/>
      <c r="BI55" s="8"/>
      <c r="BJ55" s="8"/>
      <c r="BK55" s="8"/>
      <c r="BL55" s="8"/>
      <c r="BM55" s="8"/>
      <c r="BN55" s="8"/>
    </row>
    <row r="56" spans="1:66">
      <c r="A56" s="17">
        <v>54</v>
      </c>
      <c r="B56" s="18">
        <v>7.393482986806343</v>
      </c>
      <c r="C56" s="19">
        <v>0.49499072981569675</v>
      </c>
      <c r="AH56" s="47">
        <v>5.7</v>
      </c>
      <c r="AI56" s="47"/>
      <c r="AJ56" s="47"/>
      <c r="AK56" s="47">
        <v>3</v>
      </c>
      <c r="AL56" s="47">
        <v>0</v>
      </c>
      <c r="AM56" s="47"/>
      <c r="AN56" s="47"/>
      <c r="BC56" s="8"/>
      <c r="BD56" s="8"/>
      <c r="BE56" s="8"/>
      <c r="BF56" s="8"/>
      <c r="BG56" s="8"/>
      <c r="BH56" s="8"/>
      <c r="BI56" s="8"/>
      <c r="BJ56" s="8"/>
      <c r="BK56" s="8"/>
      <c r="BL56" s="8"/>
      <c r="BM56" s="8"/>
      <c r="BN56" s="8"/>
    </row>
    <row r="57" spans="1:66">
      <c r="A57" s="17">
        <v>55</v>
      </c>
      <c r="B57" s="18">
        <v>6.7565235728936388</v>
      </c>
      <c r="C57" s="19">
        <v>0.52501741919913847</v>
      </c>
      <c r="AH57" s="47">
        <v>5.8</v>
      </c>
      <c r="AI57" s="47"/>
      <c r="AJ57" s="47"/>
      <c r="AK57" s="47">
        <v>3</v>
      </c>
      <c r="AL57" s="47">
        <v>0</v>
      </c>
      <c r="AM57" s="47"/>
      <c r="AN57" s="47"/>
      <c r="BC57" s="8"/>
      <c r="BD57" s="8"/>
      <c r="BE57" s="8"/>
      <c r="BF57" s="8"/>
      <c r="BG57" s="8"/>
      <c r="BH57" s="8"/>
      <c r="BI57" s="8"/>
      <c r="BJ57" s="8"/>
      <c r="BK57" s="8"/>
      <c r="BL57" s="8"/>
      <c r="BM57" s="8"/>
      <c r="BN57" s="8"/>
    </row>
    <row r="58" spans="1:66">
      <c r="A58" s="17">
        <v>56</v>
      </c>
      <c r="B58" s="18">
        <v>6.7810213377157167</v>
      </c>
      <c r="C58" s="19">
        <v>0.47102355517196043</v>
      </c>
      <c r="AH58" s="47">
        <v>5.9</v>
      </c>
      <c r="AI58" s="47"/>
      <c r="AJ58" s="47"/>
      <c r="AK58" s="47">
        <v>3.1</v>
      </c>
      <c r="AL58" s="47">
        <v>0</v>
      </c>
      <c r="AM58" s="47"/>
      <c r="AN58" s="47"/>
      <c r="BC58" s="8"/>
      <c r="BD58" s="8"/>
      <c r="BE58" s="8"/>
      <c r="BF58" s="8"/>
      <c r="BG58" s="8"/>
      <c r="BH58" s="8"/>
      <c r="BI58" s="8"/>
      <c r="BJ58" s="8"/>
      <c r="BK58" s="8"/>
      <c r="BL58" s="8"/>
      <c r="BM58" s="8"/>
      <c r="BN58" s="8"/>
    </row>
    <row r="59" spans="1:66">
      <c r="A59" s="17">
        <v>57</v>
      </c>
      <c r="B59" s="18">
        <v>6.8946945395529191</v>
      </c>
      <c r="C59" s="19">
        <v>0.50135624417986357</v>
      </c>
      <c r="AH59" s="47">
        <v>6</v>
      </c>
      <c r="AI59" s="47"/>
      <c r="AJ59" s="47"/>
      <c r="AK59" s="47">
        <v>3.1</v>
      </c>
      <c r="AL59" s="47">
        <v>0</v>
      </c>
      <c r="AM59" s="47"/>
      <c r="AN59" s="47"/>
      <c r="BC59" s="8"/>
      <c r="BD59" s="8"/>
      <c r="BE59" s="8"/>
      <c r="BF59" s="8"/>
      <c r="BG59" s="8"/>
      <c r="BH59" s="8"/>
      <c r="BI59" s="8"/>
      <c r="BJ59" s="8"/>
      <c r="BK59" s="8"/>
      <c r="BL59" s="8"/>
      <c r="BM59" s="8"/>
      <c r="BN59" s="8"/>
    </row>
    <row r="60" spans="1:66">
      <c r="A60" s="17">
        <v>58</v>
      </c>
      <c r="B60" s="18">
        <v>6.9935323047357185</v>
      </c>
      <c r="C60" s="19">
        <v>0.37894461801960155</v>
      </c>
      <c r="AH60" s="47">
        <v>6.1</v>
      </c>
      <c r="AI60" s="47"/>
      <c r="AJ60" s="47"/>
      <c r="AK60" s="47">
        <v>3.2</v>
      </c>
      <c r="AL60" s="47">
        <v>0</v>
      </c>
      <c r="AM60" s="47"/>
      <c r="AN60" s="47"/>
      <c r="BC60" s="8"/>
      <c r="BD60" s="8"/>
      <c r="BE60" s="8"/>
      <c r="BF60" s="8"/>
      <c r="BG60" s="8"/>
      <c r="BH60" s="8"/>
      <c r="BI60" s="8"/>
      <c r="BJ60" s="8"/>
      <c r="BK60" s="8"/>
      <c r="BL60" s="8"/>
      <c r="BM60" s="8"/>
      <c r="BN60" s="8"/>
    </row>
    <row r="61" spans="1:66">
      <c r="A61" s="17">
        <v>59</v>
      </c>
      <c r="B61" s="18">
        <v>6.8478509646448087</v>
      </c>
      <c r="C61" s="19">
        <v>0.46967437488827424</v>
      </c>
      <c r="AH61" s="47">
        <v>6.2</v>
      </c>
      <c r="AI61" s="47"/>
      <c r="AJ61" s="47"/>
      <c r="AK61" s="47">
        <v>3.2</v>
      </c>
      <c r="AL61" s="47">
        <v>0</v>
      </c>
      <c r="AM61" s="47"/>
      <c r="AN61" s="47"/>
      <c r="BC61" s="8"/>
      <c r="BD61" s="8"/>
      <c r="BE61" s="8"/>
      <c r="BF61" s="8"/>
      <c r="BG61" s="8"/>
      <c r="BH61" s="8"/>
      <c r="BI61" s="8"/>
      <c r="BJ61" s="8"/>
      <c r="BK61" s="8"/>
      <c r="BL61" s="8"/>
      <c r="BM61" s="8"/>
      <c r="BN61" s="8"/>
    </row>
    <row r="62" spans="1:66">
      <c r="A62" s="17">
        <v>60</v>
      </c>
      <c r="B62" s="18">
        <v>6.5966628546909725</v>
      </c>
      <c r="C62" s="19">
        <v>0.39205949007115765</v>
      </c>
      <c r="AH62" s="47">
        <v>6.3</v>
      </c>
      <c r="AI62" s="47"/>
      <c r="AJ62" s="47"/>
      <c r="AK62" s="47">
        <v>3.3</v>
      </c>
      <c r="AL62" s="47">
        <v>0</v>
      </c>
      <c r="AM62" s="47"/>
      <c r="AN62" s="47"/>
      <c r="BC62" s="8"/>
      <c r="BD62" s="8"/>
      <c r="BE62" s="8"/>
      <c r="BF62" s="8"/>
      <c r="BG62" s="8"/>
      <c r="BH62" s="8"/>
      <c r="BI62" s="8"/>
      <c r="BJ62" s="8"/>
      <c r="BK62" s="8"/>
      <c r="BL62" s="8"/>
      <c r="BM62" s="8"/>
      <c r="BN62" s="8"/>
    </row>
    <row r="63" spans="1:66">
      <c r="A63" s="17">
        <v>61</v>
      </c>
      <c r="B63" s="18">
        <v>6.7358122656038102</v>
      </c>
      <c r="C63" s="19">
        <v>0.49044171269829245</v>
      </c>
      <c r="AH63" s="47">
        <v>6.4</v>
      </c>
      <c r="AI63" s="47"/>
      <c r="AJ63" s="47"/>
      <c r="AK63" s="47">
        <v>3.3</v>
      </c>
      <c r="AL63" s="47">
        <v>0</v>
      </c>
      <c r="AM63" s="47"/>
      <c r="AN63" s="47"/>
      <c r="BC63" s="8"/>
      <c r="BD63" s="8"/>
      <c r="BE63" s="8"/>
      <c r="BF63" s="8"/>
      <c r="BG63" s="8"/>
      <c r="BH63" s="8"/>
      <c r="BI63" s="8"/>
      <c r="BJ63" s="8"/>
      <c r="BK63" s="8"/>
      <c r="BL63" s="8"/>
      <c r="BM63" s="8"/>
      <c r="BN63" s="8"/>
    </row>
    <row r="64" spans="1:66">
      <c r="A64" s="17">
        <v>62</v>
      </c>
      <c r="B64" s="18">
        <v>6.5345190378764517</v>
      </c>
      <c r="C64" s="19">
        <v>0.47977127157287774</v>
      </c>
      <c r="AH64" s="47">
        <v>6.5</v>
      </c>
      <c r="AI64" s="47"/>
      <c r="AJ64" s="47"/>
      <c r="AK64" s="47">
        <v>3.4</v>
      </c>
      <c r="AL64" s="47">
        <v>0</v>
      </c>
      <c r="AM64" s="47"/>
      <c r="AN64" s="47"/>
      <c r="BC64" s="8"/>
      <c r="BD64" s="8"/>
      <c r="BE64" s="8"/>
      <c r="BF64" s="8"/>
      <c r="BG64" s="8"/>
      <c r="BH64" s="8"/>
      <c r="BI64" s="8"/>
      <c r="BJ64" s="8"/>
      <c r="BK64" s="8"/>
      <c r="BL64" s="8"/>
      <c r="BM64" s="8"/>
      <c r="BN64" s="8"/>
    </row>
    <row r="65" spans="1:66">
      <c r="A65" s="17">
        <v>63</v>
      </c>
      <c r="B65" s="18">
        <v>6.4874681303702548</v>
      </c>
      <c r="C65" s="19">
        <v>0.4302117393687952</v>
      </c>
      <c r="AH65" s="47">
        <v>6.6</v>
      </c>
      <c r="AI65" s="47"/>
      <c r="AJ65" s="47"/>
      <c r="AK65" s="47">
        <v>3.4</v>
      </c>
      <c r="AL65" s="47">
        <v>0</v>
      </c>
      <c r="AM65" s="47"/>
      <c r="AN65" s="47"/>
      <c r="BC65" s="8"/>
      <c r="BD65" s="8"/>
      <c r="BE65" s="8"/>
      <c r="BF65" s="8"/>
      <c r="BG65" s="8"/>
      <c r="BH65" s="8"/>
      <c r="BI65" s="8"/>
      <c r="BJ65" s="8"/>
      <c r="BK65" s="8"/>
      <c r="BL65" s="8"/>
      <c r="BM65" s="8"/>
      <c r="BN65" s="8"/>
    </row>
    <row r="66" spans="1:66">
      <c r="A66" s="17">
        <v>64</v>
      </c>
      <c r="B66" s="18">
        <v>6.6498870907231051</v>
      </c>
      <c r="C66" s="19">
        <v>0.45650874074411035</v>
      </c>
      <c r="AH66" s="47">
        <v>6.7</v>
      </c>
      <c r="AI66" s="47"/>
      <c r="AJ66" s="47"/>
      <c r="AK66" s="47">
        <v>3.5</v>
      </c>
      <c r="AL66" s="47">
        <v>0</v>
      </c>
      <c r="AM66" s="47"/>
      <c r="AN66" s="47"/>
      <c r="BC66" s="8"/>
      <c r="BD66" s="8"/>
      <c r="BE66" s="8"/>
      <c r="BF66" s="8"/>
      <c r="BG66" s="8"/>
      <c r="BH66" s="8"/>
      <c r="BI66" s="8"/>
      <c r="BJ66" s="8"/>
      <c r="BK66" s="8"/>
      <c r="BL66" s="8"/>
      <c r="BM66" s="8"/>
      <c r="BN66" s="8"/>
    </row>
    <row r="67" spans="1:66">
      <c r="A67" s="17">
        <v>65</v>
      </c>
      <c r="B67" s="18">
        <v>6.6683159608772788</v>
      </c>
      <c r="C67" s="19">
        <v>0.42914943072849826</v>
      </c>
      <c r="AH67" s="47">
        <v>6.8</v>
      </c>
      <c r="AI67" s="47"/>
      <c r="AJ67" s="47"/>
      <c r="AK67" s="47">
        <v>3.5</v>
      </c>
      <c r="AL67" s="47">
        <v>0</v>
      </c>
      <c r="AM67" s="47"/>
      <c r="AN67" s="47"/>
      <c r="BC67" s="8"/>
      <c r="BD67" s="8"/>
      <c r="BE67" s="8"/>
      <c r="BF67" s="8"/>
      <c r="BG67" s="8"/>
      <c r="BH67" s="8"/>
      <c r="BI67" s="8"/>
      <c r="BJ67" s="8"/>
      <c r="BK67" s="8"/>
      <c r="BL67" s="8"/>
      <c r="BM67" s="8"/>
      <c r="BN67" s="8"/>
    </row>
    <row r="68" spans="1:66">
      <c r="A68" s="17">
        <v>66</v>
      </c>
      <c r="B68" s="18">
        <v>6.6654459554386332</v>
      </c>
      <c r="C68" s="19">
        <v>0.4350497606335707</v>
      </c>
      <c r="AH68" s="8">
        <v>6.9</v>
      </c>
      <c r="AK68" s="8">
        <v>3.6</v>
      </c>
      <c r="AL68" s="8">
        <v>0</v>
      </c>
      <c r="BC68" s="8"/>
      <c r="BD68" s="8"/>
      <c r="BE68" s="8"/>
      <c r="BF68" s="8"/>
      <c r="BG68" s="8"/>
      <c r="BH68" s="8"/>
      <c r="BI68" s="8"/>
      <c r="BJ68" s="8"/>
      <c r="BK68" s="8"/>
      <c r="BL68" s="8"/>
      <c r="BM68" s="8"/>
      <c r="BN68" s="8"/>
    </row>
    <row r="69" spans="1:66">
      <c r="A69" s="17">
        <v>67</v>
      </c>
      <c r="B69" s="18">
        <v>6.906929569958689</v>
      </c>
      <c r="C69" s="19">
        <v>0.52293962140299255</v>
      </c>
      <c r="AH69" s="8">
        <v>7</v>
      </c>
      <c r="AK69" s="8">
        <v>3.6</v>
      </c>
      <c r="AL69" s="8">
        <v>0</v>
      </c>
      <c r="BC69" s="8"/>
      <c r="BD69" s="8"/>
      <c r="BE69" s="8"/>
      <c r="BF69" s="8"/>
      <c r="BG69" s="8"/>
      <c r="BH69" s="8"/>
      <c r="BI69" s="8"/>
      <c r="BJ69" s="8"/>
      <c r="BK69" s="8"/>
      <c r="BL69" s="8"/>
      <c r="BM69" s="8"/>
      <c r="BN69" s="8"/>
    </row>
    <row r="70" spans="1:66">
      <c r="A70" s="17">
        <v>68</v>
      </c>
      <c r="B70" s="18">
        <v>6.6640099770567405</v>
      </c>
      <c r="C70" s="19">
        <v>0.49591319171544934</v>
      </c>
      <c r="AH70" s="8">
        <v>7.1</v>
      </c>
      <c r="AK70" s="8">
        <v>3.7</v>
      </c>
      <c r="AL70" s="8">
        <v>0</v>
      </c>
      <c r="BC70" s="8"/>
      <c r="BD70" s="8"/>
      <c r="BE70" s="8"/>
      <c r="BF70" s="8"/>
      <c r="BG70" s="8"/>
      <c r="BH70" s="8"/>
      <c r="BI70" s="8"/>
      <c r="BJ70" s="8"/>
      <c r="BK70" s="8"/>
      <c r="BL70" s="8"/>
      <c r="BM70" s="8"/>
      <c r="BN70" s="8"/>
    </row>
    <row r="71" spans="1:66">
      <c r="A71" s="17">
        <v>69</v>
      </c>
      <c r="B71" s="18">
        <v>6.6808392209810936</v>
      </c>
      <c r="C71" s="19">
        <v>0.52308320680656673</v>
      </c>
      <c r="AH71" s="8">
        <v>7.2</v>
      </c>
      <c r="AK71" s="8">
        <v>3.7</v>
      </c>
      <c r="AL71" s="8">
        <v>0</v>
      </c>
      <c r="BC71" s="8"/>
      <c r="BD71" s="8"/>
      <c r="BE71" s="8"/>
      <c r="BF71" s="8"/>
      <c r="BG71" s="8"/>
      <c r="BH71" s="8"/>
      <c r="BI71" s="8"/>
      <c r="BJ71" s="8"/>
      <c r="BK71" s="8"/>
      <c r="BL71" s="8"/>
      <c r="BM71" s="8"/>
      <c r="BN71" s="8"/>
    </row>
    <row r="72" spans="1:66">
      <c r="A72" s="17">
        <v>70</v>
      </c>
      <c r="B72" s="18">
        <v>6.3934949151992173</v>
      </c>
      <c r="C72" s="19">
        <v>0.43947474053244229</v>
      </c>
      <c r="AH72" s="8">
        <v>7.3</v>
      </c>
      <c r="AK72" s="8">
        <v>3.8</v>
      </c>
      <c r="AL72" s="8">
        <v>0</v>
      </c>
      <c r="BC72" s="8"/>
      <c r="BD72" s="8"/>
      <c r="BE72" s="8"/>
      <c r="BF72" s="8"/>
      <c r="BG72" s="8"/>
      <c r="BH72" s="8"/>
      <c r="BI72" s="8"/>
      <c r="BJ72" s="8"/>
      <c r="BK72" s="8"/>
      <c r="BL72" s="8"/>
      <c r="BM72" s="8"/>
      <c r="BN72" s="8"/>
    </row>
    <row r="73" spans="1:66">
      <c r="A73" s="17">
        <v>71</v>
      </c>
      <c r="B73" s="18">
        <v>6.4096982325828415</v>
      </c>
      <c r="C73" s="19">
        <v>0.44386271054932502</v>
      </c>
      <c r="AH73" s="8">
        <v>7.4</v>
      </c>
      <c r="AK73" s="8">
        <v>3.8</v>
      </c>
      <c r="AL73" s="8">
        <v>0</v>
      </c>
      <c r="BC73" s="8"/>
      <c r="BD73" s="8"/>
      <c r="BE73" s="8"/>
      <c r="BF73" s="8"/>
      <c r="BG73" s="8"/>
      <c r="BH73" s="8"/>
      <c r="BI73" s="8"/>
      <c r="BJ73" s="8"/>
      <c r="BK73" s="8"/>
      <c r="BL73" s="8"/>
      <c r="BM73" s="8"/>
      <c r="BN73" s="8"/>
    </row>
    <row r="74" spans="1:66">
      <c r="A74" s="17">
        <v>72</v>
      </c>
      <c r="B74" s="18">
        <v>6.8336526878833217</v>
      </c>
      <c r="C74" s="19">
        <v>0.5446503224091731</v>
      </c>
      <c r="AH74" s="8">
        <v>7.5</v>
      </c>
      <c r="AK74" s="8">
        <v>3.9</v>
      </c>
      <c r="AL74" s="8">
        <v>0</v>
      </c>
      <c r="BC74" s="8"/>
      <c r="BD74" s="8"/>
      <c r="BE74" s="8"/>
      <c r="BF74" s="8"/>
      <c r="BG74" s="8"/>
      <c r="BH74" s="8"/>
      <c r="BI74" s="8"/>
      <c r="BJ74" s="8"/>
      <c r="BK74" s="8"/>
      <c r="BL74" s="8"/>
      <c r="BM74" s="8"/>
      <c r="BN74" s="8"/>
    </row>
    <row r="75" spans="1:66">
      <c r="A75" s="17">
        <v>73</v>
      </c>
      <c r="B75" s="18">
        <v>6.6635659955211288</v>
      </c>
      <c r="C75" s="19">
        <v>0.47053054972326214</v>
      </c>
      <c r="AH75" s="8">
        <v>7.6</v>
      </c>
      <c r="AK75" s="8">
        <v>3.9</v>
      </c>
      <c r="AL75" s="8">
        <v>0</v>
      </c>
      <c r="BC75" s="8"/>
      <c r="BD75" s="8"/>
      <c r="BE75" s="8"/>
      <c r="BF75" s="8"/>
      <c r="BG75" s="8"/>
      <c r="BH75" s="8"/>
      <c r="BI75" s="8"/>
      <c r="BJ75" s="8"/>
      <c r="BK75" s="8"/>
      <c r="BL75" s="8"/>
      <c r="BM75" s="8"/>
      <c r="BN75" s="8"/>
    </row>
    <row r="76" spans="1:66">
      <c r="A76" s="17">
        <v>74</v>
      </c>
      <c r="B76" s="18">
        <v>7.0101835006698741</v>
      </c>
      <c r="C76" s="19">
        <v>0.44481748239257729</v>
      </c>
      <c r="AH76" s="8">
        <v>7.7</v>
      </c>
      <c r="AK76" s="8">
        <v>4</v>
      </c>
      <c r="AL76" s="8">
        <v>0</v>
      </c>
      <c r="BC76" s="8"/>
      <c r="BD76" s="8"/>
      <c r="BE76" s="8"/>
      <c r="BF76" s="8"/>
      <c r="BG76" s="8"/>
      <c r="BH76" s="8"/>
      <c r="BI76" s="8"/>
      <c r="BJ76" s="8"/>
      <c r="BK76" s="8"/>
      <c r="BL76" s="8"/>
      <c r="BM76" s="8"/>
      <c r="BN76" s="8"/>
    </row>
    <row r="77" spans="1:66">
      <c r="A77" s="17">
        <v>75</v>
      </c>
      <c r="B77" s="18">
        <v>6.292775107216829</v>
      </c>
      <c r="C77" s="19">
        <v>0.44336743449378629</v>
      </c>
      <c r="AH77" s="8">
        <v>7.8</v>
      </c>
      <c r="AK77" s="8">
        <v>4</v>
      </c>
      <c r="AL77" s="8">
        <v>0</v>
      </c>
      <c r="BC77" s="8"/>
      <c r="BD77" s="8"/>
      <c r="BE77" s="8"/>
      <c r="BF77" s="8"/>
      <c r="BG77" s="8"/>
      <c r="BH77" s="8"/>
      <c r="BI77" s="8"/>
      <c r="BJ77" s="8"/>
      <c r="BK77" s="8"/>
      <c r="BL77" s="8"/>
      <c r="BM77" s="8"/>
      <c r="BN77" s="8"/>
    </row>
    <row r="78" spans="1:66">
      <c r="A78" s="17">
        <v>76</v>
      </c>
      <c r="B78" s="18">
        <v>7.1804029360233761</v>
      </c>
      <c r="C78" s="19">
        <v>0.48190450892984377</v>
      </c>
      <c r="AH78" s="8">
        <v>7.9</v>
      </c>
      <c r="AK78" s="8">
        <v>4.0999999999999996</v>
      </c>
      <c r="AL78" s="8">
        <v>0</v>
      </c>
      <c r="BC78" s="8"/>
      <c r="BD78" s="8"/>
      <c r="BE78" s="8"/>
      <c r="BF78" s="8"/>
      <c r="BG78" s="8"/>
      <c r="BH78" s="8"/>
      <c r="BI78" s="8"/>
      <c r="BJ78" s="8"/>
      <c r="BK78" s="8"/>
      <c r="BL78" s="8"/>
      <c r="BM78" s="8"/>
      <c r="BN78" s="8"/>
    </row>
    <row r="79" spans="1:66">
      <c r="A79" s="17">
        <v>77</v>
      </c>
      <c r="B79" s="18">
        <v>6.5822631659176301</v>
      </c>
      <c r="C79" s="19">
        <v>0.48942654616108267</v>
      </c>
      <c r="AH79" s="8">
        <v>8</v>
      </c>
      <c r="AK79" s="8">
        <v>4.0999999999999996</v>
      </c>
      <c r="AL79" s="8">
        <v>0</v>
      </c>
      <c r="BC79" s="8"/>
      <c r="BD79" s="8"/>
      <c r="BE79" s="8"/>
      <c r="BF79" s="8"/>
      <c r="BG79" s="8"/>
      <c r="BH79" s="8"/>
      <c r="BI79" s="8"/>
      <c r="BJ79" s="8"/>
      <c r="BK79" s="8"/>
      <c r="BL79" s="8"/>
      <c r="BM79" s="8"/>
      <c r="BN79" s="8"/>
    </row>
    <row r="80" spans="1:66">
      <c r="A80" s="17">
        <v>78</v>
      </c>
      <c r="B80" s="18">
        <v>7.2241694770138656</v>
      </c>
      <c r="C80" s="19">
        <v>0.52954524951208115</v>
      </c>
      <c r="AH80" s="8">
        <v>8.1</v>
      </c>
      <c r="AK80" s="8">
        <v>4.2</v>
      </c>
      <c r="AL80" s="8">
        <v>0</v>
      </c>
      <c r="BC80" s="8"/>
      <c r="BD80" s="8"/>
      <c r="BE80" s="8"/>
      <c r="BF80" s="8"/>
      <c r="BG80" s="8"/>
      <c r="BH80" s="8"/>
      <c r="BI80" s="8"/>
      <c r="BJ80" s="8"/>
      <c r="BK80" s="8"/>
      <c r="BL80" s="8"/>
      <c r="BM80" s="8"/>
      <c r="BN80" s="8"/>
    </row>
    <row r="81" spans="1:66">
      <c r="A81" s="17">
        <v>79</v>
      </c>
      <c r="B81" s="18">
        <v>6.5718537125154972</v>
      </c>
      <c r="C81" s="19">
        <v>0.47930660268894504</v>
      </c>
      <c r="AH81" s="8">
        <v>8.1999999999999993</v>
      </c>
      <c r="AK81" s="8">
        <v>4.2</v>
      </c>
      <c r="AL81" s="8">
        <v>0</v>
      </c>
      <c r="BC81" s="8"/>
      <c r="BD81" s="8"/>
      <c r="BE81" s="8"/>
      <c r="BF81" s="8"/>
      <c r="BG81" s="8"/>
      <c r="BH81" s="8"/>
      <c r="BI81" s="8"/>
      <c r="BJ81" s="8"/>
      <c r="BK81" s="8"/>
      <c r="BL81" s="8"/>
      <c r="BM81" s="8"/>
      <c r="BN81" s="8"/>
    </row>
    <row r="82" spans="1:66">
      <c r="A82" s="17">
        <v>80</v>
      </c>
      <c r="B82" s="18">
        <v>6.3098449650968318</v>
      </c>
      <c r="C82" s="19">
        <v>0.49003221013476644</v>
      </c>
      <c r="AH82" s="8">
        <v>8.3000000000000007</v>
      </c>
      <c r="AK82" s="8">
        <v>4.3</v>
      </c>
      <c r="AL82" s="8">
        <v>0</v>
      </c>
      <c r="BC82" s="8"/>
      <c r="BD82" s="8"/>
      <c r="BE82" s="8"/>
      <c r="BF82" s="8"/>
      <c r="BG82" s="8"/>
      <c r="BH82" s="8"/>
      <c r="BI82" s="8"/>
      <c r="BJ82" s="8"/>
      <c r="BK82" s="8"/>
      <c r="BL82" s="8"/>
      <c r="BM82" s="8"/>
      <c r="BN82" s="8"/>
    </row>
    <row r="83" spans="1:66">
      <c r="A83" s="17">
        <v>81</v>
      </c>
      <c r="B83" s="18">
        <v>6.6701502121007241</v>
      </c>
      <c r="C83" s="19">
        <v>0.48617535861222821</v>
      </c>
      <c r="AH83" s="8">
        <v>8.4</v>
      </c>
      <c r="AK83" s="8">
        <v>4.3</v>
      </c>
      <c r="AL83" s="8">
        <v>0</v>
      </c>
      <c r="BC83" s="8"/>
      <c r="BD83" s="8"/>
      <c r="BE83" s="8"/>
      <c r="BF83" s="8"/>
      <c r="BG83" s="8"/>
      <c r="BH83" s="8"/>
      <c r="BI83" s="8"/>
      <c r="BJ83" s="8"/>
      <c r="BK83" s="8"/>
      <c r="BL83" s="8"/>
      <c r="BM83" s="8"/>
      <c r="BN83" s="8"/>
    </row>
    <row r="84" spans="1:66">
      <c r="A84" s="17">
        <v>82</v>
      </c>
      <c r="B84" s="18">
        <v>7.1810306504784496</v>
      </c>
      <c r="C84" s="19">
        <v>0.55486121651603526</v>
      </c>
      <c r="AH84" s="8">
        <v>8.5</v>
      </c>
      <c r="AK84" s="8">
        <v>4.4000000000000004</v>
      </c>
      <c r="AL84" s="8">
        <v>0</v>
      </c>
      <c r="BC84" s="8"/>
      <c r="BD84" s="8"/>
      <c r="BE84" s="8"/>
      <c r="BF84" s="8"/>
      <c r="BG84" s="8"/>
      <c r="BH84" s="8"/>
      <c r="BI84" s="8"/>
      <c r="BJ84" s="8"/>
      <c r="BK84" s="8"/>
      <c r="BL84" s="8"/>
      <c r="BM84" s="8"/>
      <c r="BN84" s="8"/>
    </row>
    <row r="85" spans="1:66">
      <c r="A85" s="17">
        <v>83</v>
      </c>
      <c r="B85" s="18">
        <v>6.6614253623553896</v>
      </c>
      <c r="C85" s="19">
        <v>0.39615737062885625</v>
      </c>
      <c r="AK85" s="8">
        <v>4.4000000000000004</v>
      </c>
      <c r="AL85" s="8">
        <v>0</v>
      </c>
      <c r="BC85" s="8"/>
      <c r="BD85" s="8"/>
      <c r="BE85" s="8"/>
      <c r="BF85" s="8"/>
      <c r="BG85" s="8"/>
      <c r="BH85" s="8"/>
      <c r="BI85" s="8"/>
      <c r="BJ85" s="8"/>
      <c r="BK85" s="8"/>
      <c r="BL85" s="8"/>
      <c r="BM85" s="8"/>
      <c r="BN85" s="8"/>
    </row>
    <row r="86" spans="1:66">
      <c r="A86" s="17">
        <v>84</v>
      </c>
      <c r="B86" s="18">
        <v>6.6509903063717832</v>
      </c>
      <c r="C86" s="19">
        <v>0.48762243089223112</v>
      </c>
      <c r="AK86" s="8">
        <v>4.5</v>
      </c>
      <c r="AL86" s="8">
        <v>0</v>
      </c>
      <c r="BC86" s="8"/>
      <c r="BD86" s="8"/>
      <c r="BE86" s="8"/>
      <c r="BF86" s="8"/>
      <c r="BG86" s="8"/>
      <c r="BH86" s="8"/>
      <c r="BI86" s="8"/>
      <c r="BJ86" s="8"/>
      <c r="BK86" s="8"/>
      <c r="BL86" s="8"/>
      <c r="BM86" s="8"/>
      <c r="BN86" s="8"/>
    </row>
    <row r="87" spans="1:66">
      <c r="A87" s="17">
        <v>85</v>
      </c>
      <c r="B87" s="18">
        <v>6.3156387956246069</v>
      </c>
      <c r="C87" s="19">
        <v>0.47579204303298944</v>
      </c>
      <c r="AK87" s="8">
        <v>4.5</v>
      </c>
      <c r="AL87" s="8">
        <v>0</v>
      </c>
      <c r="BC87" s="8"/>
      <c r="BD87" s="8"/>
      <c r="BE87" s="8"/>
      <c r="BF87" s="8"/>
      <c r="BG87" s="8"/>
      <c r="BH87" s="8"/>
      <c r="BI87" s="8"/>
      <c r="BJ87" s="8"/>
      <c r="BK87" s="8"/>
      <c r="BL87" s="8"/>
      <c r="BM87" s="8"/>
      <c r="BN87" s="8"/>
    </row>
    <row r="88" spans="1:66">
      <c r="A88" s="17">
        <v>86</v>
      </c>
      <c r="B88" s="18">
        <v>7.3724832055278107</v>
      </c>
      <c r="C88" s="19">
        <v>0.52999194404586991</v>
      </c>
      <c r="AK88" s="8">
        <v>4.5999999999999996</v>
      </c>
      <c r="AL88" s="8">
        <v>0</v>
      </c>
      <c r="BC88" s="8"/>
      <c r="BD88" s="8"/>
      <c r="BE88" s="8"/>
      <c r="BF88" s="8"/>
      <c r="BG88" s="8"/>
      <c r="BH88" s="8"/>
      <c r="BI88" s="8"/>
      <c r="BJ88" s="8"/>
      <c r="BK88" s="8"/>
      <c r="BL88" s="8"/>
      <c r="BM88" s="8"/>
      <c r="BN88" s="8"/>
    </row>
    <row r="89" spans="1:66">
      <c r="A89" s="17">
        <v>87</v>
      </c>
      <c r="B89" s="18">
        <v>6.2432990416850291</v>
      </c>
      <c r="C89" s="19">
        <v>0.53505374800478112</v>
      </c>
      <c r="AK89" s="8">
        <v>4.5999999999999996</v>
      </c>
      <c r="AL89" s="8">
        <v>0</v>
      </c>
      <c r="BC89" s="8"/>
      <c r="BD89" s="8"/>
      <c r="BE89" s="8"/>
      <c r="BF89" s="8"/>
      <c r="BG89" s="8"/>
      <c r="BH89" s="8"/>
      <c r="BI89" s="8"/>
      <c r="BJ89" s="8"/>
      <c r="BK89" s="8"/>
      <c r="BL89" s="8"/>
      <c r="BM89" s="8"/>
      <c r="BN89" s="8"/>
    </row>
    <row r="90" spans="1:66">
      <c r="A90" s="17">
        <v>88</v>
      </c>
      <c r="B90" s="18">
        <v>6.6103275897964791</v>
      </c>
      <c r="C90" s="19">
        <v>0.51765437871264131</v>
      </c>
      <c r="AK90" s="8">
        <v>4.7</v>
      </c>
      <c r="AL90" s="8">
        <v>0</v>
      </c>
      <c r="BC90" s="8"/>
      <c r="BD90" s="8"/>
      <c r="BE90" s="8"/>
      <c r="BF90" s="8"/>
      <c r="BG90" s="8"/>
      <c r="BH90" s="8"/>
      <c r="BI90" s="8"/>
      <c r="BJ90" s="8"/>
      <c r="BK90" s="8"/>
      <c r="BL90" s="8"/>
      <c r="BM90" s="8"/>
      <c r="BN90" s="8"/>
    </row>
    <row r="91" spans="1:66">
      <c r="A91" s="17">
        <v>89</v>
      </c>
      <c r="B91" s="18">
        <v>7.0047014742200231</v>
      </c>
      <c r="C91" s="19">
        <v>0.43357072336090485</v>
      </c>
      <c r="AK91" s="8">
        <v>4.7</v>
      </c>
      <c r="AL91" s="8">
        <v>0</v>
      </c>
      <c r="BC91" s="8"/>
      <c r="BD91" s="8"/>
      <c r="BE91" s="8"/>
      <c r="BF91" s="8"/>
      <c r="BG91" s="8"/>
      <c r="BH91" s="8"/>
      <c r="BI91" s="8"/>
      <c r="BJ91" s="8"/>
      <c r="BK91" s="8"/>
      <c r="BL91" s="8"/>
      <c r="BM91" s="8"/>
      <c r="BN91" s="8"/>
    </row>
    <row r="92" spans="1:66">
      <c r="A92" s="17">
        <v>90</v>
      </c>
      <c r="B92" s="18">
        <v>6.5718668880603808</v>
      </c>
      <c r="C92" s="19">
        <v>0.46694459243901854</v>
      </c>
      <c r="AK92" s="8">
        <v>4.8</v>
      </c>
      <c r="AL92" s="8">
        <v>0</v>
      </c>
      <c r="BC92" s="8"/>
      <c r="BD92" s="8"/>
      <c r="BE92" s="8"/>
      <c r="BF92" s="8"/>
      <c r="BG92" s="8"/>
      <c r="BH92" s="8"/>
      <c r="BI92" s="8"/>
      <c r="BJ92" s="8"/>
      <c r="BK92" s="8"/>
      <c r="BL92" s="8"/>
      <c r="BM92" s="8"/>
      <c r="BN92" s="8"/>
    </row>
    <row r="93" spans="1:66">
      <c r="A93" s="17">
        <v>91</v>
      </c>
      <c r="B93" s="18">
        <v>7.9260586269679321</v>
      </c>
      <c r="C93" s="19">
        <v>0.52289998972925855</v>
      </c>
      <c r="AK93" s="8">
        <v>4.8</v>
      </c>
      <c r="AL93" s="8">
        <v>0</v>
      </c>
      <c r="BC93" s="8"/>
      <c r="BD93" s="8"/>
      <c r="BE93" s="8"/>
      <c r="BF93" s="8"/>
      <c r="BG93" s="8"/>
      <c r="BH93" s="8"/>
      <c r="BI93" s="8"/>
      <c r="BJ93" s="8"/>
      <c r="BK93" s="8"/>
      <c r="BL93" s="8"/>
      <c r="BM93" s="8"/>
      <c r="BN93" s="8"/>
    </row>
    <row r="94" spans="1:66">
      <c r="A94" s="17">
        <v>92</v>
      </c>
      <c r="B94" s="18">
        <v>7.289039689014067</v>
      </c>
      <c r="C94" s="19">
        <v>0.48680874669637353</v>
      </c>
      <c r="AK94" s="8">
        <v>4.9000000000000004</v>
      </c>
      <c r="AL94" s="8">
        <v>0</v>
      </c>
      <c r="BC94" s="8"/>
      <c r="BD94" s="8"/>
      <c r="BE94" s="8"/>
      <c r="BF94" s="8"/>
      <c r="BG94" s="8"/>
      <c r="BH94" s="8"/>
      <c r="BI94" s="8"/>
      <c r="BJ94" s="8"/>
      <c r="BK94" s="8"/>
      <c r="BL94" s="8"/>
      <c r="BM94" s="8"/>
      <c r="BN94" s="8"/>
    </row>
    <row r="95" spans="1:66">
      <c r="A95" s="17">
        <v>93</v>
      </c>
      <c r="B95" s="18">
        <v>7.3214496151492847</v>
      </c>
      <c r="C95" s="19">
        <v>0.50830683898772289</v>
      </c>
      <c r="AK95" s="8">
        <v>4.9000000000000004</v>
      </c>
      <c r="AL95" s="8">
        <v>0</v>
      </c>
      <c r="BC95" s="8"/>
      <c r="BD95" s="8"/>
      <c r="BE95" s="8"/>
      <c r="BF95" s="8"/>
      <c r="BG95" s="8"/>
      <c r="BH95" s="8"/>
      <c r="BI95" s="8"/>
      <c r="BJ95" s="8"/>
      <c r="BK95" s="8"/>
      <c r="BL95" s="8"/>
      <c r="BM95" s="8"/>
      <c r="BN95" s="8"/>
    </row>
    <row r="96" spans="1:66">
      <c r="A96" s="17">
        <v>94</v>
      </c>
      <c r="B96" s="18">
        <v>6.7668107947069034</v>
      </c>
      <c r="C96" s="19">
        <v>0.53377073445062917</v>
      </c>
      <c r="AK96" s="8">
        <v>5</v>
      </c>
      <c r="AL96" s="8">
        <v>0</v>
      </c>
      <c r="BC96" s="8"/>
      <c r="BD96" s="8"/>
      <c r="BE96" s="8"/>
      <c r="BF96" s="8"/>
      <c r="BG96" s="8"/>
      <c r="BH96" s="8"/>
      <c r="BI96" s="8"/>
      <c r="BJ96" s="8"/>
      <c r="BK96" s="8"/>
      <c r="BL96" s="8"/>
      <c r="BM96" s="8"/>
      <c r="BN96" s="8"/>
    </row>
    <row r="97" spans="1:66">
      <c r="A97" s="17">
        <v>95</v>
      </c>
      <c r="B97" s="18">
        <v>6.5062186728317055</v>
      </c>
      <c r="C97" s="19">
        <v>0.46028844686889958</v>
      </c>
      <c r="AK97" s="8">
        <v>5</v>
      </c>
      <c r="AL97" s="8">
        <v>0</v>
      </c>
      <c r="BC97" s="8"/>
      <c r="BD97" s="8"/>
      <c r="BE97" s="8"/>
      <c r="BF97" s="8"/>
      <c r="BG97" s="8"/>
      <c r="BH97" s="8"/>
      <c r="BI97" s="8"/>
      <c r="BJ97" s="8"/>
      <c r="BK97" s="8"/>
      <c r="BL97" s="8"/>
      <c r="BM97" s="8"/>
      <c r="BN97" s="8"/>
    </row>
    <row r="98" spans="1:66">
      <c r="A98" s="17">
        <v>96</v>
      </c>
      <c r="B98" s="18">
        <v>6.0068748552198841</v>
      </c>
      <c r="C98" s="19">
        <v>0.47232684542204018</v>
      </c>
      <c r="AK98" s="8">
        <v>5.0999999999999996</v>
      </c>
      <c r="AL98" s="8">
        <v>0</v>
      </c>
      <c r="BC98" s="8"/>
      <c r="BD98" s="8"/>
      <c r="BE98" s="8"/>
      <c r="BF98" s="8"/>
      <c r="BG98" s="8"/>
      <c r="BH98" s="8"/>
      <c r="BI98" s="8"/>
      <c r="BJ98" s="8"/>
      <c r="BK98" s="8"/>
      <c r="BL98" s="8"/>
      <c r="BM98" s="8"/>
      <c r="BN98" s="8"/>
    </row>
    <row r="99" spans="1:66">
      <c r="A99" s="17">
        <v>97</v>
      </c>
      <c r="B99" s="18">
        <v>6.6152791844166128</v>
      </c>
      <c r="C99" s="19">
        <v>0.43448481392896399</v>
      </c>
      <c r="AK99" s="8">
        <v>5.0999999999999996</v>
      </c>
      <c r="AL99" s="8">
        <v>0</v>
      </c>
      <c r="BC99" s="8"/>
      <c r="BD99" s="8"/>
      <c r="BE99" s="8"/>
      <c r="BF99" s="8"/>
      <c r="BG99" s="8"/>
      <c r="BH99" s="8"/>
      <c r="BI99" s="8"/>
      <c r="BJ99" s="8"/>
      <c r="BK99" s="8"/>
      <c r="BL99" s="8"/>
      <c r="BM99" s="8"/>
      <c r="BN99" s="8"/>
    </row>
    <row r="100" spans="1:66">
      <c r="A100" s="17">
        <v>98</v>
      </c>
      <c r="B100" s="18">
        <v>7.0260180710674742</v>
      </c>
      <c r="C100" s="19">
        <v>0.45159631285785357</v>
      </c>
      <c r="AK100" s="8">
        <v>5.2</v>
      </c>
      <c r="AL100" s="8">
        <v>0</v>
      </c>
      <c r="BC100" s="8"/>
      <c r="BD100" s="8"/>
      <c r="BE100" s="8"/>
      <c r="BF100" s="8"/>
      <c r="BG100" s="8"/>
      <c r="BH100" s="8"/>
      <c r="BI100" s="8"/>
      <c r="BJ100" s="8"/>
      <c r="BK100" s="8"/>
      <c r="BL100" s="8"/>
      <c r="BM100" s="8"/>
      <c r="BN100" s="8"/>
    </row>
    <row r="101" spans="1:66">
      <c r="A101" s="17">
        <v>99</v>
      </c>
      <c r="B101" s="18">
        <v>6.5497310300231621</v>
      </c>
      <c r="C101" s="19">
        <v>0.54133097192713553</v>
      </c>
      <c r="AK101" s="8">
        <v>5.2</v>
      </c>
      <c r="AL101" s="8">
        <v>0</v>
      </c>
      <c r="BC101" s="8"/>
      <c r="BD101" s="8"/>
      <c r="BE101" s="8"/>
      <c r="BF101" s="8"/>
      <c r="BG101" s="8"/>
      <c r="BH101" s="8"/>
      <c r="BI101" s="8"/>
      <c r="BJ101" s="8"/>
      <c r="BK101" s="8"/>
      <c r="BL101" s="8"/>
      <c r="BM101" s="8"/>
      <c r="BN101" s="8"/>
    </row>
    <row r="102" spans="1:66">
      <c r="A102" s="17">
        <v>100</v>
      </c>
      <c r="B102" s="18">
        <v>6.2531520745245803</v>
      </c>
      <c r="C102" s="19">
        <v>0.48024159896634516</v>
      </c>
      <c r="AK102" s="8">
        <v>5.3</v>
      </c>
      <c r="AL102" s="8">
        <v>0</v>
      </c>
      <c r="BC102" s="8"/>
      <c r="BD102" s="8"/>
      <c r="BE102" s="8"/>
      <c r="BF102" s="8"/>
      <c r="BG102" s="8"/>
      <c r="BH102" s="8"/>
      <c r="BI102" s="8"/>
      <c r="BJ102" s="8"/>
      <c r="BK102" s="8"/>
      <c r="BL102" s="8"/>
      <c r="BM102" s="8"/>
      <c r="BN102" s="8"/>
    </row>
    <row r="103" spans="1:66">
      <c r="A103" s="45" t="s">
        <v>45</v>
      </c>
      <c r="AK103" s="8">
        <v>5.3</v>
      </c>
      <c r="AL103" s="8">
        <v>0</v>
      </c>
    </row>
    <row r="104" spans="1:66">
      <c r="AK104" s="8">
        <v>5.4</v>
      </c>
      <c r="AL104" s="8">
        <v>0</v>
      </c>
    </row>
    <row r="105" spans="1:66">
      <c r="AK105" s="8">
        <v>5.4</v>
      </c>
      <c r="AL105" s="8">
        <v>0</v>
      </c>
    </row>
    <row r="106" spans="1:66">
      <c r="AK106" s="8">
        <v>5.5</v>
      </c>
      <c r="AL106" s="8">
        <v>0</v>
      </c>
    </row>
    <row r="107" spans="1:66">
      <c r="AK107" s="8">
        <v>5.5</v>
      </c>
      <c r="AL107" s="8">
        <v>0</v>
      </c>
    </row>
    <row r="108" spans="1:66">
      <c r="AK108" s="8">
        <v>5.6</v>
      </c>
      <c r="AL108" s="8">
        <v>0</v>
      </c>
    </row>
    <row r="109" spans="1:66">
      <c r="AK109" s="8">
        <v>5.6</v>
      </c>
      <c r="AL109" s="8">
        <v>1</v>
      </c>
    </row>
    <row r="110" spans="1:66">
      <c r="AK110" s="8">
        <v>5.7</v>
      </c>
      <c r="AL110" s="8">
        <v>1</v>
      </c>
    </row>
    <row r="111" spans="1:66">
      <c r="AK111" s="8">
        <v>5.7</v>
      </c>
      <c r="AL111" s="8">
        <v>2</v>
      </c>
    </row>
    <row r="112" spans="1:66">
      <c r="AK112" s="8">
        <v>5.8</v>
      </c>
      <c r="AL112" s="8">
        <v>2</v>
      </c>
    </row>
    <row r="113" spans="37:38">
      <c r="AK113" s="8">
        <v>5.8</v>
      </c>
      <c r="AL113" s="8">
        <v>3</v>
      </c>
    </row>
    <row r="114" spans="37:38">
      <c r="AK114" s="8">
        <v>5.9</v>
      </c>
      <c r="AL114" s="8">
        <v>3</v>
      </c>
    </row>
    <row r="115" spans="37:38">
      <c r="AK115" s="8">
        <v>5.9</v>
      </c>
      <c r="AL115" s="8">
        <v>15</v>
      </c>
    </row>
    <row r="116" spans="37:38">
      <c r="AK116" s="8">
        <v>6</v>
      </c>
      <c r="AL116" s="8">
        <v>15</v>
      </c>
    </row>
    <row r="117" spans="37:38">
      <c r="AK117" s="8">
        <v>6</v>
      </c>
      <c r="AL117" s="8">
        <v>14</v>
      </c>
    </row>
    <row r="118" spans="37:38">
      <c r="AK118" s="8">
        <v>6.1</v>
      </c>
      <c r="AL118" s="8">
        <v>14</v>
      </c>
    </row>
    <row r="119" spans="37:38">
      <c r="AK119" s="8">
        <v>6.1</v>
      </c>
      <c r="AL119" s="8">
        <v>38</v>
      </c>
    </row>
    <row r="120" spans="37:38">
      <c r="AK120" s="8">
        <v>6.2</v>
      </c>
      <c r="AL120" s="8">
        <v>38</v>
      </c>
    </row>
    <row r="121" spans="37:38">
      <c r="AK121" s="8">
        <v>6.2</v>
      </c>
      <c r="AL121" s="8">
        <v>48</v>
      </c>
    </row>
    <row r="122" spans="37:38">
      <c r="AK122" s="8">
        <v>6.3</v>
      </c>
      <c r="AL122" s="8">
        <v>48</v>
      </c>
    </row>
    <row r="123" spans="37:38">
      <c r="AK123" s="8">
        <v>6.3</v>
      </c>
      <c r="AL123" s="8">
        <v>81</v>
      </c>
    </row>
    <row r="124" spans="37:38">
      <c r="AK124" s="8">
        <v>6.4</v>
      </c>
      <c r="AL124" s="8">
        <v>81</v>
      </c>
    </row>
    <row r="125" spans="37:38">
      <c r="AK125" s="8">
        <v>6.4</v>
      </c>
      <c r="AL125" s="8">
        <v>87</v>
      </c>
    </row>
    <row r="126" spans="37:38">
      <c r="AK126" s="8">
        <v>6.5</v>
      </c>
      <c r="AL126" s="8">
        <v>87</v>
      </c>
    </row>
    <row r="127" spans="37:38">
      <c r="AK127" s="8">
        <v>6.5</v>
      </c>
      <c r="AL127" s="8">
        <v>110</v>
      </c>
    </row>
    <row r="128" spans="37:38">
      <c r="AK128" s="8">
        <v>6.6</v>
      </c>
      <c r="AL128" s="8">
        <v>110</v>
      </c>
    </row>
    <row r="129" spans="37:38">
      <c r="AK129" s="8">
        <v>6.6</v>
      </c>
      <c r="AL129" s="8">
        <v>112</v>
      </c>
    </row>
    <row r="130" spans="37:38">
      <c r="AK130" s="8">
        <v>6.7</v>
      </c>
      <c r="AL130" s="8">
        <v>112</v>
      </c>
    </row>
    <row r="131" spans="37:38">
      <c r="AK131" s="8">
        <v>6.7</v>
      </c>
      <c r="AL131" s="8">
        <v>118</v>
      </c>
    </row>
    <row r="132" spans="37:38">
      <c r="AK132" s="8">
        <v>6.8</v>
      </c>
      <c r="AL132" s="8">
        <v>118</v>
      </c>
    </row>
    <row r="133" spans="37:38">
      <c r="AK133" s="8">
        <v>6.8</v>
      </c>
      <c r="AL133" s="8">
        <v>75</v>
      </c>
    </row>
    <row r="134" spans="37:38">
      <c r="AK134" s="8">
        <v>6.9</v>
      </c>
      <c r="AL134" s="8">
        <v>75</v>
      </c>
    </row>
    <row r="135" spans="37:38">
      <c r="AK135" s="8">
        <v>6.9</v>
      </c>
      <c r="AL135" s="8">
        <v>74</v>
      </c>
    </row>
    <row r="136" spans="37:38">
      <c r="AK136" s="8">
        <v>7</v>
      </c>
      <c r="AL136" s="8">
        <v>74</v>
      </c>
    </row>
    <row r="137" spans="37:38">
      <c r="AK137" s="8">
        <v>7</v>
      </c>
      <c r="AL137" s="8">
        <v>68</v>
      </c>
    </row>
    <row r="138" spans="37:38">
      <c r="AK138" s="8">
        <v>7.1</v>
      </c>
      <c r="AL138" s="8">
        <v>68</v>
      </c>
    </row>
    <row r="139" spans="37:38">
      <c r="AK139" s="8">
        <v>7.1</v>
      </c>
      <c r="AL139" s="8">
        <v>60</v>
      </c>
    </row>
    <row r="140" spans="37:38">
      <c r="AK140" s="8">
        <v>7.2</v>
      </c>
      <c r="AL140" s="8">
        <v>60</v>
      </c>
    </row>
    <row r="141" spans="37:38">
      <c r="AK141" s="8">
        <v>7.2</v>
      </c>
      <c r="AL141" s="8">
        <v>36</v>
      </c>
    </row>
    <row r="142" spans="37:38">
      <c r="AK142" s="8">
        <v>7.3</v>
      </c>
      <c r="AL142" s="8">
        <v>36</v>
      </c>
    </row>
    <row r="143" spans="37:38">
      <c r="AK143" s="8">
        <v>7.3</v>
      </c>
      <c r="AL143" s="8">
        <v>29</v>
      </c>
    </row>
    <row r="144" spans="37:38">
      <c r="AK144" s="8">
        <v>7.4</v>
      </c>
      <c r="AL144" s="8">
        <v>29</v>
      </c>
    </row>
    <row r="145" spans="37:38">
      <c r="AK145" s="8">
        <v>7.4</v>
      </c>
      <c r="AL145" s="8">
        <v>12</v>
      </c>
    </row>
    <row r="146" spans="37:38">
      <c r="AK146" s="8">
        <v>7.5</v>
      </c>
      <c r="AL146" s="8">
        <v>12</v>
      </c>
    </row>
    <row r="147" spans="37:38">
      <c r="AK147" s="8">
        <v>7.5</v>
      </c>
      <c r="AL147" s="8">
        <v>5</v>
      </c>
    </row>
    <row r="148" spans="37:38">
      <c r="AK148" s="8">
        <v>7.6</v>
      </c>
      <c r="AL148" s="8">
        <v>5</v>
      </c>
    </row>
    <row r="149" spans="37:38">
      <c r="AK149" s="8">
        <v>7.6</v>
      </c>
      <c r="AL149" s="8">
        <v>4</v>
      </c>
    </row>
    <row r="150" spans="37:38">
      <c r="AK150" s="8">
        <v>7.7</v>
      </c>
      <c r="AL150" s="8">
        <v>4</v>
      </c>
    </row>
    <row r="151" spans="37:38">
      <c r="AK151" s="8">
        <v>7.7</v>
      </c>
      <c r="AL151" s="8">
        <v>5</v>
      </c>
    </row>
    <row r="152" spans="37:38">
      <c r="AK152" s="8">
        <v>7.8</v>
      </c>
      <c r="AL152" s="8">
        <v>5</v>
      </c>
    </row>
    <row r="153" spans="37:38">
      <c r="AK153" s="8">
        <v>7.8</v>
      </c>
      <c r="AL153" s="8">
        <v>1</v>
      </c>
    </row>
    <row r="154" spans="37:38">
      <c r="AK154" s="8">
        <v>7.9</v>
      </c>
      <c r="AL154" s="8">
        <v>1</v>
      </c>
    </row>
    <row r="155" spans="37:38">
      <c r="AK155" s="8">
        <v>7.9</v>
      </c>
      <c r="AL155" s="8">
        <v>1</v>
      </c>
    </row>
    <row r="156" spans="37:38">
      <c r="AK156" s="8">
        <v>8</v>
      </c>
      <c r="AL156" s="8">
        <v>1</v>
      </c>
    </row>
    <row r="157" spans="37:38">
      <c r="AK157" s="8">
        <v>8</v>
      </c>
      <c r="AL157" s="8">
        <v>0</v>
      </c>
    </row>
    <row r="158" spans="37:38">
      <c r="AK158" s="8">
        <v>8.1</v>
      </c>
      <c r="AL158" s="8">
        <v>0</v>
      </c>
    </row>
    <row r="159" spans="37:38">
      <c r="AK159" s="8">
        <v>8.1</v>
      </c>
      <c r="AL159" s="8">
        <v>0</v>
      </c>
    </row>
    <row r="160" spans="37:38">
      <c r="AK160" s="8">
        <v>8.1999999999999993</v>
      </c>
      <c r="AL160" s="8">
        <v>0</v>
      </c>
    </row>
    <row r="161" spans="37:38">
      <c r="AK161" s="8">
        <v>8.1999999999999993</v>
      </c>
      <c r="AL161" s="8">
        <v>0</v>
      </c>
    </row>
    <row r="162" spans="37:38">
      <c r="AK162" s="8">
        <v>8.3000000000000007</v>
      </c>
      <c r="AL162" s="8">
        <v>0</v>
      </c>
    </row>
    <row r="163" spans="37:38">
      <c r="AK163" s="8">
        <v>8.3000000000000007</v>
      </c>
      <c r="AL163" s="8">
        <v>0</v>
      </c>
    </row>
    <row r="164" spans="37:38">
      <c r="AK164" s="8">
        <v>8.4</v>
      </c>
      <c r="AL164" s="8">
        <v>0</v>
      </c>
    </row>
    <row r="165" spans="37:38">
      <c r="AK165" s="8">
        <v>8.4</v>
      </c>
      <c r="AL165" s="8">
        <v>1</v>
      </c>
    </row>
    <row r="166" spans="37:38">
      <c r="AK166" s="8">
        <v>8.5</v>
      </c>
      <c r="AL166" s="8">
        <v>1</v>
      </c>
    </row>
    <row r="167" spans="37:38">
      <c r="AK167" s="8">
        <v>8.5</v>
      </c>
      <c r="AL167" s="8">
        <v>0</v>
      </c>
    </row>
  </sheetData>
  <dataConsolidate/>
  <mergeCells count="4">
    <mergeCell ref="F2:G2"/>
    <mergeCell ref="I4:J4"/>
    <mergeCell ref="K4:L4"/>
    <mergeCell ref="M4:N4"/>
  </mergeCells>
  <pageMargins left="0.75" right="0.75" top="1" bottom="1" header="0.5" footer="0.5"/>
  <pageSetup orientation="portrait" horizontalDpi="200" verticalDpi="2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AD7C9-4F07-448E-B2B5-4E2DA4D284B3}">
  <sheetPr codeName="Sheet8"/>
  <dimension ref="A1:BN149"/>
  <sheetViews>
    <sheetView showGridLines="0" workbookViewId="0">
      <selection activeCell="M6" sqref="M6"/>
    </sheetView>
  </sheetViews>
  <sheetFormatPr defaultColWidth="10" defaultRowHeight="15.6"/>
  <cols>
    <col min="1" max="1" width="8.88671875" style="17" customWidth="1"/>
    <col min="2" max="2" width="11.77734375" style="6" customWidth="1"/>
    <col min="3" max="3" width="11.77734375" style="7" customWidth="1"/>
    <col min="4" max="4" width="8.44140625" style="8" customWidth="1"/>
    <col min="5" max="5" width="8.44140625" style="9" customWidth="1"/>
    <col min="6" max="6" width="12.88671875" style="10" customWidth="1"/>
    <col min="7" max="7" width="10" style="9"/>
    <col min="8" max="8" width="7.33203125" style="9" customWidth="1"/>
    <col min="9" max="14" width="11.21875" style="9" customWidth="1"/>
    <col min="15" max="17" width="10" style="9"/>
    <col min="18" max="19" width="10" style="8"/>
    <col min="20" max="20" width="15.77734375" style="8" customWidth="1"/>
    <col min="21" max="22" width="12.44140625" style="8" customWidth="1"/>
    <col min="23" max="54" width="10" style="8"/>
    <col min="55" max="256" width="10" style="9"/>
    <col min="257" max="257" width="8.88671875" style="9" customWidth="1"/>
    <col min="258" max="259" width="11.77734375" style="9" customWidth="1"/>
    <col min="260" max="261" width="8.44140625" style="9" customWidth="1"/>
    <col min="262" max="262" width="12.88671875" style="9" customWidth="1"/>
    <col min="263" max="263" width="10" style="9"/>
    <col min="264" max="264" width="7.33203125" style="9" customWidth="1"/>
    <col min="265" max="270" width="11.21875" style="9" customWidth="1"/>
    <col min="271" max="275" width="10" style="9"/>
    <col min="276" max="276" width="15.77734375" style="9" customWidth="1"/>
    <col min="277" max="278" width="12.44140625" style="9" customWidth="1"/>
    <col min="279" max="512" width="10" style="9"/>
    <col min="513" max="513" width="8.88671875" style="9" customWidth="1"/>
    <col min="514" max="515" width="11.77734375" style="9" customWidth="1"/>
    <col min="516" max="517" width="8.44140625" style="9" customWidth="1"/>
    <col min="518" max="518" width="12.88671875" style="9" customWidth="1"/>
    <col min="519" max="519" width="10" style="9"/>
    <col min="520" max="520" width="7.33203125" style="9" customWidth="1"/>
    <col min="521" max="526" width="11.21875" style="9" customWidth="1"/>
    <col min="527" max="531" width="10" style="9"/>
    <col min="532" max="532" width="15.77734375" style="9" customWidth="1"/>
    <col min="533" max="534" width="12.44140625" style="9" customWidth="1"/>
    <col min="535" max="768" width="10" style="9"/>
    <col min="769" max="769" width="8.88671875" style="9" customWidth="1"/>
    <col min="770" max="771" width="11.77734375" style="9" customWidth="1"/>
    <col min="772" max="773" width="8.44140625" style="9" customWidth="1"/>
    <col min="774" max="774" width="12.88671875" style="9" customWidth="1"/>
    <col min="775" max="775" width="10" style="9"/>
    <col min="776" max="776" width="7.33203125" style="9" customWidth="1"/>
    <col min="777" max="782" width="11.21875" style="9" customWidth="1"/>
    <col min="783" max="787" width="10" style="9"/>
    <col min="788" max="788" width="15.77734375" style="9" customWidth="1"/>
    <col min="789" max="790" width="12.44140625" style="9" customWidth="1"/>
    <col min="791" max="1024" width="10" style="9"/>
    <col min="1025" max="1025" width="8.88671875" style="9" customWidth="1"/>
    <col min="1026" max="1027" width="11.77734375" style="9" customWidth="1"/>
    <col min="1028" max="1029" width="8.44140625" style="9" customWidth="1"/>
    <col min="1030" max="1030" width="12.88671875" style="9" customWidth="1"/>
    <col min="1031" max="1031" width="10" style="9"/>
    <col min="1032" max="1032" width="7.33203125" style="9" customWidth="1"/>
    <col min="1033" max="1038" width="11.21875" style="9" customWidth="1"/>
    <col min="1039" max="1043" width="10" style="9"/>
    <col min="1044" max="1044" width="15.77734375" style="9" customWidth="1"/>
    <col min="1045" max="1046" width="12.44140625" style="9" customWidth="1"/>
    <col min="1047" max="1280" width="10" style="9"/>
    <col min="1281" max="1281" width="8.88671875" style="9" customWidth="1"/>
    <col min="1282" max="1283" width="11.77734375" style="9" customWidth="1"/>
    <col min="1284" max="1285" width="8.44140625" style="9" customWidth="1"/>
    <col min="1286" max="1286" width="12.88671875" style="9" customWidth="1"/>
    <col min="1287" max="1287" width="10" style="9"/>
    <col min="1288" max="1288" width="7.33203125" style="9" customWidth="1"/>
    <col min="1289" max="1294" width="11.21875" style="9" customWidth="1"/>
    <col min="1295" max="1299" width="10" style="9"/>
    <col min="1300" max="1300" width="15.77734375" style="9" customWidth="1"/>
    <col min="1301" max="1302" width="12.44140625" style="9" customWidth="1"/>
    <col min="1303" max="1536" width="10" style="9"/>
    <col min="1537" max="1537" width="8.88671875" style="9" customWidth="1"/>
    <col min="1538" max="1539" width="11.77734375" style="9" customWidth="1"/>
    <col min="1540" max="1541" width="8.44140625" style="9" customWidth="1"/>
    <col min="1542" max="1542" width="12.88671875" style="9" customWidth="1"/>
    <col min="1543" max="1543" width="10" style="9"/>
    <col min="1544" max="1544" width="7.33203125" style="9" customWidth="1"/>
    <col min="1545" max="1550" width="11.21875" style="9" customWidth="1"/>
    <col min="1551" max="1555" width="10" style="9"/>
    <col min="1556" max="1556" width="15.77734375" style="9" customWidth="1"/>
    <col min="1557" max="1558" width="12.44140625" style="9" customWidth="1"/>
    <col min="1559" max="1792" width="10" style="9"/>
    <col min="1793" max="1793" width="8.88671875" style="9" customWidth="1"/>
    <col min="1794" max="1795" width="11.77734375" style="9" customWidth="1"/>
    <col min="1796" max="1797" width="8.44140625" style="9" customWidth="1"/>
    <col min="1798" max="1798" width="12.88671875" style="9" customWidth="1"/>
    <col min="1799" max="1799" width="10" style="9"/>
    <col min="1800" max="1800" width="7.33203125" style="9" customWidth="1"/>
    <col min="1801" max="1806" width="11.21875" style="9" customWidth="1"/>
    <col min="1807" max="1811" width="10" style="9"/>
    <col min="1812" max="1812" width="15.77734375" style="9" customWidth="1"/>
    <col min="1813" max="1814" width="12.44140625" style="9" customWidth="1"/>
    <col min="1815" max="2048" width="10" style="9"/>
    <col min="2049" max="2049" width="8.88671875" style="9" customWidth="1"/>
    <col min="2050" max="2051" width="11.77734375" style="9" customWidth="1"/>
    <col min="2052" max="2053" width="8.44140625" style="9" customWidth="1"/>
    <col min="2054" max="2054" width="12.88671875" style="9" customWidth="1"/>
    <col min="2055" max="2055" width="10" style="9"/>
    <col min="2056" max="2056" width="7.33203125" style="9" customWidth="1"/>
    <col min="2057" max="2062" width="11.21875" style="9" customWidth="1"/>
    <col min="2063" max="2067" width="10" style="9"/>
    <col min="2068" max="2068" width="15.77734375" style="9" customWidth="1"/>
    <col min="2069" max="2070" width="12.44140625" style="9" customWidth="1"/>
    <col min="2071" max="2304" width="10" style="9"/>
    <col min="2305" max="2305" width="8.88671875" style="9" customWidth="1"/>
    <col min="2306" max="2307" width="11.77734375" style="9" customWidth="1"/>
    <col min="2308" max="2309" width="8.44140625" style="9" customWidth="1"/>
    <col min="2310" max="2310" width="12.88671875" style="9" customWidth="1"/>
    <col min="2311" max="2311" width="10" style="9"/>
    <col min="2312" max="2312" width="7.33203125" style="9" customWidth="1"/>
    <col min="2313" max="2318" width="11.21875" style="9" customWidth="1"/>
    <col min="2319" max="2323" width="10" style="9"/>
    <col min="2324" max="2324" width="15.77734375" style="9" customWidth="1"/>
    <col min="2325" max="2326" width="12.44140625" style="9" customWidth="1"/>
    <col min="2327" max="2560" width="10" style="9"/>
    <col min="2561" max="2561" width="8.88671875" style="9" customWidth="1"/>
    <col min="2562" max="2563" width="11.77734375" style="9" customWidth="1"/>
    <col min="2564" max="2565" width="8.44140625" style="9" customWidth="1"/>
    <col min="2566" max="2566" width="12.88671875" style="9" customWidth="1"/>
    <col min="2567" max="2567" width="10" style="9"/>
    <col min="2568" max="2568" width="7.33203125" style="9" customWidth="1"/>
    <col min="2569" max="2574" width="11.21875" style="9" customWidth="1"/>
    <col min="2575" max="2579" width="10" style="9"/>
    <col min="2580" max="2580" width="15.77734375" style="9" customWidth="1"/>
    <col min="2581" max="2582" width="12.44140625" style="9" customWidth="1"/>
    <col min="2583" max="2816" width="10" style="9"/>
    <col min="2817" max="2817" width="8.88671875" style="9" customWidth="1"/>
    <col min="2818" max="2819" width="11.77734375" style="9" customWidth="1"/>
    <col min="2820" max="2821" width="8.44140625" style="9" customWidth="1"/>
    <col min="2822" max="2822" width="12.88671875" style="9" customWidth="1"/>
    <col min="2823" max="2823" width="10" style="9"/>
    <col min="2824" max="2824" width="7.33203125" style="9" customWidth="1"/>
    <col min="2825" max="2830" width="11.21875" style="9" customWidth="1"/>
    <col min="2831" max="2835" width="10" style="9"/>
    <col min="2836" max="2836" width="15.77734375" style="9" customWidth="1"/>
    <col min="2837" max="2838" width="12.44140625" style="9" customWidth="1"/>
    <col min="2839" max="3072" width="10" style="9"/>
    <col min="3073" max="3073" width="8.88671875" style="9" customWidth="1"/>
    <col min="3074" max="3075" width="11.77734375" style="9" customWidth="1"/>
    <col min="3076" max="3077" width="8.44140625" style="9" customWidth="1"/>
    <col min="3078" max="3078" width="12.88671875" style="9" customWidth="1"/>
    <col min="3079" max="3079" width="10" style="9"/>
    <col min="3080" max="3080" width="7.33203125" style="9" customWidth="1"/>
    <col min="3081" max="3086" width="11.21875" style="9" customWidth="1"/>
    <col min="3087" max="3091" width="10" style="9"/>
    <col min="3092" max="3092" width="15.77734375" style="9" customWidth="1"/>
    <col min="3093" max="3094" width="12.44140625" style="9" customWidth="1"/>
    <col min="3095" max="3328" width="10" style="9"/>
    <col min="3329" max="3329" width="8.88671875" style="9" customWidth="1"/>
    <col min="3330" max="3331" width="11.77734375" style="9" customWidth="1"/>
    <col min="3332" max="3333" width="8.44140625" style="9" customWidth="1"/>
    <col min="3334" max="3334" width="12.88671875" style="9" customWidth="1"/>
    <col min="3335" max="3335" width="10" style="9"/>
    <col min="3336" max="3336" width="7.33203125" style="9" customWidth="1"/>
    <col min="3337" max="3342" width="11.21875" style="9" customWidth="1"/>
    <col min="3343" max="3347" width="10" style="9"/>
    <col min="3348" max="3348" width="15.77734375" style="9" customWidth="1"/>
    <col min="3349" max="3350" width="12.44140625" style="9" customWidth="1"/>
    <col min="3351" max="3584" width="10" style="9"/>
    <col min="3585" max="3585" width="8.88671875" style="9" customWidth="1"/>
    <col min="3586" max="3587" width="11.77734375" style="9" customWidth="1"/>
    <col min="3588" max="3589" width="8.44140625" style="9" customWidth="1"/>
    <col min="3590" max="3590" width="12.88671875" style="9" customWidth="1"/>
    <col min="3591" max="3591" width="10" style="9"/>
    <col min="3592" max="3592" width="7.33203125" style="9" customWidth="1"/>
    <col min="3593" max="3598" width="11.21875" style="9" customWidth="1"/>
    <col min="3599" max="3603" width="10" style="9"/>
    <col min="3604" max="3604" width="15.77734375" style="9" customWidth="1"/>
    <col min="3605" max="3606" width="12.44140625" style="9" customWidth="1"/>
    <col min="3607" max="3840" width="10" style="9"/>
    <col min="3841" max="3841" width="8.88671875" style="9" customWidth="1"/>
    <col min="3842" max="3843" width="11.77734375" style="9" customWidth="1"/>
    <col min="3844" max="3845" width="8.44140625" style="9" customWidth="1"/>
    <col min="3846" max="3846" width="12.88671875" style="9" customWidth="1"/>
    <col min="3847" max="3847" width="10" style="9"/>
    <col min="3848" max="3848" width="7.33203125" style="9" customWidth="1"/>
    <col min="3849" max="3854" width="11.21875" style="9" customWidth="1"/>
    <col min="3855" max="3859" width="10" style="9"/>
    <col min="3860" max="3860" width="15.77734375" style="9" customWidth="1"/>
    <col min="3861" max="3862" width="12.44140625" style="9" customWidth="1"/>
    <col min="3863" max="4096" width="10" style="9"/>
    <col min="4097" max="4097" width="8.88671875" style="9" customWidth="1"/>
    <col min="4098" max="4099" width="11.77734375" style="9" customWidth="1"/>
    <col min="4100" max="4101" width="8.44140625" style="9" customWidth="1"/>
    <col min="4102" max="4102" width="12.88671875" style="9" customWidth="1"/>
    <col min="4103" max="4103" width="10" style="9"/>
    <col min="4104" max="4104" width="7.33203125" style="9" customWidth="1"/>
    <col min="4105" max="4110" width="11.21875" style="9" customWidth="1"/>
    <col min="4111" max="4115" width="10" style="9"/>
    <col min="4116" max="4116" width="15.77734375" style="9" customWidth="1"/>
    <col min="4117" max="4118" width="12.44140625" style="9" customWidth="1"/>
    <col min="4119" max="4352" width="10" style="9"/>
    <col min="4353" max="4353" width="8.88671875" style="9" customWidth="1"/>
    <col min="4354" max="4355" width="11.77734375" style="9" customWidth="1"/>
    <col min="4356" max="4357" width="8.44140625" style="9" customWidth="1"/>
    <col min="4358" max="4358" width="12.88671875" style="9" customWidth="1"/>
    <col min="4359" max="4359" width="10" style="9"/>
    <col min="4360" max="4360" width="7.33203125" style="9" customWidth="1"/>
    <col min="4361" max="4366" width="11.21875" style="9" customWidth="1"/>
    <col min="4367" max="4371" width="10" style="9"/>
    <col min="4372" max="4372" width="15.77734375" style="9" customWidth="1"/>
    <col min="4373" max="4374" width="12.44140625" style="9" customWidth="1"/>
    <col min="4375" max="4608" width="10" style="9"/>
    <col min="4609" max="4609" width="8.88671875" style="9" customWidth="1"/>
    <col min="4610" max="4611" width="11.77734375" style="9" customWidth="1"/>
    <col min="4612" max="4613" width="8.44140625" style="9" customWidth="1"/>
    <col min="4614" max="4614" width="12.88671875" style="9" customWidth="1"/>
    <col min="4615" max="4615" width="10" style="9"/>
    <col min="4616" max="4616" width="7.33203125" style="9" customWidth="1"/>
    <col min="4617" max="4622" width="11.21875" style="9" customWidth="1"/>
    <col min="4623" max="4627" width="10" style="9"/>
    <col min="4628" max="4628" width="15.77734375" style="9" customWidth="1"/>
    <col min="4629" max="4630" width="12.44140625" style="9" customWidth="1"/>
    <col min="4631" max="4864" width="10" style="9"/>
    <col min="4865" max="4865" width="8.88671875" style="9" customWidth="1"/>
    <col min="4866" max="4867" width="11.77734375" style="9" customWidth="1"/>
    <col min="4868" max="4869" width="8.44140625" style="9" customWidth="1"/>
    <col min="4870" max="4870" width="12.88671875" style="9" customWidth="1"/>
    <col min="4871" max="4871" width="10" style="9"/>
    <col min="4872" max="4872" width="7.33203125" style="9" customWidth="1"/>
    <col min="4873" max="4878" width="11.21875" style="9" customWidth="1"/>
    <col min="4879" max="4883" width="10" style="9"/>
    <col min="4884" max="4884" width="15.77734375" style="9" customWidth="1"/>
    <col min="4885" max="4886" width="12.44140625" style="9" customWidth="1"/>
    <col min="4887" max="5120" width="10" style="9"/>
    <col min="5121" max="5121" width="8.88671875" style="9" customWidth="1"/>
    <col min="5122" max="5123" width="11.77734375" style="9" customWidth="1"/>
    <col min="5124" max="5125" width="8.44140625" style="9" customWidth="1"/>
    <col min="5126" max="5126" width="12.88671875" style="9" customWidth="1"/>
    <col min="5127" max="5127" width="10" style="9"/>
    <col min="5128" max="5128" width="7.33203125" style="9" customWidth="1"/>
    <col min="5129" max="5134" width="11.21875" style="9" customWidth="1"/>
    <col min="5135" max="5139" width="10" style="9"/>
    <col min="5140" max="5140" width="15.77734375" style="9" customWidth="1"/>
    <col min="5141" max="5142" width="12.44140625" style="9" customWidth="1"/>
    <col min="5143" max="5376" width="10" style="9"/>
    <col min="5377" max="5377" width="8.88671875" style="9" customWidth="1"/>
    <col min="5378" max="5379" width="11.77734375" style="9" customWidth="1"/>
    <col min="5380" max="5381" width="8.44140625" style="9" customWidth="1"/>
    <col min="5382" max="5382" width="12.88671875" style="9" customWidth="1"/>
    <col min="5383" max="5383" width="10" style="9"/>
    <col min="5384" max="5384" width="7.33203125" style="9" customWidth="1"/>
    <col min="5385" max="5390" width="11.21875" style="9" customWidth="1"/>
    <col min="5391" max="5395" width="10" style="9"/>
    <col min="5396" max="5396" width="15.77734375" style="9" customWidth="1"/>
    <col min="5397" max="5398" width="12.44140625" style="9" customWidth="1"/>
    <col min="5399" max="5632" width="10" style="9"/>
    <col min="5633" max="5633" width="8.88671875" style="9" customWidth="1"/>
    <col min="5634" max="5635" width="11.77734375" style="9" customWidth="1"/>
    <col min="5636" max="5637" width="8.44140625" style="9" customWidth="1"/>
    <col min="5638" max="5638" width="12.88671875" style="9" customWidth="1"/>
    <col min="5639" max="5639" width="10" style="9"/>
    <col min="5640" max="5640" width="7.33203125" style="9" customWidth="1"/>
    <col min="5641" max="5646" width="11.21875" style="9" customWidth="1"/>
    <col min="5647" max="5651" width="10" style="9"/>
    <col min="5652" max="5652" width="15.77734375" style="9" customWidth="1"/>
    <col min="5653" max="5654" width="12.44140625" style="9" customWidth="1"/>
    <col min="5655" max="5888" width="10" style="9"/>
    <col min="5889" max="5889" width="8.88671875" style="9" customWidth="1"/>
    <col min="5890" max="5891" width="11.77734375" style="9" customWidth="1"/>
    <col min="5892" max="5893" width="8.44140625" style="9" customWidth="1"/>
    <col min="5894" max="5894" width="12.88671875" style="9" customWidth="1"/>
    <col min="5895" max="5895" width="10" style="9"/>
    <col min="5896" max="5896" width="7.33203125" style="9" customWidth="1"/>
    <col min="5897" max="5902" width="11.21875" style="9" customWidth="1"/>
    <col min="5903" max="5907" width="10" style="9"/>
    <col min="5908" max="5908" width="15.77734375" style="9" customWidth="1"/>
    <col min="5909" max="5910" width="12.44140625" style="9" customWidth="1"/>
    <col min="5911" max="6144" width="10" style="9"/>
    <col min="6145" max="6145" width="8.88671875" style="9" customWidth="1"/>
    <col min="6146" max="6147" width="11.77734375" style="9" customWidth="1"/>
    <col min="6148" max="6149" width="8.44140625" style="9" customWidth="1"/>
    <col min="6150" max="6150" width="12.88671875" style="9" customWidth="1"/>
    <col min="6151" max="6151" width="10" style="9"/>
    <col min="6152" max="6152" width="7.33203125" style="9" customWidth="1"/>
    <col min="6153" max="6158" width="11.21875" style="9" customWidth="1"/>
    <col min="6159" max="6163" width="10" style="9"/>
    <col min="6164" max="6164" width="15.77734375" style="9" customWidth="1"/>
    <col min="6165" max="6166" width="12.44140625" style="9" customWidth="1"/>
    <col min="6167" max="6400" width="10" style="9"/>
    <col min="6401" max="6401" width="8.88671875" style="9" customWidth="1"/>
    <col min="6402" max="6403" width="11.77734375" style="9" customWidth="1"/>
    <col min="6404" max="6405" width="8.44140625" style="9" customWidth="1"/>
    <col min="6406" max="6406" width="12.88671875" style="9" customWidth="1"/>
    <col min="6407" max="6407" width="10" style="9"/>
    <col min="6408" max="6408" width="7.33203125" style="9" customWidth="1"/>
    <col min="6409" max="6414" width="11.21875" style="9" customWidth="1"/>
    <col min="6415" max="6419" width="10" style="9"/>
    <col min="6420" max="6420" width="15.77734375" style="9" customWidth="1"/>
    <col min="6421" max="6422" width="12.44140625" style="9" customWidth="1"/>
    <col min="6423" max="6656" width="10" style="9"/>
    <col min="6657" max="6657" width="8.88671875" style="9" customWidth="1"/>
    <col min="6658" max="6659" width="11.77734375" style="9" customWidth="1"/>
    <col min="6660" max="6661" width="8.44140625" style="9" customWidth="1"/>
    <col min="6662" max="6662" width="12.88671875" style="9" customWidth="1"/>
    <col min="6663" max="6663" width="10" style="9"/>
    <col min="6664" max="6664" width="7.33203125" style="9" customWidth="1"/>
    <col min="6665" max="6670" width="11.21875" style="9" customWidth="1"/>
    <col min="6671" max="6675" width="10" style="9"/>
    <col min="6676" max="6676" width="15.77734375" style="9" customWidth="1"/>
    <col min="6677" max="6678" width="12.44140625" style="9" customWidth="1"/>
    <col min="6679" max="6912" width="10" style="9"/>
    <col min="6913" max="6913" width="8.88671875" style="9" customWidth="1"/>
    <col min="6914" max="6915" width="11.77734375" style="9" customWidth="1"/>
    <col min="6916" max="6917" width="8.44140625" style="9" customWidth="1"/>
    <col min="6918" max="6918" width="12.88671875" style="9" customWidth="1"/>
    <col min="6919" max="6919" width="10" style="9"/>
    <col min="6920" max="6920" width="7.33203125" style="9" customWidth="1"/>
    <col min="6921" max="6926" width="11.21875" style="9" customWidth="1"/>
    <col min="6927" max="6931" width="10" style="9"/>
    <col min="6932" max="6932" width="15.77734375" style="9" customWidth="1"/>
    <col min="6933" max="6934" width="12.44140625" style="9" customWidth="1"/>
    <col min="6935" max="7168" width="10" style="9"/>
    <col min="7169" max="7169" width="8.88671875" style="9" customWidth="1"/>
    <col min="7170" max="7171" width="11.77734375" style="9" customWidth="1"/>
    <col min="7172" max="7173" width="8.44140625" style="9" customWidth="1"/>
    <col min="7174" max="7174" width="12.88671875" style="9" customWidth="1"/>
    <col min="7175" max="7175" width="10" style="9"/>
    <col min="7176" max="7176" width="7.33203125" style="9" customWidth="1"/>
    <col min="7177" max="7182" width="11.21875" style="9" customWidth="1"/>
    <col min="7183" max="7187" width="10" style="9"/>
    <col min="7188" max="7188" width="15.77734375" style="9" customWidth="1"/>
    <col min="7189" max="7190" width="12.44140625" style="9" customWidth="1"/>
    <col min="7191" max="7424" width="10" style="9"/>
    <col min="7425" max="7425" width="8.88671875" style="9" customWidth="1"/>
    <col min="7426" max="7427" width="11.77734375" style="9" customWidth="1"/>
    <col min="7428" max="7429" width="8.44140625" style="9" customWidth="1"/>
    <col min="7430" max="7430" width="12.88671875" style="9" customWidth="1"/>
    <col min="7431" max="7431" width="10" style="9"/>
    <col min="7432" max="7432" width="7.33203125" style="9" customWidth="1"/>
    <col min="7433" max="7438" width="11.21875" style="9" customWidth="1"/>
    <col min="7439" max="7443" width="10" style="9"/>
    <col min="7444" max="7444" width="15.77734375" style="9" customWidth="1"/>
    <col min="7445" max="7446" width="12.44140625" style="9" customWidth="1"/>
    <col min="7447" max="7680" width="10" style="9"/>
    <col min="7681" max="7681" width="8.88671875" style="9" customWidth="1"/>
    <col min="7682" max="7683" width="11.77734375" style="9" customWidth="1"/>
    <col min="7684" max="7685" width="8.44140625" style="9" customWidth="1"/>
    <col min="7686" max="7686" width="12.88671875" style="9" customWidth="1"/>
    <col min="7687" max="7687" width="10" style="9"/>
    <col min="7688" max="7688" width="7.33203125" style="9" customWidth="1"/>
    <col min="7689" max="7694" width="11.21875" style="9" customWidth="1"/>
    <col min="7695" max="7699" width="10" style="9"/>
    <col min="7700" max="7700" width="15.77734375" style="9" customWidth="1"/>
    <col min="7701" max="7702" width="12.44140625" style="9" customWidth="1"/>
    <col min="7703" max="7936" width="10" style="9"/>
    <col min="7937" max="7937" width="8.88671875" style="9" customWidth="1"/>
    <col min="7938" max="7939" width="11.77734375" style="9" customWidth="1"/>
    <col min="7940" max="7941" width="8.44140625" style="9" customWidth="1"/>
    <col min="7942" max="7942" width="12.88671875" style="9" customWidth="1"/>
    <col min="7943" max="7943" width="10" style="9"/>
    <col min="7944" max="7944" width="7.33203125" style="9" customWidth="1"/>
    <col min="7945" max="7950" width="11.21875" style="9" customWidth="1"/>
    <col min="7951" max="7955" width="10" style="9"/>
    <col min="7956" max="7956" width="15.77734375" style="9" customWidth="1"/>
    <col min="7957" max="7958" width="12.44140625" style="9" customWidth="1"/>
    <col min="7959" max="8192" width="10" style="9"/>
    <col min="8193" max="8193" width="8.88671875" style="9" customWidth="1"/>
    <col min="8194" max="8195" width="11.77734375" style="9" customWidth="1"/>
    <col min="8196" max="8197" width="8.44140625" style="9" customWidth="1"/>
    <col min="8198" max="8198" width="12.88671875" style="9" customWidth="1"/>
    <col min="8199" max="8199" width="10" style="9"/>
    <col min="8200" max="8200" width="7.33203125" style="9" customWidth="1"/>
    <col min="8201" max="8206" width="11.21875" style="9" customWidth="1"/>
    <col min="8207" max="8211" width="10" style="9"/>
    <col min="8212" max="8212" width="15.77734375" style="9" customWidth="1"/>
    <col min="8213" max="8214" width="12.44140625" style="9" customWidth="1"/>
    <col min="8215" max="8448" width="10" style="9"/>
    <col min="8449" max="8449" width="8.88671875" style="9" customWidth="1"/>
    <col min="8450" max="8451" width="11.77734375" style="9" customWidth="1"/>
    <col min="8452" max="8453" width="8.44140625" style="9" customWidth="1"/>
    <col min="8454" max="8454" width="12.88671875" style="9" customWidth="1"/>
    <col min="8455" max="8455" width="10" style="9"/>
    <col min="8456" max="8456" width="7.33203125" style="9" customWidth="1"/>
    <col min="8457" max="8462" width="11.21875" style="9" customWidth="1"/>
    <col min="8463" max="8467" width="10" style="9"/>
    <col min="8468" max="8468" width="15.77734375" style="9" customWidth="1"/>
    <col min="8469" max="8470" width="12.44140625" style="9" customWidth="1"/>
    <col min="8471" max="8704" width="10" style="9"/>
    <col min="8705" max="8705" width="8.88671875" style="9" customWidth="1"/>
    <col min="8706" max="8707" width="11.77734375" style="9" customWidth="1"/>
    <col min="8708" max="8709" width="8.44140625" style="9" customWidth="1"/>
    <col min="8710" max="8710" width="12.88671875" style="9" customWidth="1"/>
    <col min="8711" max="8711" width="10" style="9"/>
    <col min="8712" max="8712" width="7.33203125" style="9" customWidth="1"/>
    <col min="8713" max="8718" width="11.21875" style="9" customWidth="1"/>
    <col min="8719" max="8723" width="10" style="9"/>
    <col min="8724" max="8724" width="15.77734375" style="9" customWidth="1"/>
    <col min="8725" max="8726" width="12.44140625" style="9" customWidth="1"/>
    <col min="8727" max="8960" width="10" style="9"/>
    <col min="8961" max="8961" width="8.88671875" style="9" customWidth="1"/>
    <col min="8962" max="8963" width="11.77734375" style="9" customWidth="1"/>
    <col min="8964" max="8965" width="8.44140625" style="9" customWidth="1"/>
    <col min="8966" max="8966" width="12.88671875" style="9" customWidth="1"/>
    <col min="8967" max="8967" width="10" style="9"/>
    <col min="8968" max="8968" width="7.33203125" style="9" customWidth="1"/>
    <col min="8969" max="8974" width="11.21875" style="9" customWidth="1"/>
    <col min="8975" max="8979" width="10" style="9"/>
    <col min="8980" max="8980" width="15.77734375" style="9" customWidth="1"/>
    <col min="8981" max="8982" width="12.44140625" style="9" customWidth="1"/>
    <col min="8983" max="9216" width="10" style="9"/>
    <col min="9217" max="9217" width="8.88671875" style="9" customWidth="1"/>
    <col min="9218" max="9219" width="11.77734375" style="9" customWidth="1"/>
    <col min="9220" max="9221" width="8.44140625" style="9" customWidth="1"/>
    <col min="9222" max="9222" width="12.88671875" style="9" customWidth="1"/>
    <col min="9223" max="9223" width="10" style="9"/>
    <col min="9224" max="9224" width="7.33203125" style="9" customWidth="1"/>
    <col min="9225" max="9230" width="11.21875" style="9" customWidth="1"/>
    <col min="9231" max="9235" width="10" style="9"/>
    <col min="9236" max="9236" width="15.77734375" style="9" customWidth="1"/>
    <col min="9237" max="9238" width="12.44140625" style="9" customWidth="1"/>
    <col min="9239" max="9472" width="10" style="9"/>
    <col min="9473" max="9473" width="8.88671875" style="9" customWidth="1"/>
    <col min="9474" max="9475" width="11.77734375" style="9" customWidth="1"/>
    <col min="9476" max="9477" width="8.44140625" style="9" customWidth="1"/>
    <col min="9478" max="9478" width="12.88671875" style="9" customWidth="1"/>
    <col min="9479" max="9479" width="10" style="9"/>
    <col min="9480" max="9480" width="7.33203125" style="9" customWidth="1"/>
    <col min="9481" max="9486" width="11.21875" style="9" customWidth="1"/>
    <col min="9487" max="9491" width="10" style="9"/>
    <col min="9492" max="9492" width="15.77734375" style="9" customWidth="1"/>
    <col min="9493" max="9494" width="12.44140625" style="9" customWidth="1"/>
    <col min="9495" max="9728" width="10" style="9"/>
    <col min="9729" max="9729" width="8.88671875" style="9" customWidth="1"/>
    <col min="9730" max="9731" width="11.77734375" style="9" customWidth="1"/>
    <col min="9732" max="9733" width="8.44140625" style="9" customWidth="1"/>
    <col min="9734" max="9734" width="12.88671875" style="9" customWidth="1"/>
    <col min="9735" max="9735" width="10" style="9"/>
    <col min="9736" max="9736" width="7.33203125" style="9" customWidth="1"/>
    <col min="9737" max="9742" width="11.21875" style="9" customWidth="1"/>
    <col min="9743" max="9747" width="10" style="9"/>
    <col min="9748" max="9748" width="15.77734375" style="9" customWidth="1"/>
    <col min="9749" max="9750" width="12.44140625" style="9" customWidth="1"/>
    <col min="9751" max="9984" width="10" style="9"/>
    <col min="9985" max="9985" width="8.88671875" style="9" customWidth="1"/>
    <col min="9986" max="9987" width="11.77734375" style="9" customWidth="1"/>
    <col min="9988" max="9989" width="8.44140625" style="9" customWidth="1"/>
    <col min="9990" max="9990" width="12.88671875" style="9" customWidth="1"/>
    <col min="9991" max="9991" width="10" style="9"/>
    <col min="9992" max="9992" width="7.33203125" style="9" customWidth="1"/>
    <col min="9993" max="9998" width="11.21875" style="9" customWidth="1"/>
    <col min="9999" max="10003" width="10" style="9"/>
    <col min="10004" max="10004" width="15.77734375" style="9" customWidth="1"/>
    <col min="10005" max="10006" width="12.44140625" style="9" customWidth="1"/>
    <col min="10007" max="10240" width="10" style="9"/>
    <col min="10241" max="10241" width="8.88671875" style="9" customWidth="1"/>
    <col min="10242" max="10243" width="11.77734375" style="9" customWidth="1"/>
    <col min="10244" max="10245" width="8.44140625" style="9" customWidth="1"/>
    <col min="10246" max="10246" width="12.88671875" style="9" customWidth="1"/>
    <col min="10247" max="10247" width="10" style="9"/>
    <col min="10248" max="10248" width="7.33203125" style="9" customWidth="1"/>
    <col min="10249" max="10254" width="11.21875" style="9" customWidth="1"/>
    <col min="10255" max="10259" width="10" style="9"/>
    <col min="10260" max="10260" width="15.77734375" style="9" customWidth="1"/>
    <col min="10261" max="10262" width="12.44140625" style="9" customWidth="1"/>
    <col min="10263" max="10496" width="10" style="9"/>
    <col min="10497" max="10497" width="8.88671875" style="9" customWidth="1"/>
    <col min="10498" max="10499" width="11.77734375" style="9" customWidth="1"/>
    <col min="10500" max="10501" width="8.44140625" style="9" customWidth="1"/>
    <col min="10502" max="10502" width="12.88671875" style="9" customWidth="1"/>
    <col min="10503" max="10503" width="10" style="9"/>
    <col min="10504" max="10504" width="7.33203125" style="9" customWidth="1"/>
    <col min="10505" max="10510" width="11.21875" style="9" customWidth="1"/>
    <col min="10511" max="10515" width="10" style="9"/>
    <col min="10516" max="10516" width="15.77734375" style="9" customWidth="1"/>
    <col min="10517" max="10518" width="12.44140625" style="9" customWidth="1"/>
    <col min="10519" max="10752" width="10" style="9"/>
    <col min="10753" max="10753" width="8.88671875" style="9" customWidth="1"/>
    <col min="10754" max="10755" width="11.77734375" style="9" customWidth="1"/>
    <col min="10756" max="10757" width="8.44140625" style="9" customWidth="1"/>
    <col min="10758" max="10758" width="12.88671875" style="9" customWidth="1"/>
    <col min="10759" max="10759" width="10" style="9"/>
    <col min="10760" max="10760" width="7.33203125" style="9" customWidth="1"/>
    <col min="10761" max="10766" width="11.21875" style="9" customWidth="1"/>
    <col min="10767" max="10771" width="10" style="9"/>
    <col min="10772" max="10772" width="15.77734375" style="9" customWidth="1"/>
    <col min="10773" max="10774" width="12.44140625" style="9" customWidth="1"/>
    <col min="10775" max="11008" width="10" style="9"/>
    <col min="11009" max="11009" width="8.88671875" style="9" customWidth="1"/>
    <col min="11010" max="11011" width="11.77734375" style="9" customWidth="1"/>
    <col min="11012" max="11013" width="8.44140625" style="9" customWidth="1"/>
    <col min="11014" max="11014" width="12.88671875" style="9" customWidth="1"/>
    <col min="11015" max="11015" width="10" style="9"/>
    <col min="11016" max="11016" width="7.33203125" style="9" customWidth="1"/>
    <col min="11017" max="11022" width="11.21875" style="9" customWidth="1"/>
    <col min="11023" max="11027" width="10" style="9"/>
    <col min="11028" max="11028" width="15.77734375" style="9" customWidth="1"/>
    <col min="11029" max="11030" width="12.44140625" style="9" customWidth="1"/>
    <col min="11031" max="11264" width="10" style="9"/>
    <col min="11265" max="11265" width="8.88671875" style="9" customWidth="1"/>
    <col min="11266" max="11267" width="11.77734375" style="9" customWidth="1"/>
    <col min="11268" max="11269" width="8.44140625" style="9" customWidth="1"/>
    <col min="11270" max="11270" width="12.88671875" style="9" customWidth="1"/>
    <col min="11271" max="11271" width="10" style="9"/>
    <col min="11272" max="11272" width="7.33203125" style="9" customWidth="1"/>
    <col min="11273" max="11278" width="11.21875" style="9" customWidth="1"/>
    <col min="11279" max="11283" width="10" style="9"/>
    <col min="11284" max="11284" width="15.77734375" style="9" customWidth="1"/>
    <col min="11285" max="11286" width="12.44140625" style="9" customWidth="1"/>
    <col min="11287" max="11520" width="10" style="9"/>
    <col min="11521" max="11521" width="8.88671875" style="9" customWidth="1"/>
    <col min="11522" max="11523" width="11.77734375" style="9" customWidth="1"/>
    <col min="11524" max="11525" width="8.44140625" style="9" customWidth="1"/>
    <col min="11526" max="11526" width="12.88671875" style="9" customWidth="1"/>
    <col min="11527" max="11527" width="10" style="9"/>
    <col min="11528" max="11528" width="7.33203125" style="9" customWidth="1"/>
    <col min="11529" max="11534" width="11.21875" style="9" customWidth="1"/>
    <col min="11535" max="11539" width="10" style="9"/>
    <col min="11540" max="11540" width="15.77734375" style="9" customWidth="1"/>
    <col min="11541" max="11542" width="12.44140625" style="9" customWidth="1"/>
    <col min="11543" max="11776" width="10" style="9"/>
    <col min="11777" max="11777" width="8.88671875" style="9" customWidth="1"/>
    <col min="11778" max="11779" width="11.77734375" style="9" customWidth="1"/>
    <col min="11780" max="11781" width="8.44140625" style="9" customWidth="1"/>
    <col min="11782" max="11782" width="12.88671875" style="9" customWidth="1"/>
    <col min="11783" max="11783" width="10" style="9"/>
    <col min="11784" max="11784" width="7.33203125" style="9" customWidth="1"/>
    <col min="11785" max="11790" width="11.21875" style="9" customWidth="1"/>
    <col min="11791" max="11795" width="10" style="9"/>
    <col min="11796" max="11796" width="15.77734375" style="9" customWidth="1"/>
    <col min="11797" max="11798" width="12.44140625" style="9" customWidth="1"/>
    <col min="11799" max="12032" width="10" style="9"/>
    <col min="12033" max="12033" width="8.88671875" style="9" customWidth="1"/>
    <col min="12034" max="12035" width="11.77734375" style="9" customWidth="1"/>
    <col min="12036" max="12037" width="8.44140625" style="9" customWidth="1"/>
    <col min="12038" max="12038" width="12.88671875" style="9" customWidth="1"/>
    <col min="12039" max="12039" width="10" style="9"/>
    <col min="12040" max="12040" width="7.33203125" style="9" customWidth="1"/>
    <col min="12041" max="12046" width="11.21875" style="9" customWidth="1"/>
    <col min="12047" max="12051" width="10" style="9"/>
    <col min="12052" max="12052" width="15.77734375" style="9" customWidth="1"/>
    <col min="12053" max="12054" width="12.44140625" style="9" customWidth="1"/>
    <col min="12055" max="12288" width="10" style="9"/>
    <col min="12289" max="12289" width="8.88671875" style="9" customWidth="1"/>
    <col min="12290" max="12291" width="11.77734375" style="9" customWidth="1"/>
    <col min="12292" max="12293" width="8.44140625" style="9" customWidth="1"/>
    <col min="12294" max="12294" width="12.88671875" style="9" customWidth="1"/>
    <col min="12295" max="12295" width="10" style="9"/>
    <col min="12296" max="12296" width="7.33203125" style="9" customWidth="1"/>
    <col min="12297" max="12302" width="11.21875" style="9" customWidth="1"/>
    <col min="12303" max="12307" width="10" style="9"/>
    <col min="12308" max="12308" width="15.77734375" style="9" customWidth="1"/>
    <col min="12309" max="12310" width="12.44140625" style="9" customWidth="1"/>
    <col min="12311" max="12544" width="10" style="9"/>
    <col min="12545" max="12545" width="8.88671875" style="9" customWidth="1"/>
    <col min="12546" max="12547" width="11.77734375" style="9" customWidth="1"/>
    <col min="12548" max="12549" width="8.44140625" style="9" customWidth="1"/>
    <col min="12550" max="12550" width="12.88671875" style="9" customWidth="1"/>
    <col min="12551" max="12551" width="10" style="9"/>
    <col min="12552" max="12552" width="7.33203125" style="9" customWidth="1"/>
    <col min="12553" max="12558" width="11.21875" style="9" customWidth="1"/>
    <col min="12559" max="12563" width="10" style="9"/>
    <col min="12564" max="12564" width="15.77734375" style="9" customWidth="1"/>
    <col min="12565" max="12566" width="12.44140625" style="9" customWidth="1"/>
    <col min="12567" max="12800" width="10" style="9"/>
    <col min="12801" max="12801" width="8.88671875" style="9" customWidth="1"/>
    <col min="12802" max="12803" width="11.77734375" style="9" customWidth="1"/>
    <col min="12804" max="12805" width="8.44140625" style="9" customWidth="1"/>
    <col min="12806" max="12806" width="12.88671875" style="9" customWidth="1"/>
    <col min="12807" max="12807" width="10" style="9"/>
    <col min="12808" max="12808" width="7.33203125" style="9" customWidth="1"/>
    <col min="12809" max="12814" width="11.21875" style="9" customWidth="1"/>
    <col min="12815" max="12819" width="10" style="9"/>
    <col min="12820" max="12820" width="15.77734375" style="9" customWidth="1"/>
    <col min="12821" max="12822" width="12.44140625" style="9" customWidth="1"/>
    <col min="12823" max="13056" width="10" style="9"/>
    <col min="13057" max="13057" width="8.88671875" style="9" customWidth="1"/>
    <col min="13058" max="13059" width="11.77734375" style="9" customWidth="1"/>
    <col min="13060" max="13061" width="8.44140625" style="9" customWidth="1"/>
    <col min="13062" max="13062" width="12.88671875" style="9" customWidth="1"/>
    <col min="13063" max="13063" width="10" style="9"/>
    <col min="13064" max="13064" width="7.33203125" style="9" customWidth="1"/>
    <col min="13065" max="13070" width="11.21875" style="9" customWidth="1"/>
    <col min="13071" max="13075" width="10" style="9"/>
    <col min="13076" max="13076" width="15.77734375" style="9" customWidth="1"/>
    <col min="13077" max="13078" width="12.44140625" style="9" customWidth="1"/>
    <col min="13079" max="13312" width="10" style="9"/>
    <col min="13313" max="13313" width="8.88671875" style="9" customWidth="1"/>
    <col min="13314" max="13315" width="11.77734375" style="9" customWidth="1"/>
    <col min="13316" max="13317" width="8.44140625" style="9" customWidth="1"/>
    <col min="13318" max="13318" width="12.88671875" style="9" customWidth="1"/>
    <col min="13319" max="13319" width="10" style="9"/>
    <col min="13320" max="13320" width="7.33203125" style="9" customWidth="1"/>
    <col min="13321" max="13326" width="11.21875" style="9" customWidth="1"/>
    <col min="13327" max="13331" width="10" style="9"/>
    <col min="13332" max="13332" width="15.77734375" style="9" customWidth="1"/>
    <col min="13333" max="13334" width="12.44140625" style="9" customWidth="1"/>
    <col min="13335" max="13568" width="10" style="9"/>
    <col min="13569" max="13569" width="8.88671875" style="9" customWidth="1"/>
    <col min="13570" max="13571" width="11.77734375" style="9" customWidth="1"/>
    <col min="13572" max="13573" width="8.44140625" style="9" customWidth="1"/>
    <col min="13574" max="13574" width="12.88671875" style="9" customWidth="1"/>
    <col min="13575" max="13575" width="10" style="9"/>
    <col min="13576" max="13576" width="7.33203125" style="9" customWidth="1"/>
    <col min="13577" max="13582" width="11.21875" style="9" customWidth="1"/>
    <col min="13583" max="13587" width="10" style="9"/>
    <col min="13588" max="13588" width="15.77734375" style="9" customWidth="1"/>
    <col min="13589" max="13590" width="12.44140625" style="9" customWidth="1"/>
    <col min="13591" max="13824" width="10" style="9"/>
    <col min="13825" max="13825" width="8.88671875" style="9" customWidth="1"/>
    <col min="13826" max="13827" width="11.77734375" style="9" customWidth="1"/>
    <col min="13828" max="13829" width="8.44140625" style="9" customWidth="1"/>
    <col min="13830" max="13830" width="12.88671875" style="9" customWidth="1"/>
    <col min="13831" max="13831" width="10" style="9"/>
    <col min="13832" max="13832" width="7.33203125" style="9" customWidth="1"/>
    <col min="13833" max="13838" width="11.21875" style="9" customWidth="1"/>
    <col min="13839" max="13843" width="10" style="9"/>
    <col min="13844" max="13844" width="15.77734375" style="9" customWidth="1"/>
    <col min="13845" max="13846" width="12.44140625" style="9" customWidth="1"/>
    <col min="13847" max="14080" width="10" style="9"/>
    <col min="14081" max="14081" width="8.88671875" style="9" customWidth="1"/>
    <col min="14082" max="14083" width="11.77734375" style="9" customWidth="1"/>
    <col min="14084" max="14085" width="8.44140625" style="9" customWidth="1"/>
    <col min="14086" max="14086" width="12.88671875" style="9" customWidth="1"/>
    <col min="14087" max="14087" width="10" style="9"/>
    <col min="14088" max="14088" width="7.33203125" style="9" customWidth="1"/>
    <col min="14089" max="14094" width="11.21875" style="9" customWidth="1"/>
    <col min="14095" max="14099" width="10" style="9"/>
    <col min="14100" max="14100" width="15.77734375" style="9" customWidth="1"/>
    <col min="14101" max="14102" width="12.44140625" style="9" customWidth="1"/>
    <col min="14103" max="14336" width="10" style="9"/>
    <col min="14337" max="14337" width="8.88671875" style="9" customWidth="1"/>
    <col min="14338" max="14339" width="11.77734375" style="9" customWidth="1"/>
    <col min="14340" max="14341" width="8.44140625" style="9" customWidth="1"/>
    <col min="14342" max="14342" width="12.88671875" style="9" customWidth="1"/>
    <col min="14343" max="14343" width="10" style="9"/>
    <col min="14344" max="14344" width="7.33203125" style="9" customWidth="1"/>
    <col min="14345" max="14350" width="11.21875" style="9" customWidth="1"/>
    <col min="14351" max="14355" width="10" style="9"/>
    <col min="14356" max="14356" width="15.77734375" style="9" customWidth="1"/>
    <col min="14357" max="14358" width="12.44140625" style="9" customWidth="1"/>
    <col min="14359" max="14592" width="10" style="9"/>
    <col min="14593" max="14593" width="8.88671875" style="9" customWidth="1"/>
    <col min="14594" max="14595" width="11.77734375" style="9" customWidth="1"/>
    <col min="14596" max="14597" width="8.44140625" style="9" customWidth="1"/>
    <col min="14598" max="14598" width="12.88671875" style="9" customWidth="1"/>
    <col min="14599" max="14599" width="10" style="9"/>
    <col min="14600" max="14600" width="7.33203125" style="9" customWidth="1"/>
    <col min="14601" max="14606" width="11.21875" style="9" customWidth="1"/>
    <col min="14607" max="14611" width="10" style="9"/>
    <col min="14612" max="14612" width="15.77734375" style="9" customWidth="1"/>
    <col min="14613" max="14614" width="12.44140625" style="9" customWidth="1"/>
    <col min="14615" max="14848" width="10" style="9"/>
    <col min="14849" max="14849" width="8.88671875" style="9" customWidth="1"/>
    <col min="14850" max="14851" width="11.77734375" style="9" customWidth="1"/>
    <col min="14852" max="14853" width="8.44140625" style="9" customWidth="1"/>
    <col min="14854" max="14854" width="12.88671875" style="9" customWidth="1"/>
    <col min="14855" max="14855" width="10" style="9"/>
    <col min="14856" max="14856" width="7.33203125" style="9" customWidth="1"/>
    <col min="14857" max="14862" width="11.21875" style="9" customWidth="1"/>
    <col min="14863" max="14867" width="10" style="9"/>
    <col min="14868" max="14868" width="15.77734375" style="9" customWidth="1"/>
    <col min="14869" max="14870" width="12.44140625" style="9" customWidth="1"/>
    <col min="14871" max="15104" width="10" style="9"/>
    <col min="15105" max="15105" width="8.88671875" style="9" customWidth="1"/>
    <col min="15106" max="15107" width="11.77734375" style="9" customWidth="1"/>
    <col min="15108" max="15109" width="8.44140625" style="9" customWidth="1"/>
    <col min="15110" max="15110" width="12.88671875" style="9" customWidth="1"/>
    <col min="15111" max="15111" width="10" style="9"/>
    <col min="15112" max="15112" width="7.33203125" style="9" customWidth="1"/>
    <col min="15113" max="15118" width="11.21875" style="9" customWidth="1"/>
    <col min="15119" max="15123" width="10" style="9"/>
    <col min="15124" max="15124" width="15.77734375" style="9" customWidth="1"/>
    <col min="15125" max="15126" width="12.44140625" style="9" customWidth="1"/>
    <col min="15127" max="15360" width="10" style="9"/>
    <col min="15361" max="15361" width="8.88671875" style="9" customWidth="1"/>
    <col min="15362" max="15363" width="11.77734375" style="9" customWidth="1"/>
    <col min="15364" max="15365" width="8.44140625" style="9" customWidth="1"/>
    <col min="15366" max="15366" width="12.88671875" style="9" customWidth="1"/>
    <col min="15367" max="15367" width="10" style="9"/>
    <col min="15368" max="15368" width="7.33203125" style="9" customWidth="1"/>
    <col min="15369" max="15374" width="11.21875" style="9" customWidth="1"/>
    <col min="15375" max="15379" width="10" style="9"/>
    <col min="15380" max="15380" width="15.77734375" style="9" customWidth="1"/>
    <col min="15381" max="15382" width="12.44140625" style="9" customWidth="1"/>
    <col min="15383" max="15616" width="10" style="9"/>
    <col min="15617" max="15617" width="8.88671875" style="9" customWidth="1"/>
    <col min="15618" max="15619" width="11.77734375" style="9" customWidth="1"/>
    <col min="15620" max="15621" width="8.44140625" style="9" customWidth="1"/>
    <col min="15622" max="15622" width="12.88671875" style="9" customWidth="1"/>
    <col min="15623" max="15623" width="10" style="9"/>
    <col min="15624" max="15624" width="7.33203125" style="9" customWidth="1"/>
    <col min="15625" max="15630" width="11.21875" style="9" customWidth="1"/>
    <col min="15631" max="15635" width="10" style="9"/>
    <col min="15636" max="15636" width="15.77734375" style="9" customWidth="1"/>
    <col min="15637" max="15638" width="12.44140625" style="9" customWidth="1"/>
    <col min="15639" max="15872" width="10" style="9"/>
    <col min="15873" max="15873" width="8.88671875" style="9" customWidth="1"/>
    <col min="15874" max="15875" width="11.77734375" style="9" customWidth="1"/>
    <col min="15876" max="15877" width="8.44140625" style="9" customWidth="1"/>
    <col min="15878" max="15878" width="12.88671875" style="9" customWidth="1"/>
    <col min="15879" max="15879" width="10" style="9"/>
    <col min="15880" max="15880" width="7.33203125" style="9" customWidth="1"/>
    <col min="15881" max="15886" width="11.21875" style="9" customWidth="1"/>
    <col min="15887" max="15891" width="10" style="9"/>
    <col min="15892" max="15892" width="15.77734375" style="9" customWidth="1"/>
    <col min="15893" max="15894" width="12.44140625" style="9" customWidth="1"/>
    <col min="15895" max="16128" width="10" style="9"/>
    <col min="16129" max="16129" width="8.88671875" style="9" customWidth="1"/>
    <col min="16130" max="16131" width="11.77734375" style="9" customWidth="1"/>
    <col min="16132" max="16133" width="8.44140625" style="9" customWidth="1"/>
    <col min="16134" max="16134" width="12.88671875" style="9" customWidth="1"/>
    <col min="16135" max="16135" width="10" style="9"/>
    <col min="16136" max="16136" width="7.33203125" style="9" customWidth="1"/>
    <col min="16137" max="16142" width="11.21875" style="9" customWidth="1"/>
    <col min="16143" max="16147" width="10" style="9"/>
    <col min="16148" max="16148" width="15.77734375" style="9" customWidth="1"/>
    <col min="16149" max="16150" width="12.44140625" style="9" customWidth="1"/>
    <col min="16151" max="16384" width="10" style="9"/>
  </cols>
  <sheetData>
    <row r="1" spans="1:66" ht="31.2" thickBot="1">
      <c r="A1" s="5" t="s">
        <v>35</v>
      </c>
      <c r="I1" s="8"/>
      <c r="J1" s="8"/>
      <c r="K1" s="8"/>
      <c r="L1" s="8"/>
      <c r="M1" s="8"/>
      <c r="N1" s="8"/>
      <c r="O1" s="8"/>
      <c r="Q1" s="8"/>
      <c r="AH1" s="47"/>
      <c r="AI1" s="47"/>
      <c r="AJ1" s="47"/>
      <c r="AK1" s="47"/>
      <c r="AL1" s="47" t="s">
        <v>64</v>
      </c>
      <c r="AM1" s="47" t="s">
        <v>75</v>
      </c>
      <c r="AN1" s="47"/>
      <c r="BC1" s="8"/>
      <c r="BD1" s="8"/>
      <c r="BE1" s="8"/>
      <c r="BF1" s="8"/>
      <c r="BG1" s="8"/>
      <c r="BH1" s="8"/>
      <c r="BI1" s="8"/>
      <c r="BJ1" s="8"/>
      <c r="BK1" s="8"/>
      <c r="BL1" s="8"/>
      <c r="BM1" s="8"/>
      <c r="BN1" s="8"/>
    </row>
    <row r="2" spans="1:66" s="15" customFormat="1" ht="39.75" customHeight="1" thickBot="1">
      <c r="A2" s="12" t="s">
        <v>36</v>
      </c>
      <c r="B2" s="13" t="s">
        <v>64</v>
      </c>
      <c r="C2" s="14" t="s">
        <v>75</v>
      </c>
      <c r="D2" s="8"/>
      <c r="F2" s="67" t="s">
        <v>37</v>
      </c>
      <c r="G2" s="68"/>
      <c r="I2" s="16"/>
      <c r="J2" s="16"/>
      <c r="K2" s="16"/>
      <c r="L2" s="16"/>
      <c r="M2" s="16"/>
      <c r="N2" s="16"/>
      <c r="O2" s="16"/>
      <c r="Q2" s="16"/>
      <c r="R2" s="8"/>
      <c r="S2" s="8"/>
      <c r="T2" s="8"/>
      <c r="U2" s="8"/>
      <c r="V2" s="8"/>
      <c r="W2" s="16"/>
      <c r="X2" s="16"/>
      <c r="Y2" s="8"/>
      <c r="Z2" s="8"/>
      <c r="AA2" s="8"/>
      <c r="AB2" s="8"/>
      <c r="AC2" s="8"/>
      <c r="AD2" s="8"/>
      <c r="AE2" s="8"/>
      <c r="AF2" s="8"/>
      <c r="AG2" s="8"/>
      <c r="AH2" s="47">
        <v>5.6</v>
      </c>
      <c r="AI2" s="47"/>
      <c r="AJ2" s="47"/>
      <c r="AK2" s="47">
        <v>5.6</v>
      </c>
      <c r="AL2" s="47">
        <v>0</v>
      </c>
      <c r="AM2" s="47">
        <v>0</v>
      </c>
      <c r="AN2" s="47"/>
      <c r="AO2" s="8"/>
      <c r="AP2" s="8"/>
      <c r="AQ2" s="8"/>
      <c r="AR2" s="8"/>
      <c r="AS2" s="8"/>
      <c r="AT2" s="8"/>
      <c r="AU2" s="8"/>
      <c r="AV2" s="8"/>
      <c r="AW2" s="8"/>
      <c r="AX2" s="8"/>
      <c r="AY2" s="8"/>
      <c r="AZ2" s="8"/>
      <c r="BA2" s="8"/>
      <c r="BB2" s="8"/>
      <c r="BC2" s="16"/>
      <c r="BD2" s="16"/>
      <c r="BE2" s="16"/>
      <c r="BF2" s="16"/>
      <c r="BG2" s="16"/>
      <c r="BH2" s="16"/>
      <c r="BI2" s="16"/>
      <c r="BJ2" s="16"/>
      <c r="BK2" s="16"/>
      <c r="BL2" s="16"/>
      <c r="BM2" s="16"/>
      <c r="BN2" s="16"/>
    </row>
    <row r="3" spans="1:66" ht="16.2" thickBot="1">
      <c r="A3" s="17">
        <v>1</v>
      </c>
      <c r="B3" s="18">
        <v>6.9024464130252152</v>
      </c>
      <c r="C3" s="19">
        <v>9.9834595539231596</v>
      </c>
      <c r="F3" s="20">
        <v>1000</v>
      </c>
      <c r="G3" s="21" t="s">
        <v>38</v>
      </c>
      <c r="AH3" s="47">
        <v>5.7</v>
      </c>
      <c r="AI3" s="47"/>
      <c r="AJ3" s="47"/>
      <c r="AK3" s="47">
        <v>5.6</v>
      </c>
      <c r="AL3" s="47">
        <v>1</v>
      </c>
      <c r="AM3" s="47">
        <v>0</v>
      </c>
      <c r="AN3" s="47"/>
      <c r="BC3" s="8"/>
      <c r="BD3" s="8"/>
      <c r="BE3" s="8"/>
      <c r="BF3" s="8"/>
      <c r="BG3" s="8"/>
      <c r="BH3" s="8"/>
      <c r="BI3" s="8"/>
      <c r="BJ3" s="8"/>
      <c r="BK3" s="8"/>
      <c r="BL3" s="8"/>
      <c r="BM3" s="8"/>
      <c r="BN3" s="8"/>
    </row>
    <row r="4" spans="1:66" ht="16.2" thickBot="1">
      <c r="A4" s="17">
        <v>2</v>
      </c>
      <c r="B4" s="18">
        <v>6.587585817642907</v>
      </c>
      <c r="C4" s="19">
        <v>9.2142739277979775</v>
      </c>
      <c r="F4" s="22">
        <v>1.9999998388811946</v>
      </c>
      <c r="G4" s="23" t="s">
        <v>39</v>
      </c>
      <c r="I4" s="69" t="s">
        <v>64</v>
      </c>
      <c r="J4" s="70"/>
      <c r="K4" s="71" t="s">
        <v>75</v>
      </c>
      <c r="L4" s="72"/>
      <c r="M4" s="73" t="s">
        <v>40</v>
      </c>
      <c r="N4" s="74"/>
      <c r="P4" s="24"/>
      <c r="AH4" s="47">
        <v>5.8</v>
      </c>
      <c r="AI4" s="47"/>
      <c r="AJ4" s="47"/>
      <c r="AK4" s="47">
        <v>5.7</v>
      </c>
      <c r="AL4" s="47">
        <v>1</v>
      </c>
      <c r="AM4" s="47">
        <v>0</v>
      </c>
      <c r="AN4" s="47"/>
      <c r="BC4" s="8"/>
      <c r="BD4" s="8"/>
      <c r="BE4" s="8"/>
      <c r="BF4" s="8"/>
      <c r="BG4" s="8"/>
      <c r="BH4" s="8"/>
      <c r="BI4" s="8"/>
      <c r="BJ4" s="8"/>
      <c r="BK4" s="8"/>
      <c r="BL4" s="8"/>
      <c r="BM4" s="8"/>
      <c r="BN4" s="8"/>
    </row>
    <row r="5" spans="1:66">
      <c r="A5" s="17">
        <v>3</v>
      </c>
      <c r="B5" s="18">
        <v>7.4778008746164097</v>
      </c>
      <c r="C5" s="19">
        <v>10.808568851667667</v>
      </c>
      <c r="I5" s="25" t="s">
        <v>41</v>
      </c>
      <c r="J5" s="26">
        <v>6.7087519196705028</v>
      </c>
      <c r="K5" s="27" t="s">
        <v>41</v>
      </c>
      <c r="L5" s="28">
        <v>10.053279972280571</v>
      </c>
      <c r="M5" s="29" t="s">
        <v>76</v>
      </c>
      <c r="N5" s="30"/>
      <c r="P5" s="24"/>
      <c r="AH5" s="47">
        <v>5.9</v>
      </c>
      <c r="AI5" s="47"/>
      <c r="AJ5" s="47"/>
      <c r="AK5" s="47">
        <v>5.7</v>
      </c>
      <c r="AL5" s="47">
        <v>1</v>
      </c>
      <c r="AM5" s="47">
        <v>0</v>
      </c>
      <c r="AN5" s="47"/>
      <c r="BC5" s="8"/>
      <c r="BD5" s="8"/>
      <c r="BE5" s="8"/>
      <c r="BF5" s="8"/>
      <c r="BG5" s="8"/>
      <c r="BH5" s="8"/>
      <c r="BI5" s="8"/>
      <c r="BJ5" s="8"/>
      <c r="BK5" s="8"/>
      <c r="BL5" s="8"/>
      <c r="BM5" s="8"/>
      <c r="BN5" s="8"/>
    </row>
    <row r="6" spans="1:66">
      <c r="A6" s="17">
        <v>4</v>
      </c>
      <c r="B6" s="18">
        <v>7.0712453097607382</v>
      </c>
      <c r="C6" s="19">
        <v>10.924857046409032</v>
      </c>
      <c r="I6" s="25" t="s">
        <v>42</v>
      </c>
      <c r="J6" s="31">
        <v>0.34002090175638711</v>
      </c>
      <c r="K6" s="27" t="s">
        <v>42</v>
      </c>
      <c r="L6" s="32">
        <v>0.72384119460632468</v>
      </c>
      <c r="M6" s="33"/>
      <c r="N6" s="34"/>
      <c r="AH6" s="47">
        <v>6</v>
      </c>
      <c r="AI6" s="47"/>
      <c r="AJ6" s="47"/>
      <c r="AK6" s="47">
        <v>5.8</v>
      </c>
      <c r="AL6" s="47">
        <v>1</v>
      </c>
      <c r="AM6" s="47">
        <v>0</v>
      </c>
      <c r="AN6" s="47"/>
      <c r="BC6" s="8"/>
      <c r="BD6" s="8"/>
      <c r="BE6" s="8"/>
      <c r="BF6" s="8"/>
      <c r="BG6" s="8"/>
      <c r="BH6" s="8"/>
      <c r="BI6" s="8"/>
      <c r="BJ6" s="8"/>
      <c r="BK6" s="8"/>
      <c r="BL6" s="8"/>
      <c r="BM6" s="8"/>
      <c r="BN6" s="8"/>
    </row>
    <row r="7" spans="1:66">
      <c r="A7" s="17">
        <v>5</v>
      </c>
      <c r="B7" s="18">
        <v>6.4629092893652338</v>
      </c>
      <c r="C7" s="19">
        <v>10.355492849130869</v>
      </c>
      <c r="F7" s="35"/>
      <c r="I7" s="25" t="s">
        <v>43</v>
      </c>
      <c r="J7" s="26">
        <v>8.0930597320156927</v>
      </c>
      <c r="K7" s="27" t="s">
        <v>43</v>
      </c>
      <c r="L7" s="28">
        <v>12.831101895040881</v>
      </c>
      <c r="N7" s="36"/>
      <c r="AH7" s="47">
        <v>6.1</v>
      </c>
      <c r="AI7" s="47"/>
      <c r="AJ7" s="47"/>
      <c r="AK7" s="47">
        <v>5.8</v>
      </c>
      <c r="AL7" s="47">
        <v>4</v>
      </c>
      <c r="AM7" s="47">
        <v>0</v>
      </c>
      <c r="AN7" s="47"/>
      <c r="BC7" s="8"/>
      <c r="BD7" s="8"/>
      <c r="BE7" s="8"/>
      <c r="BF7" s="8"/>
      <c r="BG7" s="8"/>
      <c r="BH7" s="8"/>
      <c r="BI7" s="8"/>
      <c r="BJ7" s="8"/>
      <c r="BK7" s="8"/>
      <c r="BL7" s="8"/>
      <c r="BM7" s="8"/>
      <c r="BN7" s="8"/>
    </row>
    <row r="8" spans="1:66" ht="16.2" thickBot="1">
      <c r="A8" s="17">
        <v>6</v>
      </c>
      <c r="B8" s="18">
        <v>6.8760916983773557</v>
      </c>
      <c r="C8" s="19">
        <v>9.7517725236293646</v>
      </c>
      <c r="F8" s="35"/>
      <c r="I8" s="37" t="s">
        <v>44</v>
      </c>
      <c r="J8" s="38">
        <v>5.6754897632253511</v>
      </c>
      <c r="K8" s="39" t="s">
        <v>44</v>
      </c>
      <c r="L8" s="40">
        <v>7.9871758812885059</v>
      </c>
      <c r="M8" s="41"/>
      <c r="N8" s="42"/>
      <c r="AH8" s="47">
        <v>6.2</v>
      </c>
      <c r="AI8" s="47"/>
      <c r="AJ8" s="47"/>
      <c r="AK8" s="47">
        <v>5.9</v>
      </c>
      <c r="AL8" s="47">
        <v>4</v>
      </c>
      <c r="AM8" s="47">
        <v>0</v>
      </c>
      <c r="AN8" s="47"/>
      <c r="BC8" s="8"/>
      <c r="BD8" s="8"/>
      <c r="BE8" s="8"/>
      <c r="BF8" s="8"/>
      <c r="BG8" s="8"/>
      <c r="BH8" s="8"/>
      <c r="BI8" s="8"/>
      <c r="BJ8" s="8"/>
      <c r="BK8" s="8"/>
      <c r="BL8" s="8"/>
      <c r="BM8" s="8"/>
      <c r="BN8" s="8"/>
    </row>
    <row r="9" spans="1:66">
      <c r="A9" s="17">
        <v>7</v>
      </c>
      <c r="B9" s="18">
        <v>6.9038160861214868</v>
      </c>
      <c r="C9" s="19">
        <v>11.426244700100423</v>
      </c>
      <c r="F9" s="35"/>
      <c r="J9" s="8"/>
      <c r="AH9" s="47">
        <v>6.3</v>
      </c>
      <c r="AI9" s="47"/>
      <c r="AJ9" s="47"/>
      <c r="AK9" s="47">
        <v>5.9</v>
      </c>
      <c r="AL9" s="47">
        <v>5</v>
      </c>
      <c r="AM9" s="47">
        <v>0</v>
      </c>
      <c r="AN9" s="47"/>
      <c r="BC9" s="8"/>
      <c r="BD9" s="8"/>
      <c r="BE9" s="8"/>
      <c r="BF9" s="8"/>
      <c r="BG9" s="8"/>
      <c r="BH9" s="8"/>
      <c r="BI9" s="8"/>
      <c r="BJ9" s="8"/>
      <c r="BK9" s="8"/>
      <c r="BL9" s="8"/>
      <c r="BM9" s="8"/>
      <c r="BN9" s="8"/>
    </row>
    <row r="10" spans="1:66">
      <c r="A10" s="17">
        <v>8</v>
      </c>
      <c r="B10" s="18">
        <v>6.8589530631101425</v>
      </c>
      <c r="C10" s="19">
        <v>10.195818683650462</v>
      </c>
      <c r="F10" s="35"/>
      <c r="J10" s="8"/>
      <c r="P10" s="24"/>
      <c r="AH10" s="47">
        <v>6.4</v>
      </c>
      <c r="AI10" s="47"/>
      <c r="AJ10" s="47"/>
      <c r="AK10" s="47">
        <v>6</v>
      </c>
      <c r="AL10" s="47">
        <v>5</v>
      </c>
      <c r="AM10" s="47">
        <v>0</v>
      </c>
      <c r="AN10" s="47"/>
      <c r="BC10" s="8"/>
      <c r="BD10" s="8"/>
      <c r="BE10" s="8"/>
      <c r="BF10" s="8"/>
      <c r="BG10" s="8"/>
      <c r="BH10" s="8"/>
      <c r="BI10" s="8"/>
      <c r="BJ10" s="8"/>
      <c r="BK10" s="8"/>
      <c r="BL10" s="8"/>
      <c r="BM10" s="8"/>
      <c r="BN10" s="8"/>
    </row>
    <row r="11" spans="1:66">
      <c r="A11" s="17">
        <v>9</v>
      </c>
      <c r="B11" s="18">
        <v>6.1151432781120061</v>
      </c>
      <c r="C11" s="19">
        <v>9.6391805878436525</v>
      </c>
      <c r="J11" s="8"/>
      <c r="P11" s="24"/>
      <c r="AH11" s="47">
        <v>6.5</v>
      </c>
      <c r="AI11" s="47"/>
      <c r="AJ11" s="47"/>
      <c r="AK11" s="47">
        <v>6</v>
      </c>
      <c r="AL11" s="47">
        <v>16</v>
      </c>
      <c r="AM11" s="47">
        <v>0</v>
      </c>
      <c r="AN11" s="47"/>
      <c r="BC11" s="8"/>
      <c r="BD11" s="8"/>
      <c r="BE11" s="8"/>
      <c r="BF11" s="8"/>
      <c r="BG11" s="8"/>
      <c r="BH11" s="8"/>
      <c r="BI11" s="8"/>
      <c r="BJ11" s="8"/>
      <c r="BK11" s="8"/>
      <c r="BL11" s="8"/>
      <c r="BM11" s="8"/>
      <c r="BN11" s="8"/>
    </row>
    <row r="12" spans="1:66">
      <c r="A12" s="17">
        <v>10</v>
      </c>
      <c r="B12" s="18">
        <v>6.7038724708329465</v>
      </c>
      <c r="C12" s="19">
        <v>9.8102880758460032</v>
      </c>
      <c r="P12" s="24"/>
      <c r="AH12" s="47">
        <v>6.6</v>
      </c>
      <c r="AI12" s="47"/>
      <c r="AJ12" s="47"/>
      <c r="AK12" s="47">
        <v>6.1</v>
      </c>
      <c r="AL12" s="47">
        <v>16</v>
      </c>
      <c r="AM12" s="47">
        <v>0</v>
      </c>
      <c r="AN12" s="47"/>
      <c r="BC12" s="8"/>
      <c r="BD12" s="8"/>
      <c r="BE12" s="8"/>
      <c r="BF12" s="8"/>
      <c r="BG12" s="8"/>
      <c r="BH12" s="8"/>
      <c r="BI12" s="8"/>
      <c r="BJ12" s="8"/>
      <c r="BK12" s="8"/>
      <c r="BL12" s="8"/>
      <c r="BM12" s="8"/>
      <c r="BN12" s="8"/>
    </row>
    <row r="13" spans="1:66">
      <c r="A13" s="17">
        <v>11</v>
      </c>
      <c r="B13" s="18">
        <v>6.7632053946611377</v>
      </c>
      <c r="C13" s="19">
        <v>9.5389597493450147</v>
      </c>
      <c r="AH13" s="47">
        <v>6.7</v>
      </c>
      <c r="AI13" s="47"/>
      <c r="AJ13" s="47"/>
      <c r="AK13" s="47">
        <v>6.1</v>
      </c>
      <c r="AL13" s="47">
        <v>29</v>
      </c>
      <c r="AM13" s="47">
        <v>0</v>
      </c>
      <c r="AN13" s="47"/>
      <c r="BC13" s="8"/>
      <c r="BD13" s="8"/>
      <c r="BE13" s="8"/>
      <c r="BF13" s="8"/>
      <c r="BG13" s="8"/>
      <c r="BH13" s="8"/>
      <c r="BI13" s="8"/>
      <c r="BJ13" s="8"/>
      <c r="BK13" s="8"/>
      <c r="BL13" s="8"/>
      <c r="BM13" s="8"/>
      <c r="BN13" s="8"/>
    </row>
    <row r="14" spans="1:66">
      <c r="A14" s="17">
        <v>12</v>
      </c>
      <c r="B14" s="18">
        <v>6.855060455606508</v>
      </c>
      <c r="C14" s="19">
        <v>10.742340738855328</v>
      </c>
      <c r="E14" s="43"/>
      <c r="AH14" s="47">
        <v>6.8</v>
      </c>
      <c r="AI14" s="47"/>
      <c r="AJ14" s="47"/>
      <c r="AK14" s="47">
        <v>6.2</v>
      </c>
      <c r="AL14" s="47">
        <v>29</v>
      </c>
      <c r="AM14" s="47">
        <v>0</v>
      </c>
      <c r="AN14" s="47"/>
      <c r="BC14" s="8"/>
      <c r="BD14" s="8"/>
      <c r="BE14" s="8"/>
      <c r="BF14" s="8"/>
      <c r="BG14" s="8"/>
      <c r="BH14" s="8"/>
      <c r="BI14" s="8"/>
      <c r="BJ14" s="8"/>
      <c r="BK14" s="8"/>
      <c r="BL14" s="8"/>
      <c r="BM14" s="8"/>
      <c r="BN14" s="8"/>
    </row>
    <row r="15" spans="1:66">
      <c r="A15" s="17">
        <v>13</v>
      </c>
      <c r="B15" s="18">
        <v>6.7362717139330144</v>
      </c>
      <c r="C15" s="19">
        <v>9.4272229181377263</v>
      </c>
      <c r="E15" s="43"/>
      <c r="AH15" s="47">
        <v>6.9</v>
      </c>
      <c r="AI15" s="47"/>
      <c r="AJ15" s="47"/>
      <c r="AK15" s="47">
        <v>6.2</v>
      </c>
      <c r="AL15" s="47">
        <v>61</v>
      </c>
      <c r="AM15" s="47">
        <v>0</v>
      </c>
      <c r="AN15" s="47"/>
      <c r="BC15" s="8"/>
      <c r="BD15" s="8"/>
      <c r="BE15" s="8"/>
      <c r="BF15" s="8"/>
      <c r="BG15" s="8"/>
      <c r="BH15" s="8"/>
      <c r="BI15" s="8"/>
      <c r="BJ15" s="8"/>
      <c r="BK15" s="8"/>
      <c r="BL15" s="8"/>
      <c r="BM15" s="8"/>
      <c r="BN15" s="8"/>
    </row>
    <row r="16" spans="1:66">
      <c r="A16" s="17">
        <v>14</v>
      </c>
      <c r="B16" s="18">
        <v>6.7363892822918876</v>
      </c>
      <c r="C16" s="19">
        <v>9.5925052103271184</v>
      </c>
      <c r="E16" s="43"/>
      <c r="AH16" s="47">
        <v>7</v>
      </c>
      <c r="AI16" s="47"/>
      <c r="AJ16" s="47"/>
      <c r="AK16" s="47">
        <v>6.3</v>
      </c>
      <c r="AL16" s="47">
        <v>61</v>
      </c>
      <c r="AM16" s="47">
        <v>0</v>
      </c>
      <c r="AN16" s="47"/>
      <c r="BC16" s="8"/>
      <c r="BD16" s="8"/>
      <c r="BE16" s="8"/>
      <c r="BF16" s="8"/>
      <c r="BG16" s="8"/>
      <c r="BH16" s="8"/>
      <c r="BI16" s="8"/>
      <c r="BJ16" s="8"/>
      <c r="BK16" s="8"/>
      <c r="BL16" s="8"/>
      <c r="BM16" s="8"/>
      <c r="BN16" s="8"/>
    </row>
    <row r="17" spans="1:66">
      <c r="A17" s="17">
        <v>15</v>
      </c>
      <c r="B17" s="18">
        <v>7.391996250685736</v>
      </c>
      <c r="C17" s="19">
        <v>10.469611432138079</v>
      </c>
      <c r="AH17" s="47">
        <v>7.1</v>
      </c>
      <c r="AI17" s="47"/>
      <c r="AJ17" s="47"/>
      <c r="AK17" s="47">
        <v>6.3</v>
      </c>
      <c r="AL17" s="47">
        <v>75</v>
      </c>
      <c r="AM17" s="47">
        <v>0</v>
      </c>
      <c r="AN17" s="47"/>
      <c r="BC17" s="8"/>
      <c r="BD17" s="8"/>
      <c r="BE17" s="8"/>
      <c r="BF17" s="8"/>
      <c r="BG17" s="8"/>
      <c r="BH17" s="8"/>
      <c r="BI17" s="8"/>
      <c r="BJ17" s="8"/>
      <c r="BK17" s="8"/>
      <c r="BL17" s="8"/>
      <c r="BM17" s="8"/>
      <c r="BN17" s="8"/>
    </row>
    <row r="18" spans="1:66">
      <c r="A18" s="17">
        <v>16</v>
      </c>
      <c r="B18" s="18">
        <v>6.865813454512284</v>
      </c>
      <c r="C18" s="19">
        <v>10.063120564073435</v>
      </c>
      <c r="AH18" s="47">
        <v>7.2</v>
      </c>
      <c r="AI18" s="47"/>
      <c r="AJ18" s="47"/>
      <c r="AK18" s="47">
        <v>6.4</v>
      </c>
      <c r="AL18" s="47">
        <v>75</v>
      </c>
      <c r="AM18" s="47">
        <v>0</v>
      </c>
      <c r="AN18" s="47"/>
      <c r="BC18" s="8"/>
      <c r="BD18" s="8"/>
      <c r="BE18" s="8"/>
      <c r="BF18" s="8"/>
      <c r="BG18" s="8"/>
      <c r="BH18" s="8"/>
      <c r="BI18" s="8"/>
      <c r="BJ18" s="8"/>
      <c r="BK18" s="8"/>
      <c r="BL18" s="8"/>
      <c r="BM18" s="8"/>
      <c r="BN18" s="8"/>
    </row>
    <row r="19" spans="1:66">
      <c r="A19" s="17">
        <v>17</v>
      </c>
      <c r="B19" s="18">
        <v>6.4350219619978732</v>
      </c>
      <c r="C19" s="19">
        <v>10.059910768564194</v>
      </c>
      <c r="F19" s="44">
        <v>1</v>
      </c>
      <c r="AH19" s="47">
        <v>7.3</v>
      </c>
      <c r="AI19" s="47"/>
      <c r="AJ19" s="47"/>
      <c r="AK19" s="47">
        <v>6.4</v>
      </c>
      <c r="AL19" s="47">
        <v>88</v>
      </c>
      <c r="AM19" s="47">
        <v>0</v>
      </c>
      <c r="AN19" s="47"/>
      <c r="BC19" s="8"/>
      <c r="BD19" s="8"/>
      <c r="BE19" s="8"/>
      <c r="BF19" s="8"/>
      <c r="BG19" s="8"/>
      <c r="BH19" s="8"/>
      <c r="BI19" s="8"/>
      <c r="BJ19" s="8"/>
      <c r="BK19" s="8"/>
      <c r="BL19" s="8"/>
      <c r="BM19" s="8"/>
      <c r="BN19" s="8"/>
    </row>
    <row r="20" spans="1:66">
      <c r="A20" s="17">
        <v>18</v>
      </c>
      <c r="B20" s="18">
        <v>6.3560348412721597</v>
      </c>
      <c r="C20" s="19">
        <v>8.6782616798207641</v>
      </c>
      <c r="AH20" s="47">
        <v>7.4</v>
      </c>
      <c r="AI20" s="47"/>
      <c r="AJ20" s="47"/>
      <c r="AK20" s="47">
        <v>6.5</v>
      </c>
      <c r="AL20" s="47">
        <v>88</v>
      </c>
      <c r="AM20" s="47">
        <v>0</v>
      </c>
      <c r="AN20" s="47"/>
      <c r="BC20" s="8"/>
      <c r="BD20" s="8"/>
      <c r="BE20" s="8"/>
      <c r="BF20" s="8"/>
      <c r="BG20" s="8"/>
      <c r="BH20" s="8"/>
      <c r="BI20" s="8"/>
      <c r="BJ20" s="8"/>
      <c r="BK20" s="8"/>
      <c r="BL20" s="8"/>
      <c r="BM20" s="8"/>
      <c r="BN20" s="8"/>
    </row>
    <row r="21" spans="1:66">
      <c r="A21" s="17">
        <v>19</v>
      </c>
      <c r="B21" s="18">
        <v>6.774410018519859</v>
      </c>
      <c r="C21" s="19">
        <v>9.9718782634863139</v>
      </c>
      <c r="AH21" s="47">
        <v>7.5</v>
      </c>
      <c r="AI21" s="47"/>
      <c r="AJ21" s="47"/>
      <c r="AK21" s="47">
        <v>6.5</v>
      </c>
      <c r="AL21" s="47">
        <v>104</v>
      </c>
      <c r="AM21" s="47">
        <v>0</v>
      </c>
      <c r="AN21" s="47"/>
      <c r="BC21" s="8"/>
      <c r="BD21" s="8"/>
      <c r="BE21" s="8"/>
      <c r="BF21" s="8"/>
      <c r="BG21" s="8"/>
      <c r="BH21" s="8"/>
      <c r="BI21" s="8"/>
      <c r="BJ21" s="8"/>
      <c r="BK21" s="8"/>
      <c r="BL21" s="8"/>
      <c r="BM21" s="8"/>
      <c r="BN21" s="8"/>
    </row>
    <row r="22" spans="1:66">
      <c r="A22" s="17">
        <v>20</v>
      </c>
      <c r="B22" s="18">
        <v>6.6007282602161741</v>
      </c>
      <c r="C22" s="19">
        <v>9.5574340088661973</v>
      </c>
      <c r="AH22" s="47">
        <v>7.6</v>
      </c>
      <c r="AI22" s="47"/>
      <c r="AJ22" s="47"/>
      <c r="AK22" s="47">
        <v>6.6</v>
      </c>
      <c r="AL22" s="47">
        <v>104</v>
      </c>
      <c r="AM22" s="47">
        <v>0</v>
      </c>
      <c r="AN22" s="47"/>
      <c r="BC22" s="8"/>
      <c r="BD22" s="8"/>
      <c r="BE22" s="8"/>
      <c r="BF22" s="8"/>
      <c r="BG22" s="8"/>
      <c r="BH22" s="8"/>
      <c r="BI22" s="8"/>
      <c r="BJ22" s="8"/>
      <c r="BK22" s="8"/>
      <c r="BL22" s="8"/>
      <c r="BM22" s="8"/>
      <c r="BN22" s="8"/>
    </row>
    <row r="23" spans="1:66">
      <c r="A23" s="17">
        <v>21</v>
      </c>
      <c r="B23" s="18">
        <v>7.388289638120181</v>
      </c>
      <c r="C23" s="19">
        <v>9.7949070651098324</v>
      </c>
      <c r="AH23" s="47">
        <v>7.7</v>
      </c>
      <c r="AI23" s="47"/>
      <c r="AJ23" s="47"/>
      <c r="AK23" s="47">
        <v>6.6</v>
      </c>
      <c r="AL23" s="47">
        <v>111</v>
      </c>
      <c r="AM23" s="47">
        <v>0</v>
      </c>
      <c r="AN23" s="47"/>
      <c r="BC23" s="8"/>
      <c r="BD23" s="8"/>
      <c r="BE23" s="8"/>
      <c r="BF23" s="8"/>
      <c r="BG23" s="8"/>
      <c r="BH23" s="8"/>
      <c r="BI23" s="8"/>
      <c r="BJ23" s="8"/>
      <c r="BK23" s="8"/>
      <c r="BL23" s="8"/>
      <c r="BM23" s="8"/>
      <c r="BN23" s="8"/>
    </row>
    <row r="24" spans="1:66">
      <c r="A24" s="17">
        <v>22</v>
      </c>
      <c r="B24" s="18">
        <v>6.6285739162457666</v>
      </c>
      <c r="C24" s="19">
        <v>8.4053741529383501</v>
      </c>
      <c r="AH24" s="47">
        <v>7.8</v>
      </c>
      <c r="AI24" s="47"/>
      <c r="AJ24" s="47"/>
      <c r="AK24" s="47">
        <v>6.7</v>
      </c>
      <c r="AL24" s="47">
        <v>111</v>
      </c>
      <c r="AM24" s="47">
        <v>0</v>
      </c>
      <c r="AN24" s="47"/>
      <c r="BC24" s="8"/>
      <c r="BD24" s="8"/>
      <c r="BE24" s="8"/>
      <c r="BF24" s="8"/>
      <c r="BG24" s="8"/>
      <c r="BH24" s="8"/>
      <c r="BI24" s="8"/>
      <c r="BJ24" s="8"/>
      <c r="BK24" s="8"/>
      <c r="BL24" s="8"/>
      <c r="BM24" s="8"/>
      <c r="BN24" s="8"/>
    </row>
    <row r="25" spans="1:66">
      <c r="A25" s="17">
        <v>23</v>
      </c>
      <c r="B25" s="18">
        <v>6.606774244220631</v>
      </c>
      <c r="C25" s="19">
        <v>9.6816062396283016</v>
      </c>
      <c r="AH25" s="47">
        <v>7.9</v>
      </c>
      <c r="AI25" s="47"/>
      <c r="AJ25" s="47"/>
      <c r="AK25" s="47">
        <v>6.7</v>
      </c>
      <c r="AL25" s="47">
        <v>106</v>
      </c>
      <c r="AM25" s="47">
        <v>0</v>
      </c>
      <c r="AN25" s="47"/>
      <c r="BC25" s="8"/>
      <c r="BD25" s="8"/>
      <c r="BE25" s="8"/>
      <c r="BF25" s="8"/>
      <c r="BG25" s="8"/>
      <c r="BH25" s="8"/>
      <c r="BI25" s="8"/>
      <c r="BJ25" s="8"/>
      <c r="BK25" s="8"/>
      <c r="BL25" s="8"/>
      <c r="BM25" s="8"/>
      <c r="BN25" s="8"/>
    </row>
    <row r="26" spans="1:66">
      <c r="A26" s="17">
        <v>24</v>
      </c>
      <c r="B26" s="18">
        <v>7.0302678427349354</v>
      </c>
      <c r="C26" s="19">
        <v>10.9973576414211</v>
      </c>
      <c r="AH26" s="47">
        <v>8</v>
      </c>
      <c r="AI26" s="47"/>
      <c r="AJ26" s="47"/>
      <c r="AK26" s="47">
        <v>6.8</v>
      </c>
      <c r="AL26" s="47">
        <v>106</v>
      </c>
      <c r="AM26" s="47">
        <v>0</v>
      </c>
      <c r="AN26" s="47"/>
      <c r="BC26" s="8"/>
      <c r="BD26" s="8"/>
      <c r="BE26" s="8"/>
      <c r="BF26" s="8"/>
      <c r="BG26" s="8"/>
      <c r="BH26" s="8"/>
      <c r="BI26" s="8"/>
      <c r="BJ26" s="8"/>
      <c r="BK26" s="8"/>
      <c r="BL26" s="8"/>
      <c r="BM26" s="8"/>
      <c r="BN26" s="8"/>
    </row>
    <row r="27" spans="1:66">
      <c r="A27" s="17">
        <v>25</v>
      </c>
      <c r="B27" s="18">
        <v>6.7225327131306347</v>
      </c>
      <c r="C27" s="19">
        <v>10.11620317742557</v>
      </c>
      <c r="AH27" s="47">
        <v>8.1</v>
      </c>
      <c r="AI27" s="47"/>
      <c r="AJ27" s="47"/>
      <c r="AK27" s="47">
        <v>6.8</v>
      </c>
      <c r="AL27" s="47">
        <v>134</v>
      </c>
      <c r="AM27" s="47">
        <v>0</v>
      </c>
      <c r="AN27" s="47"/>
      <c r="BC27" s="8"/>
      <c r="BD27" s="8"/>
      <c r="BE27" s="8"/>
      <c r="BF27" s="8"/>
      <c r="BG27" s="8"/>
      <c r="BH27" s="8"/>
      <c r="BI27" s="8"/>
      <c r="BJ27" s="8"/>
      <c r="BK27" s="8"/>
      <c r="BL27" s="8"/>
      <c r="BM27" s="8"/>
      <c r="BN27" s="8"/>
    </row>
    <row r="28" spans="1:66">
      <c r="A28" s="17">
        <v>26</v>
      </c>
      <c r="B28" s="18">
        <v>6.5394629900833658</v>
      </c>
      <c r="C28" s="19">
        <v>9.9026615212001907</v>
      </c>
      <c r="AH28" s="47"/>
      <c r="AI28" s="47"/>
      <c r="AJ28" s="47"/>
      <c r="AK28" s="47">
        <v>6.9</v>
      </c>
      <c r="AL28" s="47">
        <v>134</v>
      </c>
      <c r="AM28" s="47">
        <v>0</v>
      </c>
      <c r="AN28" s="47"/>
      <c r="BC28" s="8"/>
      <c r="BD28" s="8"/>
      <c r="BE28" s="8"/>
      <c r="BF28" s="8"/>
      <c r="BG28" s="8"/>
      <c r="BH28" s="8"/>
      <c r="BI28" s="8"/>
      <c r="BJ28" s="8"/>
      <c r="BK28" s="8"/>
      <c r="BL28" s="8"/>
      <c r="BM28" s="8"/>
      <c r="BN28" s="8"/>
    </row>
    <row r="29" spans="1:66">
      <c r="A29" s="17">
        <v>27</v>
      </c>
      <c r="B29" s="18">
        <v>6.4570539669586084</v>
      </c>
      <c r="C29" s="19">
        <v>9.6064271444982019</v>
      </c>
      <c r="AH29" s="47"/>
      <c r="AI29" s="47"/>
      <c r="AJ29" s="47"/>
      <c r="AK29" s="47">
        <v>6.9</v>
      </c>
      <c r="AL29" s="47">
        <v>73</v>
      </c>
      <c r="AM29" s="47">
        <v>0</v>
      </c>
      <c r="AN29" s="47"/>
      <c r="BC29" s="8"/>
      <c r="BD29" s="8"/>
      <c r="BE29" s="8"/>
      <c r="BF29" s="8"/>
      <c r="BG29" s="8"/>
      <c r="BH29" s="8"/>
      <c r="BI29" s="8"/>
      <c r="BJ29" s="8"/>
      <c r="BK29" s="8"/>
      <c r="BL29" s="8"/>
      <c r="BM29" s="8"/>
      <c r="BN29" s="8"/>
    </row>
    <row r="30" spans="1:66">
      <c r="A30" s="17">
        <v>28</v>
      </c>
      <c r="B30" s="18">
        <v>6.8808303368937214</v>
      </c>
      <c r="C30" s="19">
        <v>10.332347218186115</v>
      </c>
      <c r="AH30" s="47"/>
      <c r="AI30" s="47"/>
      <c r="AJ30" s="47"/>
      <c r="AK30" s="47">
        <v>7</v>
      </c>
      <c r="AL30" s="47">
        <v>73</v>
      </c>
      <c r="AM30" s="47">
        <v>0</v>
      </c>
      <c r="AN30" s="47"/>
      <c r="BC30" s="8"/>
      <c r="BD30" s="8"/>
      <c r="BE30" s="8"/>
      <c r="BF30" s="8"/>
      <c r="BG30" s="8"/>
      <c r="BH30" s="8"/>
      <c r="BI30" s="8"/>
      <c r="BJ30" s="8"/>
      <c r="BK30" s="8"/>
      <c r="BL30" s="8"/>
      <c r="BM30" s="8"/>
      <c r="BN30" s="8"/>
    </row>
    <row r="31" spans="1:66">
      <c r="A31" s="17">
        <v>29</v>
      </c>
      <c r="B31" s="18">
        <v>6.1583011418803482</v>
      </c>
      <c r="C31" s="19">
        <v>10.018006843838879</v>
      </c>
      <c r="AH31" s="47"/>
      <c r="AI31" s="47"/>
      <c r="AJ31" s="47"/>
      <c r="AK31" s="47">
        <v>7</v>
      </c>
      <c r="AL31" s="47">
        <v>65</v>
      </c>
      <c r="AM31" s="47">
        <v>0</v>
      </c>
      <c r="AN31" s="47"/>
      <c r="BC31" s="8"/>
      <c r="BD31" s="8"/>
      <c r="BE31" s="8"/>
      <c r="BF31" s="8"/>
      <c r="BG31" s="8"/>
      <c r="BH31" s="8"/>
      <c r="BI31" s="8"/>
      <c r="BJ31" s="8"/>
      <c r="BK31" s="8"/>
      <c r="BL31" s="8"/>
      <c r="BM31" s="8"/>
      <c r="BN31" s="8"/>
    </row>
    <row r="32" spans="1:66">
      <c r="A32" s="17">
        <v>30</v>
      </c>
      <c r="B32" s="18">
        <v>6.7589282890719593</v>
      </c>
      <c r="C32" s="19">
        <v>10.40134372613961</v>
      </c>
      <c r="AH32" s="47"/>
      <c r="AI32" s="47"/>
      <c r="AJ32" s="47"/>
      <c r="AK32" s="47">
        <v>7.1</v>
      </c>
      <c r="AL32" s="47">
        <v>65</v>
      </c>
      <c r="AM32" s="47">
        <v>0</v>
      </c>
      <c r="AN32" s="47"/>
      <c r="BC32" s="8"/>
      <c r="BD32" s="8"/>
      <c r="BE32" s="8"/>
      <c r="BF32" s="8"/>
      <c r="BG32" s="8"/>
      <c r="BH32" s="8"/>
      <c r="BI32" s="8"/>
      <c r="BJ32" s="8"/>
      <c r="BK32" s="8"/>
      <c r="BL32" s="8"/>
      <c r="BM32" s="8"/>
      <c r="BN32" s="8"/>
    </row>
    <row r="33" spans="1:66">
      <c r="A33" s="17">
        <v>31</v>
      </c>
      <c r="B33" s="18">
        <v>7.029474023592762</v>
      </c>
      <c r="C33" s="19">
        <v>9.1778021701930026</v>
      </c>
      <c r="AH33" s="47"/>
      <c r="AI33" s="47"/>
      <c r="AJ33" s="47"/>
      <c r="AK33" s="47">
        <v>7.1</v>
      </c>
      <c r="AL33" s="47">
        <v>51</v>
      </c>
      <c r="AM33" s="47">
        <v>0</v>
      </c>
      <c r="AN33" s="47"/>
      <c r="BC33" s="8"/>
      <c r="BD33" s="8"/>
      <c r="BE33" s="8"/>
      <c r="BF33" s="8"/>
      <c r="BG33" s="8"/>
      <c r="BH33" s="8"/>
      <c r="BI33" s="8"/>
      <c r="BJ33" s="8"/>
      <c r="BK33" s="8"/>
      <c r="BL33" s="8"/>
      <c r="BM33" s="8"/>
      <c r="BN33" s="8"/>
    </row>
    <row r="34" spans="1:66">
      <c r="A34" s="17">
        <v>32</v>
      </c>
      <c r="B34" s="18">
        <v>5.9485034589759023</v>
      </c>
      <c r="C34" s="19">
        <v>9.6667896220159886</v>
      </c>
      <c r="AH34" s="47"/>
      <c r="AI34" s="47"/>
      <c r="AJ34" s="47"/>
      <c r="AK34" s="47">
        <v>7.2</v>
      </c>
      <c r="AL34" s="47">
        <v>51</v>
      </c>
      <c r="AM34" s="47">
        <v>0</v>
      </c>
      <c r="AN34" s="47"/>
      <c r="BC34" s="8"/>
      <c r="BD34" s="8"/>
      <c r="BE34" s="8"/>
      <c r="BF34" s="8"/>
      <c r="BG34" s="8"/>
      <c r="BH34" s="8"/>
      <c r="BI34" s="8"/>
      <c r="BJ34" s="8"/>
      <c r="BK34" s="8"/>
      <c r="BL34" s="8"/>
      <c r="BM34" s="8"/>
      <c r="BN34" s="8"/>
    </row>
    <row r="35" spans="1:66">
      <c r="A35" s="17">
        <v>33</v>
      </c>
      <c r="B35" s="18">
        <v>7.1807950102580005</v>
      </c>
      <c r="C35" s="19">
        <v>10.734293263915417</v>
      </c>
      <c r="AH35" s="47"/>
      <c r="AI35" s="47"/>
      <c r="AJ35" s="47"/>
      <c r="AK35" s="47">
        <v>7.2</v>
      </c>
      <c r="AL35" s="47">
        <v>29</v>
      </c>
      <c r="AM35" s="47">
        <v>0</v>
      </c>
      <c r="AN35" s="47"/>
      <c r="BC35" s="8"/>
      <c r="BD35" s="8"/>
      <c r="BE35" s="8"/>
      <c r="BF35" s="8"/>
      <c r="BG35" s="8"/>
      <c r="BH35" s="8"/>
      <c r="BI35" s="8"/>
      <c r="BJ35" s="8"/>
      <c r="BK35" s="8"/>
      <c r="BL35" s="8"/>
      <c r="BM35" s="8"/>
      <c r="BN35" s="8"/>
    </row>
    <row r="36" spans="1:66">
      <c r="A36" s="17">
        <v>34</v>
      </c>
      <c r="B36" s="18">
        <v>6.4590500762949734</v>
      </c>
      <c r="C36" s="19">
        <v>8.9115961913638753</v>
      </c>
      <c r="AH36" s="47"/>
      <c r="AI36" s="47"/>
      <c r="AJ36" s="47"/>
      <c r="AK36" s="47">
        <v>7.3</v>
      </c>
      <c r="AL36" s="47">
        <v>29</v>
      </c>
      <c r="AM36" s="47">
        <v>0</v>
      </c>
      <c r="AN36" s="47"/>
      <c r="BC36" s="8"/>
      <c r="BD36" s="8"/>
      <c r="BE36" s="8"/>
      <c r="BF36" s="8"/>
      <c r="BG36" s="8"/>
      <c r="BH36" s="8"/>
      <c r="BI36" s="8"/>
      <c r="BJ36" s="8"/>
      <c r="BK36" s="8"/>
      <c r="BL36" s="8"/>
      <c r="BM36" s="8"/>
      <c r="BN36" s="8"/>
    </row>
    <row r="37" spans="1:66">
      <c r="A37" s="17">
        <v>35</v>
      </c>
      <c r="B37" s="18">
        <v>6.8048307850186571</v>
      </c>
      <c r="C37" s="19">
        <v>10.368537029315302</v>
      </c>
      <c r="AH37" s="47"/>
      <c r="AI37" s="47"/>
      <c r="AJ37" s="47"/>
      <c r="AK37" s="47">
        <v>7.3</v>
      </c>
      <c r="AL37" s="47">
        <v>25</v>
      </c>
      <c r="AM37" s="47">
        <v>0</v>
      </c>
      <c r="AN37" s="47"/>
      <c r="BC37" s="8"/>
      <c r="BD37" s="8"/>
      <c r="BE37" s="8"/>
      <c r="BF37" s="8"/>
      <c r="BG37" s="8"/>
      <c r="BH37" s="8"/>
      <c r="BI37" s="8"/>
      <c r="BJ37" s="8"/>
      <c r="BK37" s="8"/>
      <c r="BL37" s="8"/>
      <c r="BM37" s="8"/>
      <c r="BN37" s="8"/>
    </row>
    <row r="38" spans="1:66">
      <c r="A38" s="17">
        <v>36</v>
      </c>
      <c r="B38" s="18">
        <v>7.1738277777244415</v>
      </c>
      <c r="C38" s="19">
        <v>9.6702396396317383</v>
      </c>
      <c r="AH38" s="47"/>
      <c r="AI38" s="47"/>
      <c r="AJ38" s="47"/>
      <c r="AK38" s="47">
        <v>7.4</v>
      </c>
      <c r="AL38" s="47">
        <v>25</v>
      </c>
      <c r="AM38" s="47">
        <v>0</v>
      </c>
      <c r="AN38" s="47"/>
      <c r="BC38" s="8"/>
      <c r="BD38" s="8"/>
      <c r="BE38" s="8"/>
      <c r="BF38" s="8"/>
      <c r="BG38" s="8"/>
      <c r="BH38" s="8"/>
      <c r="BI38" s="8"/>
      <c r="BJ38" s="8"/>
      <c r="BK38" s="8"/>
      <c r="BL38" s="8"/>
      <c r="BM38" s="8"/>
      <c r="BN38" s="8"/>
    </row>
    <row r="39" spans="1:66">
      <c r="A39" s="17">
        <v>37</v>
      </c>
      <c r="B39" s="18">
        <v>6.5831732148139075</v>
      </c>
      <c r="C39" s="19">
        <v>9.9599376951074063</v>
      </c>
      <c r="AH39" s="47"/>
      <c r="AI39" s="47"/>
      <c r="AJ39" s="47"/>
      <c r="AK39" s="47">
        <v>7.4</v>
      </c>
      <c r="AL39" s="47">
        <v>8</v>
      </c>
      <c r="AM39" s="47">
        <v>0</v>
      </c>
      <c r="AN39" s="47"/>
      <c r="BC39" s="8"/>
      <c r="BD39" s="8"/>
      <c r="BE39" s="8"/>
      <c r="BF39" s="8"/>
      <c r="BG39" s="8"/>
      <c r="BH39" s="8"/>
      <c r="BI39" s="8"/>
      <c r="BJ39" s="8"/>
      <c r="BK39" s="8"/>
      <c r="BL39" s="8"/>
      <c r="BM39" s="8"/>
      <c r="BN39" s="8"/>
    </row>
    <row r="40" spans="1:66">
      <c r="A40" s="17">
        <v>38</v>
      </c>
      <c r="B40" s="18">
        <v>6.4346150207350705</v>
      </c>
      <c r="C40" s="19">
        <v>9.2829731858575606</v>
      </c>
      <c r="AH40" s="47"/>
      <c r="AI40" s="47"/>
      <c r="AJ40" s="47"/>
      <c r="AK40" s="47">
        <v>7.5</v>
      </c>
      <c r="AL40" s="47">
        <v>8</v>
      </c>
      <c r="AM40" s="47">
        <v>0</v>
      </c>
      <c r="AN40" s="47"/>
      <c r="BC40" s="8"/>
      <c r="BD40" s="8"/>
      <c r="BE40" s="8"/>
      <c r="BF40" s="8"/>
      <c r="BG40" s="8"/>
      <c r="BH40" s="8"/>
      <c r="BI40" s="8"/>
      <c r="BJ40" s="8"/>
      <c r="BK40" s="8"/>
      <c r="BL40" s="8"/>
      <c r="BM40" s="8"/>
      <c r="BN40" s="8"/>
    </row>
    <row r="41" spans="1:66">
      <c r="A41" s="17">
        <v>39</v>
      </c>
      <c r="B41" s="18">
        <v>6.2614557803178812</v>
      </c>
      <c r="C41" s="19">
        <v>10.253100277411036</v>
      </c>
      <c r="AH41" s="47"/>
      <c r="AI41" s="47"/>
      <c r="AJ41" s="47"/>
      <c r="AK41" s="47">
        <v>7.5</v>
      </c>
      <c r="AL41" s="47">
        <v>8</v>
      </c>
      <c r="AM41" s="47">
        <v>0</v>
      </c>
      <c r="AN41" s="47"/>
      <c r="BC41" s="8"/>
      <c r="BD41" s="8"/>
      <c r="BE41" s="8"/>
      <c r="BF41" s="8"/>
      <c r="BG41" s="8"/>
      <c r="BH41" s="8"/>
      <c r="BI41" s="8"/>
      <c r="BJ41" s="8"/>
      <c r="BK41" s="8"/>
      <c r="BL41" s="8"/>
      <c r="BM41" s="8"/>
      <c r="BN41" s="8"/>
    </row>
    <row r="42" spans="1:66">
      <c r="A42" s="17">
        <v>40</v>
      </c>
      <c r="B42" s="18">
        <v>6.8560069995139372</v>
      </c>
      <c r="C42" s="19">
        <v>10.092113548535057</v>
      </c>
      <c r="AH42" s="47"/>
      <c r="AI42" s="47"/>
      <c r="AJ42" s="47"/>
      <c r="AK42" s="47">
        <v>7.6</v>
      </c>
      <c r="AL42" s="47">
        <v>8</v>
      </c>
      <c r="AM42" s="47">
        <v>0</v>
      </c>
      <c r="AN42" s="47"/>
      <c r="BC42" s="8"/>
      <c r="BD42" s="8"/>
      <c r="BE42" s="8"/>
      <c r="BF42" s="8"/>
      <c r="BG42" s="8"/>
      <c r="BH42" s="8"/>
      <c r="BI42" s="8"/>
      <c r="BJ42" s="8"/>
      <c r="BK42" s="8"/>
      <c r="BL42" s="8"/>
      <c r="BM42" s="8"/>
      <c r="BN42" s="8"/>
    </row>
    <row r="43" spans="1:66">
      <c r="A43" s="17">
        <v>41</v>
      </c>
      <c r="B43" s="18">
        <v>7.1700371918650987</v>
      </c>
      <c r="C43" s="19">
        <v>11.462927989973887</v>
      </c>
      <c r="AH43" s="47"/>
      <c r="AI43" s="47"/>
      <c r="AJ43" s="47"/>
      <c r="AK43" s="47">
        <v>7.6</v>
      </c>
      <c r="AL43" s="47">
        <v>1</v>
      </c>
      <c r="AM43" s="47">
        <v>0</v>
      </c>
      <c r="AN43" s="47"/>
      <c r="BC43" s="8"/>
      <c r="BD43" s="8"/>
      <c r="BE43" s="8"/>
      <c r="BF43" s="8"/>
      <c r="BG43" s="8"/>
      <c r="BH43" s="8"/>
      <c r="BI43" s="8"/>
      <c r="BJ43" s="8"/>
      <c r="BK43" s="8"/>
      <c r="BL43" s="8"/>
      <c r="BM43" s="8"/>
      <c r="BN43" s="8"/>
    </row>
    <row r="44" spans="1:66">
      <c r="A44" s="17">
        <v>42</v>
      </c>
      <c r="B44" s="18">
        <v>6.8750243430313471</v>
      </c>
      <c r="C44" s="19">
        <v>9.7304050685146883</v>
      </c>
      <c r="AH44" s="47"/>
      <c r="AI44" s="47"/>
      <c r="AJ44" s="47"/>
      <c r="AK44" s="47">
        <v>7.7</v>
      </c>
      <c r="AL44" s="47">
        <v>1</v>
      </c>
      <c r="AM44" s="47">
        <v>0</v>
      </c>
      <c r="AN44" s="47"/>
      <c r="BC44" s="8"/>
      <c r="BD44" s="8"/>
      <c r="BE44" s="8"/>
      <c r="BF44" s="8"/>
      <c r="BG44" s="8"/>
      <c r="BH44" s="8"/>
      <c r="BI44" s="8"/>
      <c r="BJ44" s="8"/>
      <c r="BK44" s="8"/>
      <c r="BL44" s="8"/>
      <c r="BM44" s="8"/>
      <c r="BN44" s="8"/>
    </row>
    <row r="45" spans="1:66">
      <c r="A45" s="17">
        <v>43</v>
      </c>
      <c r="B45" s="18">
        <v>6.5629657856122732</v>
      </c>
      <c r="C45" s="19">
        <v>8.784705503481069</v>
      </c>
      <c r="AH45" s="47"/>
      <c r="AI45" s="47"/>
      <c r="AJ45" s="47"/>
      <c r="AK45" s="47">
        <v>7.7</v>
      </c>
      <c r="AL45" s="47">
        <v>1</v>
      </c>
      <c r="AM45" s="47">
        <v>0</v>
      </c>
      <c r="AN45" s="47"/>
      <c r="BC45" s="8"/>
      <c r="BD45" s="8"/>
      <c r="BE45" s="8"/>
      <c r="BF45" s="8"/>
      <c r="BG45" s="8"/>
      <c r="BH45" s="8"/>
      <c r="BI45" s="8"/>
      <c r="BJ45" s="8"/>
      <c r="BK45" s="8"/>
      <c r="BL45" s="8"/>
      <c r="BM45" s="8"/>
      <c r="BN45" s="8"/>
    </row>
    <row r="46" spans="1:66">
      <c r="A46" s="17">
        <v>44</v>
      </c>
      <c r="B46" s="18">
        <v>6.4864610639425679</v>
      </c>
      <c r="C46" s="19">
        <v>10.040943016964167</v>
      </c>
      <c r="AH46" s="47"/>
      <c r="AI46" s="47"/>
      <c r="AJ46" s="47"/>
      <c r="AK46" s="47">
        <v>7.8</v>
      </c>
      <c r="AL46" s="47">
        <v>1</v>
      </c>
      <c r="AM46" s="47">
        <v>0</v>
      </c>
      <c r="AN46" s="47"/>
      <c r="BC46" s="8"/>
      <c r="BD46" s="8"/>
      <c r="BE46" s="8"/>
      <c r="BF46" s="8"/>
      <c r="BG46" s="8"/>
      <c r="BH46" s="8"/>
      <c r="BI46" s="8"/>
      <c r="BJ46" s="8"/>
      <c r="BK46" s="8"/>
      <c r="BL46" s="8"/>
      <c r="BM46" s="8"/>
      <c r="BN46" s="8"/>
    </row>
    <row r="47" spans="1:66">
      <c r="A47" s="17">
        <v>45</v>
      </c>
      <c r="B47" s="18">
        <v>6.5580594394290532</v>
      </c>
      <c r="C47" s="19">
        <v>9.431495863995254</v>
      </c>
      <c r="AH47" s="47"/>
      <c r="AI47" s="47"/>
      <c r="AJ47" s="47"/>
      <c r="AK47" s="47">
        <v>7.8</v>
      </c>
      <c r="AL47" s="47">
        <v>3</v>
      </c>
      <c r="AM47" s="47">
        <v>0</v>
      </c>
      <c r="AN47" s="47"/>
      <c r="BC47" s="8"/>
      <c r="BD47" s="8"/>
      <c r="BE47" s="8"/>
      <c r="BF47" s="8"/>
      <c r="BG47" s="8"/>
      <c r="BH47" s="8"/>
      <c r="BI47" s="8"/>
      <c r="BJ47" s="8"/>
      <c r="BK47" s="8"/>
      <c r="BL47" s="8"/>
      <c r="BM47" s="8"/>
      <c r="BN47" s="8"/>
    </row>
    <row r="48" spans="1:66">
      <c r="A48" s="17">
        <v>46</v>
      </c>
      <c r="B48" s="18">
        <v>6.7425209313834724</v>
      </c>
      <c r="C48" s="19">
        <v>10.152010565868679</v>
      </c>
      <c r="AH48" s="47"/>
      <c r="AI48" s="47"/>
      <c r="AJ48" s="47"/>
      <c r="AK48" s="47">
        <v>7.9</v>
      </c>
      <c r="AL48" s="47">
        <v>3</v>
      </c>
      <c r="AM48" s="47">
        <v>0</v>
      </c>
      <c r="AN48" s="47"/>
      <c r="BC48" s="8"/>
      <c r="BD48" s="8"/>
      <c r="BE48" s="8"/>
      <c r="BF48" s="8"/>
      <c r="BG48" s="8"/>
      <c r="BH48" s="8"/>
      <c r="BI48" s="8"/>
      <c r="BJ48" s="8"/>
      <c r="BK48" s="8"/>
      <c r="BL48" s="8"/>
      <c r="BM48" s="8"/>
      <c r="BN48" s="8"/>
    </row>
    <row r="49" spans="1:66">
      <c r="A49" s="17">
        <v>47</v>
      </c>
      <c r="B49" s="18">
        <v>6.0125233873468833</v>
      </c>
      <c r="C49" s="19">
        <v>9.1838057337948094</v>
      </c>
      <c r="AH49" s="47"/>
      <c r="AI49" s="47"/>
      <c r="AJ49" s="47"/>
      <c r="AK49" s="47">
        <v>7.9</v>
      </c>
      <c r="AL49" s="47">
        <v>0</v>
      </c>
      <c r="AM49" s="47">
        <v>1</v>
      </c>
      <c r="AN49" s="47"/>
      <c r="BC49" s="8"/>
      <c r="BD49" s="8"/>
      <c r="BE49" s="8"/>
      <c r="BF49" s="8"/>
      <c r="BG49" s="8"/>
      <c r="BH49" s="8"/>
      <c r="BI49" s="8"/>
      <c r="BJ49" s="8"/>
      <c r="BK49" s="8"/>
      <c r="BL49" s="8"/>
      <c r="BM49" s="8"/>
      <c r="BN49" s="8"/>
    </row>
    <row r="50" spans="1:66">
      <c r="A50" s="17">
        <v>48</v>
      </c>
      <c r="B50" s="18">
        <v>7.4519590309075401</v>
      </c>
      <c r="C50" s="19">
        <v>10.942012754070969</v>
      </c>
      <c r="AH50" s="47"/>
      <c r="AI50" s="47"/>
      <c r="AJ50" s="47"/>
      <c r="AK50" s="47">
        <v>8</v>
      </c>
      <c r="AL50" s="47">
        <v>0</v>
      </c>
      <c r="AM50" s="47">
        <v>1</v>
      </c>
      <c r="AN50" s="47"/>
      <c r="BC50" s="8"/>
      <c r="BD50" s="8"/>
      <c r="BE50" s="8"/>
      <c r="BF50" s="8"/>
      <c r="BG50" s="8"/>
      <c r="BH50" s="8"/>
      <c r="BI50" s="8"/>
      <c r="BJ50" s="8"/>
      <c r="BK50" s="8"/>
      <c r="BL50" s="8"/>
      <c r="BM50" s="8"/>
      <c r="BN50" s="8"/>
    </row>
    <row r="51" spans="1:66">
      <c r="A51" s="17">
        <v>49</v>
      </c>
      <c r="B51" s="18">
        <v>7.1291191412672168</v>
      </c>
      <c r="C51" s="19">
        <v>10.35013619430975</v>
      </c>
      <c r="AH51" s="47"/>
      <c r="AI51" s="47"/>
      <c r="AJ51" s="47"/>
      <c r="AK51" s="47">
        <v>8</v>
      </c>
      <c r="AL51" s="47">
        <v>1</v>
      </c>
      <c r="AM51" s="47">
        <v>0</v>
      </c>
      <c r="AN51" s="47"/>
      <c r="BC51" s="8"/>
      <c r="BD51" s="8"/>
      <c r="BE51" s="8"/>
      <c r="BF51" s="8"/>
      <c r="BG51" s="8"/>
      <c r="BH51" s="8"/>
      <c r="BI51" s="8"/>
      <c r="BJ51" s="8"/>
      <c r="BK51" s="8"/>
      <c r="BL51" s="8"/>
      <c r="BM51" s="8"/>
      <c r="BN51" s="8"/>
    </row>
    <row r="52" spans="1:66">
      <c r="A52" s="17">
        <v>50</v>
      </c>
      <c r="B52" s="18">
        <v>7.2057143805292529</v>
      </c>
      <c r="C52" s="19">
        <v>11.617948077297646</v>
      </c>
      <c r="AH52" s="47"/>
      <c r="AI52" s="47"/>
      <c r="AJ52" s="47"/>
      <c r="AK52" s="47">
        <v>8.1</v>
      </c>
      <c r="AL52" s="47">
        <v>1</v>
      </c>
      <c r="AM52" s="47">
        <v>0</v>
      </c>
      <c r="AN52" s="47"/>
      <c r="BC52" s="8"/>
      <c r="BD52" s="8"/>
      <c r="BE52" s="8"/>
      <c r="BF52" s="8"/>
      <c r="BG52" s="8"/>
      <c r="BH52" s="8"/>
      <c r="BI52" s="8"/>
      <c r="BJ52" s="8"/>
      <c r="BK52" s="8"/>
      <c r="BL52" s="8"/>
      <c r="BM52" s="8"/>
      <c r="BN52" s="8"/>
    </row>
    <row r="53" spans="1:66">
      <c r="A53" s="17">
        <v>51</v>
      </c>
      <c r="B53" s="18">
        <v>6.8681866300751384</v>
      </c>
      <c r="C53" s="19">
        <v>11.296260124885888</v>
      </c>
      <c r="AH53" s="47"/>
      <c r="AI53" s="47"/>
      <c r="AJ53" s="47"/>
      <c r="AK53" s="47">
        <v>8.1</v>
      </c>
      <c r="AL53" s="47">
        <v>0</v>
      </c>
      <c r="AM53" s="47">
        <v>0</v>
      </c>
      <c r="AN53" s="47"/>
      <c r="BC53" s="8"/>
      <c r="BD53" s="8"/>
      <c r="BE53" s="8"/>
      <c r="BF53" s="8"/>
      <c r="BG53" s="8"/>
      <c r="BH53" s="8"/>
      <c r="BI53" s="8"/>
      <c r="BJ53" s="8"/>
      <c r="BK53" s="8"/>
      <c r="BL53" s="8"/>
      <c r="BM53" s="8"/>
      <c r="BN53" s="8"/>
    </row>
    <row r="54" spans="1:66">
      <c r="A54" s="17">
        <v>52</v>
      </c>
      <c r="B54" s="18">
        <v>6.3292534705497188</v>
      </c>
      <c r="C54" s="19">
        <v>9.316176212816222</v>
      </c>
      <c r="AH54" s="47"/>
      <c r="AI54" s="47"/>
      <c r="AJ54" s="47"/>
      <c r="AK54" s="47">
        <v>8.1999999999999993</v>
      </c>
      <c r="AL54" s="47"/>
      <c r="AM54" s="47">
        <v>0</v>
      </c>
      <c r="AN54" s="47"/>
      <c r="BC54" s="8"/>
      <c r="BD54" s="8"/>
      <c r="BE54" s="8"/>
      <c r="BF54" s="8"/>
      <c r="BG54" s="8"/>
      <c r="BH54" s="8"/>
      <c r="BI54" s="8"/>
      <c r="BJ54" s="8"/>
      <c r="BK54" s="8"/>
      <c r="BL54" s="8"/>
      <c r="BM54" s="8"/>
      <c r="BN54" s="8"/>
    </row>
    <row r="55" spans="1:66">
      <c r="A55" s="17">
        <v>53</v>
      </c>
      <c r="B55" s="18">
        <v>6.8956432666327743</v>
      </c>
      <c r="C55" s="19">
        <v>10.547579495217718</v>
      </c>
      <c r="AH55" s="47"/>
      <c r="AI55" s="47"/>
      <c r="AJ55" s="47"/>
      <c r="AK55" s="47">
        <v>8.1999999999999993</v>
      </c>
      <c r="AL55" s="47"/>
      <c r="AM55" s="47">
        <v>0</v>
      </c>
      <c r="AN55" s="47"/>
      <c r="BC55" s="8"/>
      <c r="BD55" s="8"/>
      <c r="BE55" s="8"/>
      <c r="BF55" s="8"/>
      <c r="BG55" s="8"/>
      <c r="BH55" s="8"/>
      <c r="BI55" s="8"/>
      <c r="BJ55" s="8"/>
      <c r="BK55" s="8"/>
      <c r="BL55" s="8"/>
      <c r="BM55" s="8"/>
      <c r="BN55" s="8"/>
    </row>
    <row r="56" spans="1:66">
      <c r="A56" s="17">
        <v>54</v>
      </c>
      <c r="B56" s="18">
        <v>7.3154604661202747</v>
      </c>
      <c r="C56" s="19">
        <v>11.973599707326072</v>
      </c>
      <c r="AH56" s="47"/>
      <c r="AI56" s="47"/>
      <c r="AJ56" s="47"/>
      <c r="AK56" s="47">
        <v>8.3000000000000007</v>
      </c>
      <c r="AL56" s="47"/>
      <c r="AM56" s="47">
        <v>0</v>
      </c>
      <c r="AN56" s="47"/>
      <c r="BC56" s="8"/>
      <c r="BD56" s="8"/>
      <c r="BE56" s="8"/>
      <c r="BF56" s="8"/>
      <c r="BG56" s="8"/>
      <c r="BH56" s="8"/>
      <c r="BI56" s="8"/>
      <c r="BJ56" s="8"/>
      <c r="BK56" s="8"/>
      <c r="BL56" s="8"/>
      <c r="BM56" s="8"/>
      <c r="BN56" s="8"/>
    </row>
    <row r="57" spans="1:66">
      <c r="A57" s="17">
        <v>55</v>
      </c>
      <c r="B57" s="18">
        <v>6.6801245353360947</v>
      </c>
      <c r="C57" s="19">
        <v>9.4755603825802588</v>
      </c>
      <c r="AH57" s="47"/>
      <c r="AI57" s="47"/>
      <c r="AJ57" s="47"/>
      <c r="AK57" s="47">
        <v>8.3000000000000007</v>
      </c>
      <c r="AL57" s="47"/>
      <c r="AM57" s="47">
        <v>0</v>
      </c>
      <c r="AN57" s="47"/>
      <c r="BC57" s="8"/>
      <c r="BD57" s="8"/>
      <c r="BE57" s="8"/>
      <c r="BF57" s="8"/>
      <c r="BG57" s="8"/>
      <c r="BH57" s="8"/>
      <c r="BI57" s="8"/>
      <c r="BJ57" s="8"/>
      <c r="BK57" s="8"/>
      <c r="BL57" s="8"/>
      <c r="BM57" s="8"/>
      <c r="BN57" s="8"/>
    </row>
    <row r="58" spans="1:66">
      <c r="A58" s="17">
        <v>56</v>
      </c>
      <c r="B58" s="18">
        <v>6.8267685428858629</v>
      </c>
      <c r="C58" s="19">
        <v>10.717340849243964</v>
      </c>
      <c r="AH58" s="47"/>
      <c r="AI58" s="47"/>
      <c r="AJ58" s="47"/>
      <c r="AK58" s="47">
        <v>8.4</v>
      </c>
      <c r="AL58" s="47"/>
      <c r="AM58" s="47">
        <v>0</v>
      </c>
      <c r="AN58" s="47"/>
      <c r="BC58" s="8"/>
      <c r="BD58" s="8"/>
      <c r="BE58" s="8"/>
      <c r="BF58" s="8"/>
      <c r="BG58" s="8"/>
      <c r="BH58" s="8"/>
      <c r="BI58" s="8"/>
      <c r="BJ58" s="8"/>
      <c r="BK58" s="8"/>
      <c r="BL58" s="8"/>
      <c r="BM58" s="8"/>
      <c r="BN58" s="8"/>
    </row>
    <row r="59" spans="1:66">
      <c r="A59" s="17">
        <v>57</v>
      </c>
      <c r="B59" s="18">
        <v>6.1390837724504284</v>
      </c>
      <c r="C59" s="19">
        <v>10.34032228888713</v>
      </c>
      <c r="AH59" s="47"/>
      <c r="AI59" s="47"/>
      <c r="AJ59" s="47"/>
      <c r="AK59" s="47">
        <v>8.4</v>
      </c>
      <c r="AL59" s="47"/>
      <c r="AM59" s="47">
        <v>5</v>
      </c>
      <c r="AN59" s="47"/>
      <c r="BC59" s="8"/>
      <c r="BD59" s="8"/>
      <c r="BE59" s="8"/>
      <c r="BF59" s="8"/>
      <c r="BG59" s="8"/>
      <c r="BH59" s="8"/>
      <c r="BI59" s="8"/>
      <c r="BJ59" s="8"/>
      <c r="BK59" s="8"/>
      <c r="BL59" s="8"/>
      <c r="BM59" s="8"/>
      <c r="BN59" s="8"/>
    </row>
    <row r="60" spans="1:66">
      <c r="A60" s="17">
        <v>58</v>
      </c>
      <c r="B60" s="18">
        <v>7.0406999080408497</v>
      </c>
      <c r="C60" s="19">
        <v>10.190801657689292</v>
      </c>
      <c r="AH60" s="47"/>
      <c r="AI60" s="47"/>
      <c r="AJ60" s="47"/>
      <c r="AK60" s="47">
        <v>8.5</v>
      </c>
      <c r="AL60" s="47"/>
      <c r="AM60" s="47">
        <v>5</v>
      </c>
      <c r="AN60" s="47"/>
      <c r="BC60" s="8"/>
      <c r="BD60" s="8"/>
      <c r="BE60" s="8"/>
      <c r="BF60" s="8"/>
      <c r="BG60" s="8"/>
      <c r="BH60" s="8"/>
      <c r="BI60" s="8"/>
      <c r="BJ60" s="8"/>
      <c r="BK60" s="8"/>
      <c r="BL60" s="8"/>
      <c r="BM60" s="8"/>
      <c r="BN60" s="8"/>
    </row>
    <row r="61" spans="1:66">
      <c r="A61" s="17">
        <v>59</v>
      </c>
      <c r="B61" s="18">
        <v>6.3922456853214289</v>
      </c>
      <c r="C61" s="19">
        <v>10.747915073705508</v>
      </c>
      <c r="AH61" s="47"/>
      <c r="AI61" s="47"/>
      <c r="AJ61" s="47"/>
      <c r="AK61" s="47">
        <v>8.5</v>
      </c>
      <c r="AL61" s="47"/>
      <c r="AM61" s="47">
        <v>3</v>
      </c>
      <c r="AN61" s="47"/>
      <c r="BC61" s="8"/>
      <c r="BD61" s="8"/>
      <c r="BE61" s="8"/>
      <c r="BF61" s="8"/>
      <c r="BG61" s="8"/>
      <c r="BH61" s="8"/>
      <c r="BI61" s="8"/>
      <c r="BJ61" s="8"/>
      <c r="BK61" s="8"/>
      <c r="BL61" s="8"/>
      <c r="BM61" s="8"/>
      <c r="BN61" s="8"/>
    </row>
    <row r="62" spans="1:66">
      <c r="A62" s="17">
        <v>60</v>
      </c>
      <c r="B62" s="18">
        <v>6.5171556277275284</v>
      </c>
      <c r="C62" s="19">
        <v>9.2278551456916666</v>
      </c>
      <c r="AH62" s="47"/>
      <c r="AI62" s="47"/>
      <c r="AJ62" s="47"/>
      <c r="AK62" s="47">
        <v>8.6</v>
      </c>
      <c r="AL62" s="47"/>
      <c r="AM62" s="47">
        <v>3</v>
      </c>
      <c r="AN62" s="47"/>
      <c r="BC62" s="8"/>
      <c r="BD62" s="8"/>
      <c r="BE62" s="8"/>
      <c r="BF62" s="8"/>
      <c r="BG62" s="8"/>
      <c r="BH62" s="8"/>
      <c r="BI62" s="8"/>
      <c r="BJ62" s="8"/>
      <c r="BK62" s="8"/>
      <c r="BL62" s="8"/>
      <c r="BM62" s="8"/>
      <c r="BN62" s="8"/>
    </row>
    <row r="63" spans="1:66">
      <c r="A63" s="17">
        <v>61</v>
      </c>
      <c r="B63" s="18">
        <v>7.1242284792884778</v>
      </c>
      <c r="C63" s="19">
        <v>10.171485989655086</v>
      </c>
      <c r="AH63" s="47"/>
      <c r="AI63" s="47"/>
      <c r="AJ63" s="47"/>
      <c r="AK63" s="47">
        <v>8.6</v>
      </c>
      <c r="AL63" s="47"/>
      <c r="AM63" s="47">
        <v>9</v>
      </c>
      <c r="AN63" s="47"/>
      <c r="BC63" s="8"/>
      <c r="BD63" s="8"/>
      <c r="BE63" s="8"/>
      <c r="BF63" s="8"/>
      <c r="BG63" s="8"/>
      <c r="BH63" s="8"/>
      <c r="BI63" s="8"/>
      <c r="BJ63" s="8"/>
      <c r="BK63" s="8"/>
      <c r="BL63" s="8"/>
      <c r="BM63" s="8"/>
      <c r="BN63" s="8"/>
    </row>
    <row r="64" spans="1:66">
      <c r="A64" s="17">
        <v>62</v>
      </c>
      <c r="B64" s="18">
        <v>6.7764997158296092</v>
      </c>
      <c r="C64" s="19">
        <v>10.449317025641612</v>
      </c>
      <c r="AH64" s="47"/>
      <c r="AI64" s="47"/>
      <c r="AJ64" s="47"/>
      <c r="AK64" s="47">
        <v>8.6999999999999993</v>
      </c>
      <c r="AL64" s="47"/>
      <c r="AM64" s="47">
        <v>9</v>
      </c>
      <c r="AN64" s="47"/>
      <c r="BC64" s="8"/>
      <c r="BD64" s="8"/>
      <c r="BE64" s="8"/>
      <c r="BF64" s="8"/>
      <c r="BG64" s="8"/>
      <c r="BH64" s="8"/>
      <c r="BI64" s="8"/>
      <c r="BJ64" s="8"/>
      <c r="BK64" s="8"/>
      <c r="BL64" s="8"/>
      <c r="BM64" s="8"/>
      <c r="BN64" s="8"/>
    </row>
    <row r="65" spans="1:66">
      <c r="A65" s="17">
        <v>63</v>
      </c>
      <c r="B65" s="18">
        <v>6.7755290514784239</v>
      </c>
      <c r="C65" s="19">
        <v>10.714702611962331</v>
      </c>
      <c r="AH65" s="47"/>
      <c r="AI65" s="47"/>
      <c r="AJ65" s="47"/>
      <c r="AK65" s="47">
        <v>8.6999999999999993</v>
      </c>
      <c r="AL65" s="47"/>
      <c r="AM65" s="47">
        <v>7</v>
      </c>
      <c r="AN65" s="47"/>
      <c r="BC65" s="8"/>
      <c r="BD65" s="8"/>
      <c r="BE65" s="8"/>
      <c r="BF65" s="8"/>
      <c r="BG65" s="8"/>
      <c r="BH65" s="8"/>
      <c r="BI65" s="8"/>
      <c r="BJ65" s="8"/>
      <c r="BK65" s="8"/>
      <c r="BL65" s="8"/>
      <c r="BM65" s="8"/>
      <c r="BN65" s="8"/>
    </row>
    <row r="66" spans="1:66">
      <c r="A66" s="17">
        <v>64</v>
      </c>
      <c r="B66" s="18">
        <v>6.8898433193033455</v>
      </c>
      <c r="C66" s="19">
        <v>10.097621952542458</v>
      </c>
      <c r="AH66" s="47"/>
      <c r="AI66" s="47"/>
      <c r="AJ66" s="47"/>
      <c r="AK66" s="47">
        <v>8.8000000000000007</v>
      </c>
      <c r="AL66" s="47"/>
      <c r="AM66" s="47">
        <v>7</v>
      </c>
      <c r="AN66" s="47"/>
      <c r="BC66" s="8"/>
      <c r="BD66" s="8"/>
      <c r="BE66" s="8"/>
      <c r="BF66" s="8"/>
      <c r="BG66" s="8"/>
      <c r="BH66" s="8"/>
      <c r="BI66" s="8"/>
      <c r="BJ66" s="8"/>
      <c r="BK66" s="8"/>
      <c r="BL66" s="8"/>
      <c r="BM66" s="8"/>
      <c r="BN66" s="8"/>
    </row>
    <row r="67" spans="1:66">
      <c r="A67" s="17">
        <v>65</v>
      </c>
      <c r="B67" s="18">
        <v>7.0377424976618821</v>
      </c>
      <c r="C67" s="19">
        <v>11.481651671641677</v>
      </c>
      <c r="AH67" s="47"/>
      <c r="AI67" s="47"/>
      <c r="AJ67" s="47"/>
      <c r="AK67" s="47">
        <v>8.8000000000000007</v>
      </c>
      <c r="AL67" s="47"/>
      <c r="AM67" s="47">
        <v>15</v>
      </c>
      <c r="AN67" s="47"/>
      <c r="BC67" s="8"/>
      <c r="BD67" s="8"/>
      <c r="BE67" s="8"/>
      <c r="BF67" s="8"/>
      <c r="BG67" s="8"/>
      <c r="BH67" s="8"/>
      <c r="BI67" s="8"/>
      <c r="BJ67" s="8"/>
      <c r="BK67" s="8"/>
      <c r="BL67" s="8"/>
      <c r="BM67" s="8"/>
      <c r="BN67" s="8"/>
    </row>
    <row r="68" spans="1:66">
      <c r="A68" s="17">
        <v>66</v>
      </c>
      <c r="B68" s="18">
        <v>6.7533374948446143</v>
      </c>
      <c r="C68" s="19">
        <v>9.8660972198208921</v>
      </c>
      <c r="AK68" s="8">
        <v>8.9</v>
      </c>
      <c r="AM68" s="8">
        <v>15</v>
      </c>
      <c r="BC68" s="8"/>
      <c r="BD68" s="8"/>
      <c r="BE68" s="8"/>
      <c r="BF68" s="8"/>
      <c r="BG68" s="8"/>
      <c r="BH68" s="8"/>
      <c r="BI68" s="8"/>
      <c r="BJ68" s="8"/>
      <c r="BK68" s="8"/>
      <c r="BL68" s="8"/>
      <c r="BM68" s="8"/>
      <c r="BN68" s="8"/>
    </row>
    <row r="69" spans="1:66">
      <c r="A69" s="17">
        <v>67</v>
      </c>
      <c r="B69" s="18">
        <v>6.2873211980119352</v>
      </c>
      <c r="C69" s="19">
        <v>9.2551172171688467</v>
      </c>
      <c r="AK69" s="8">
        <v>8.9</v>
      </c>
      <c r="AM69" s="8">
        <v>24</v>
      </c>
      <c r="BC69" s="8"/>
      <c r="BD69" s="8"/>
      <c r="BE69" s="8"/>
      <c r="BF69" s="8"/>
      <c r="BG69" s="8"/>
      <c r="BH69" s="8"/>
      <c r="BI69" s="8"/>
      <c r="BJ69" s="8"/>
      <c r="BK69" s="8"/>
      <c r="BL69" s="8"/>
      <c r="BM69" s="8"/>
      <c r="BN69" s="8"/>
    </row>
    <row r="70" spans="1:66">
      <c r="A70" s="17">
        <v>68</v>
      </c>
      <c r="B70" s="18">
        <v>6.531091497832004</v>
      </c>
      <c r="C70" s="19">
        <v>9.3672377568030374</v>
      </c>
      <c r="AK70" s="8">
        <v>9</v>
      </c>
      <c r="AM70" s="8">
        <v>24</v>
      </c>
      <c r="BC70" s="8"/>
      <c r="BD70" s="8"/>
      <c r="BE70" s="8"/>
      <c r="BF70" s="8"/>
      <c r="BG70" s="8"/>
      <c r="BH70" s="8"/>
      <c r="BI70" s="8"/>
      <c r="BJ70" s="8"/>
      <c r="BK70" s="8"/>
      <c r="BL70" s="8"/>
      <c r="BM70" s="8"/>
      <c r="BN70" s="8"/>
    </row>
    <row r="71" spans="1:66">
      <c r="A71" s="17">
        <v>69</v>
      </c>
      <c r="B71" s="18">
        <v>6.3163168455081085</v>
      </c>
      <c r="C71" s="19">
        <v>9.1387218404874861</v>
      </c>
      <c r="AK71" s="8">
        <v>9</v>
      </c>
      <c r="AM71" s="8">
        <v>23</v>
      </c>
      <c r="BC71" s="8"/>
      <c r="BD71" s="8"/>
      <c r="BE71" s="8"/>
      <c r="BF71" s="8"/>
      <c r="BG71" s="8"/>
      <c r="BH71" s="8"/>
      <c r="BI71" s="8"/>
      <c r="BJ71" s="8"/>
      <c r="BK71" s="8"/>
      <c r="BL71" s="8"/>
      <c r="BM71" s="8"/>
      <c r="BN71" s="8"/>
    </row>
    <row r="72" spans="1:66">
      <c r="A72" s="17">
        <v>70</v>
      </c>
      <c r="B72" s="18">
        <v>6.3023909205852222</v>
      </c>
      <c r="C72" s="19">
        <v>9.0917350752088755</v>
      </c>
      <c r="AK72" s="8">
        <v>9.1</v>
      </c>
      <c r="AM72" s="8">
        <v>23</v>
      </c>
      <c r="BC72" s="8"/>
      <c r="BD72" s="8"/>
      <c r="BE72" s="8"/>
      <c r="BF72" s="8"/>
      <c r="BG72" s="8"/>
      <c r="BH72" s="8"/>
      <c r="BI72" s="8"/>
      <c r="BJ72" s="8"/>
      <c r="BK72" s="8"/>
      <c r="BL72" s="8"/>
      <c r="BM72" s="8"/>
      <c r="BN72" s="8"/>
    </row>
    <row r="73" spans="1:66">
      <c r="A73" s="17">
        <v>71</v>
      </c>
      <c r="B73" s="18">
        <v>6.9949781114462191</v>
      </c>
      <c r="C73" s="19">
        <v>10.1229762748679</v>
      </c>
      <c r="AK73" s="8">
        <v>9.1</v>
      </c>
      <c r="AM73" s="8">
        <v>26</v>
      </c>
      <c r="BC73" s="8"/>
      <c r="BD73" s="8"/>
      <c r="BE73" s="8"/>
      <c r="BF73" s="8"/>
      <c r="BG73" s="8"/>
      <c r="BH73" s="8"/>
      <c r="BI73" s="8"/>
      <c r="BJ73" s="8"/>
      <c r="BK73" s="8"/>
      <c r="BL73" s="8"/>
      <c r="BM73" s="8"/>
      <c r="BN73" s="8"/>
    </row>
    <row r="74" spans="1:66">
      <c r="A74" s="17">
        <v>72</v>
      </c>
      <c r="B74" s="18">
        <v>6.3585964312296488</v>
      </c>
      <c r="C74" s="19">
        <v>10.98620503422211</v>
      </c>
      <c r="AK74" s="8">
        <v>9.1999999999999993</v>
      </c>
      <c r="AM74" s="8">
        <v>26</v>
      </c>
      <c r="BC74" s="8"/>
      <c r="BD74" s="8"/>
      <c r="BE74" s="8"/>
      <c r="BF74" s="8"/>
      <c r="BG74" s="8"/>
      <c r="BH74" s="8"/>
      <c r="BI74" s="8"/>
      <c r="BJ74" s="8"/>
      <c r="BK74" s="8"/>
      <c r="BL74" s="8"/>
      <c r="BM74" s="8"/>
      <c r="BN74" s="8"/>
    </row>
    <row r="75" spans="1:66">
      <c r="A75" s="17">
        <v>73</v>
      </c>
      <c r="B75" s="18">
        <v>7.7189598274982103</v>
      </c>
      <c r="C75" s="19">
        <v>11.243026572329999</v>
      </c>
      <c r="AK75" s="8">
        <v>9.1999999999999993</v>
      </c>
      <c r="AM75" s="8">
        <v>39</v>
      </c>
      <c r="BC75" s="8"/>
      <c r="BD75" s="8"/>
      <c r="BE75" s="8"/>
      <c r="BF75" s="8"/>
      <c r="BG75" s="8"/>
      <c r="BH75" s="8"/>
      <c r="BI75" s="8"/>
      <c r="BJ75" s="8"/>
      <c r="BK75" s="8"/>
      <c r="BL75" s="8"/>
      <c r="BM75" s="8"/>
      <c r="BN75" s="8"/>
    </row>
    <row r="76" spans="1:66">
      <c r="A76" s="17">
        <v>74</v>
      </c>
      <c r="B76" s="18">
        <v>6.4377694516649573</v>
      </c>
      <c r="C76" s="19">
        <v>9.2558534830010455</v>
      </c>
      <c r="AK76" s="8">
        <v>9.3000000000000007</v>
      </c>
      <c r="AM76" s="8">
        <v>39</v>
      </c>
      <c r="BC76" s="8"/>
      <c r="BD76" s="8"/>
      <c r="BE76" s="8"/>
      <c r="BF76" s="8"/>
      <c r="BG76" s="8"/>
      <c r="BH76" s="8"/>
      <c r="BI76" s="8"/>
      <c r="BJ76" s="8"/>
      <c r="BK76" s="8"/>
      <c r="BL76" s="8"/>
      <c r="BM76" s="8"/>
      <c r="BN76" s="8"/>
    </row>
    <row r="77" spans="1:66">
      <c r="A77" s="17">
        <v>75</v>
      </c>
      <c r="B77" s="18">
        <v>6.6613217848465593</v>
      </c>
      <c r="C77" s="19">
        <v>10.285507900018683</v>
      </c>
      <c r="AK77" s="8">
        <v>9.3000000000000007</v>
      </c>
      <c r="AM77" s="8">
        <v>32</v>
      </c>
      <c r="BC77" s="8"/>
      <c r="BD77" s="8"/>
      <c r="BE77" s="8"/>
      <c r="BF77" s="8"/>
      <c r="BG77" s="8"/>
      <c r="BH77" s="8"/>
      <c r="BI77" s="8"/>
      <c r="BJ77" s="8"/>
      <c r="BK77" s="8"/>
      <c r="BL77" s="8"/>
      <c r="BM77" s="8"/>
      <c r="BN77" s="8"/>
    </row>
    <row r="78" spans="1:66">
      <c r="A78" s="17">
        <v>76</v>
      </c>
      <c r="B78" s="18">
        <v>6.8205088671055902</v>
      </c>
      <c r="C78" s="19">
        <v>10.490913810808598</v>
      </c>
      <c r="AK78" s="8">
        <v>9.4</v>
      </c>
      <c r="AM78" s="8">
        <v>32</v>
      </c>
      <c r="BC78" s="8"/>
      <c r="BD78" s="8"/>
      <c r="BE78" s="8"/>
      <c r="BF78" s="8"/>
      <c r="BG78" s="8"/>
      <c r="BH78" s="8"/>
      <c r="BI78" s="8"/>
      <c r="BJ78" s="8"/>
      <c r="BK78" s="8"/>
      <c r="BL78" s="8"/>
      <c r="BM78" s="8"/>
      <c r="BN78" s="8"/>
    </row>
    <row r="79" spans="1:66">
      <c r="A79" s="17">
        <v>77</v>
      </c>
      <c r="B79" s="18">
        <v>6.5308200489443502</v>
      </c>
      <c r="C79" s="19">
        <v>10.358716009249122</v>
      </c>
      <c r="AK79" s="8">
        <v>9.4</v>
      </c>
      <c r="AM79" s="8">
        <v>49</v>
      </c>
      <c r="BC79" s="8"/>
      <c r="BD79" s="8"/>
      <c r="BE79" s="8"/>
      <c r="BF79" s="8"/>
      <c r="BG79" s="8"/>
      <c r="BH79" s="8"/>
      <c r="BI79" s="8"/>
      <c r="BJ79" s="8"/>
      <c r="BK79" s="8"/>
      <c r="BL79" s="8"/>
      <c r="BM79" s="8"/>
      <c r="BN79" s="8"/>
    </row>
    <row r="80" spans="1:66">
      <c r="A80" s="17">
        <v>78</v>
      </c>
      <c r="B80" s="18">
        <v>6.9534482762458723</v>
      </c>
      <c r="C80" s="19">
        <v>10.965362168684697</v>
      </c>
      <c r="AK80" s="8">
        <v>9.5</v>
      </c>
      <c r="AM80" s="8">
        <v>49</v>
      </c>
      <c r="BC80" s="8"/>
      <c r="BD80" s="8"/>
      <c r="BE80" s="8"/>
      <c r="BF80" s="8"/>
      <c r="BG80" s="8"/>
      <c r="BH80" s="8"/>
      <c r="BI80" s="8"/>
      <c r="BJ80" s="8"/>
      <c r="BK80" s="8"/>
      <c r="BL80" s="8"/>
      <c r="BM80" s="8"/>
      <c r="BN80" s="8"/>
    </row>
    <row r="81" spans="1:66">
      <c r="A81" s="17">
        <v>79</v>
      </c>
      <c r="B81" s="18">
        <v>7.6062462887508389</v>
      </c>
      <c r="C81" s="19">
        <v>11.131281242745146</v>
      </c>
      <c r="AK81" s="8">
        <v>9.5</v>
      </c>
      <c r="AM81" s="8">
        <v>48</v>
      </c>
      <c r="BC81" s="8"/>
      <c r="BD81" s="8"/>
      <c r="BE81" s="8"/>
      <c r="BF81" s="8"/>
      <c r="BG81" s="8"/>
      <c r="BH81" s="8"/>
      <c r="BI81" s="8"/>
      <c r="BJ81" s="8"/>
      <c r="BK81" s="8"/>
      <c r="BL81" s="8"/>
      <c r="BM81" s="8"/>
      <c r="BN81" s="8"/>
    </row>
    <row r="82" spans="1:66">
      <c r="A82" s="17">
        <v>80</v>
      </c>
      <c r="B82" s="18">
        <v>6.6589698720398038</v>
      </c>
      <c r="C82" s="19">
        <v>9.7624738175348433</v>
      </c>
      <c r="AK82" s="8">
        <v>9.6</v>
      </c>
      <c r="AM82" s="8">
        <v>48</v>
      </c>
      <c r="BC82" s="8"/>
      <c r="BD82" s="8"/>
      <c r="BE82" s="8"/>
      <c r="BF82" s="8"/>
      <c r="BG82" s="8"/>
      <c r="BH82" s="8"/>
      <c r="BI82" s="8"/>
      <c r="BJ82" s="8"/>
      <c r="BK82" s="8"/>
      <c r="BL82" s="8"/>
      <c r="BM82" s="8"/>
      <c r="BN82" s="8"/>
    </row>
    <row r="83" spans="1:66">
      <c r="A83" s="17">
        <v>81</v>
      </c>
      <c r="B83" s="18">
        <v>6.2493991307212768</v>
      </c>
      <c r="C83" s="19">
        <v>8.9798439562745624</v>
      </c>
      <c r="AK83" s="8">
        <v>9.6</v>
      </c>
      <c r="AM83" s="8">
        <v>53</v>
      </c>
      <c r="BC83" s="8"/>
      <c r="BD83" s="8"/>
      <c r="BE83" s="8"/>
      <c r="BF83" s="8"/>
      <c r="BG83" s="8"/>
      <c r="BH83" s="8"/>
      <c r="BI83" s="8"/>
      <c r="BJ83" s="8"/>
      <c r="BK83" s="8"/>
      <c r="BL83" s="8"/>
      <c r="BM83" s="8"/>
      <c r="BN83" s="8"/>
    </row>
    <row r="84" spans="1:66">
      <c r="A84" s="17">
        <v>82</v>
      </c>
      <c r="B84" s="18">
        <v>6.1291638167693288</v>
      </c>
      <c r="C84" s="19">
        <v>9.9966696021275681</v>
      </c>
      <c r="AK84" s="8">
        <v>9.6999999999999993</v>
      </c>
      <c r="AM84" s="8">
        <v>53</v>
      </c>
      <c r="BC84" s="8"/>
      <c r="BD84" s="8"/>
      <c r="BE84" s="8"/>
      <c r="BF84" s="8"/>
      <c r="BG84" s="8"/>
      <c r="BH84" s="8"/>
      <c r="BI84" s="8"/>
      <c r="BJ84" s="8"/>
      <c r="BK84" s="8"/>
      <c r="BL84" s="8"/>
      <c r="BM84" s="8"/>
      <c r="BN84" s="8"/>
    </row>
    <row r="85" spans="1:66">
      <c r="A85" s="17">
        <v>83</v>
      </c>
      <c r="B85" s="18">
        <v>5.9818667338971041</v>
      </c>
      <c r="C85" s="19">
        <v>8.6309607829916235</v>
      </c>
      <c r="AK85" s="8">
        <v>9.6999999999999993</v>
      </c>
      <c r="AM85" s="8">
        <v>51</v>
      </c>
      <c r="BC85" s="8"/>
      <c r="BD85" s="8"/>
      <c r="BE85" s="8"/>
      <c r="BF85" s="8"/>
      <c r="BG85" s="8"/>
      <c r="BH85" s="8"/>
      <c r="BI85" s="8"/>
      <c r="BJ85" s="8"/>
      <c r="BK85" s="8"/>
      <c r="BL85" s="8"/>
      <c r="BM85" s="8"/>
      <c r="BN85" s="8"/>
    </row>
    <row r="86" spans="1:66">
      <c r="A86" s="17">
        <v>84</v>
      </c>
      <c r="B86" s="18">
        <v>6.6654200207453158</v>
      </c>
      <c r="C86" s="19">
        <v>9.6728952707429148</v>
      </c>
      <c r="AK86" s="8">
        <v>9.8000000000000007</v>
      </c>
      <c r="AM86" s="8">
        <v>51</v>
      </c>
      <c r="BC86" s="8"/>
      <c r="BD86" s="8"/>
      <c r="BE86" s="8"/>
      <c r="BF86" s="8"/>
      <c r="BG86" s="8"/>
      <c r="BH86" s="8"/>
      <c r="BI86" s="8"/>
      <c r="BJ86" s="8"/>
      <c r="BK86" s="8"/>
      <c r="BL86" s="8"/>
      <c r="BM86" s="8"/>
      <c r="BN86" s="8"/>
    </row>
    <row r="87" spans="1:66">
      <c r="A87" s="17">
        <v>85</v>
      </c>
      <c r="B87" s="18">
        <v>6.7656981120305808</v>
      </c>
      <c r="C87" s="19">
        <v>10.467070574881976</v>
      </c>
      <c r="AK87" s="8">
        <v>9.8000000000000007</v>
      </c>
      <c r="AM87" s="8">
        <v>53</v>
      </c>
      <c r="BC87" s="8"/>
      <c r="BD87" s="8"/>
      <c r="BE87" s="8"/>
      <c r="BF87" s="8"/>
      <c r="BG87" s="8"/>
      <c r="BH87" s="8"/>
      <c r="BI87" s="8"/>
      <c r="BJ87" s="8"/>
      <c r="BK87" s="8"/>
      <c r="BL87" s="8"/>
      <c r="BM87" s="8"/>
      <c r="BN87" s="8"/>
    </row>
    <row r="88" spans="1:66">
      <c r="A88" s="17">
        <v>86</v>
      </c>
      <c r="B88" s="18">
        <v>7.2107516437973356</v>
      </c>
      <c r="C88" s="19">
        <v>10.722792801396508</v>
      </c>
      <c r="AK88" s="8">
        <v>9.9</v>
      </c>
      <c r="AM88" s="8">
        <v>53</v>
      </c>
      <c r="BC88" s="8"/>
      <c r="BD88" s="8"/>
      <c r="BE88" s="8"/>
      <c r="BF88" s="8"/>
      <c r="BG88" s="8"/>
      <c r="BH88" s="8"/>
      <c r="BI88" s="8"/>
      <c r="BJ88" s="8"/>
      <c r="BK88" s="8"/>
      <c r="BL88" s="8"/>
      <c r="BM88" s="8"/>
      <c r="BN88" s="8"/>
    </row>
    <row r="89" spans="1:66">
      <c r="A89" s="17">
        <v>87</v>
      </c>
      <c r="B89" s="18">
        <v>7.075195234815288</v>
      </c>
      <c r="C89" s="19">
        <v>9.2798720781809347</v>
      </c>
      <c r="AK89" s="8">
        <v>9.9</v>
      </c>
      <c r="AM89" s="8">
        <v>62</v>
      </c>
      <c r="BC89" s="8"/>
      <c r="BD89" s="8"/>
      <c r="BE89" s="8"/>
      <c r="BF89" s="8"/>
      <c r="BG89" s="8"/>
      <c r="BH89" s="8"/>
      <c r="BI89" s="8"/>
      <c r="BJ89" s="8"/>
      <c r="BK89" s="8"/>
      <c r="BL89" s="8"/>
      <c r="BM89" s="8"/>
      <c r="BN89" s="8"/>
    </row>
    <row r="90" spans="1:66">
      <c r="A90" s="17">
        <v>88</v>
      </c>
      <c r="B90" s="18">
        <v>6.3643023704685664</v>
      </c>
      <c r="C90" s="19">
        <v>8.5790806663379442</v>
      </c>
      <c r="AK90" s="8">
        <v>10</v>
      </c>
      <c r="AM90" s="8">
        <v>62</v>
      </c>
      <c r="BC90" s="8"/>
      <c r="BD90" s="8"/>
      <c r="BE90" s="8"/>
      <c r="BF90" s="8"/>
      <c r="BG90" s="8"/>
      <c r="BH90" s="8"/>
      <c r="BI90" s="8"/>
      <c r="BJ90" s="8"/>
      <c r="BK90" s="8"/>
      <c r="BL90" s="8"/>
      <c r="BM90" s="8"/>
      <c r="BN90" s="8"/>
    </row>
    <row r="91" spans="1:66">
      <c r="A91" s="17">
        <v>89</v>
      </c>
      <c r="B91" s="18">
        <v>6.2336151699628326</v>
      </c>
      <c r="C91" s="19">
        <v>8.7559949664875791</v>
      </c>
      <c r="AK91" s="8">
        <v>10</v>
      </c>
      <c r="AM91" s="8">
        <v>46</v>
      </c>
      <c r="BC91" s="8"/>
      <c r="BD91" s="8"/>
      <c r="BE91" s="8"/>
      <c r="BF91" s="8"/>
      <c r="BG91" s="8"/>
      <c r="BH91" s="8"/>
      <c r="BI91" s="8"/>
      <c r="BJ91" s="8"/>
      <c r="BK91" s="8"/>
      <c r="BL91" s="8"/>
      <c r="BM91" s="8"/>
      <c r="BN91" s="8"/>
    </row>
    <row r="92" spans="1:66">
      <c r="A92" s="17">
        <v>90</v>
      </c>
      <c r="B92" s="18">
        <v>6.6953496391247018</v>
      </c>
      <c r="C92" s="19">
        <v>9.6751370137964958</v>
      </c>
      <c r="AK92" s="8">
        <v>10.1</v>
      </c>
      <c r="AM92" s="8">
        <v>46</v>
      </c>
      <c r="BC92" s="8"/>
      <c r="BD92" s="8"/>
      <c r="BE92" s="8"/>
      <c r="BF92" s="8"/>
      <c r="BG92" s="8"/>
      <c r="BH92" s="8"/>
      <c r="BI92" s="8"/>
      <c r="BJ92" s="8"/>
      <c r="BK92" s="8"/>
      <c r="BL92" s="8"/>
      <c r="BM92" s="8"/>
      <c r="BN92" s="8"/>
    </row>
    <row r="93" spans="1:66">
      <c r="A93" s="17">
        <v>91</v>
      </c>
      <c r="B93" s="18">
        <v>6.7336909800668803</v>
      </c>
      <c r="C93" s="19">
        <v>10.988459253636766</v>
      </c>
      <c r="AK93" s="8">
        <v>10.1</v>
      </c>
      <c r="AM93" s="8">
        <v>64</v>
      </c>
      <c r="BC93" s="8"/>
      <c r="BD93" s="8"/>
      <c r="BE93" s="8"/>
      <c r="BF93" s="8"/>
      <c r="BG93" s="8"/>
      <c r="BH93" s="8"/>
      <c r="BI93" s="8"/>
      <c r="BJ93" s="8"/>
      <c r="BK93" s="8"/>
      <c r="BL93" s="8"/>
      <c r="BM93" s="8"/>
      <c r="BN93" s="8"/>
    </row>
    <row r="94" spans="1:66">
      <c r="A94" s="17">
        <v>92</v>
      </c>
      <c r="B94" s="18">
        <v>7.3714427181212097</v>
      </c>
      <c r="C94" s="19">
        <v>10.450237281104801</v>
      </c>
      <c r="AK94" s="8">
        <v>10.199999999999999</v>
      </c>
      <c r="AM94" s="8">
        <v>64</v>
      </c>
      <c r="BC94" s="8"/>
      <c r="BD94" s="8"/>
      <c r="BE94" s="8"/>
      <c r="BF94" s="8"/>
      <c r="BG94" s="8"/>
      <c r="BH94" s="8"/>
      <c r="BI94" s="8"/>
      <c r="BJ94" s="8"/>
      <c r="BK94" s="8"/>
      <c r="BL94" s="8"/>
      <c r="BM94" s="8"/>
      <c r="BN94" s="8"/>
    </row>
    <row r="95" spans="1:66">
      <c r="A95" s="17">
        <v>93</v>
      </c>
      <c r="B95" s="18">
        <v>6.666594792911626</v>
      </c>
      <c r="C95" s="19">
        <v>10.07339122749311</v>
      </c>
      <c r="AK95" s="8">
        <v>10.199999999999999</v>
      </c>
      <c r="AM95" s="8">
        <v>43</v>
      </c>
      <c r="BC95" s="8"/>
      <c r="BD95" s="8"/>
      <c r="BE95" s="8"/>
      <c r="BF95" s="8"/>
      <c r="BG95" s="8"/>
      <c r="BH95" s="8"/>
      <c r="BI95" s="8"/>
      <c r="BJ95" s="8"/>
      <c r="BK95" s="8"/>
      <c r="BL95" s="8"/>
      <c r="BM95" s="8"/>
      <c r="BN95" s="8"/>
    </row>
    <row r="96" spans="1:66">
      <c r="A96" s="17">
        <v>94</v>
      </c>
      <c r="B96" s="18">
        <v>6.174598238206884</v>
      </c>
      <c r="C96" s="19">
        <v>8.8442917449513736</v>
      </c>
      <c r="AK96" s="8">
        <v>10.3</v>
      </c>
      <c r="AM96" s="8">
        <v>43</v>
      </c>
      <c r="BC96" s="8"/>
      <c r="BD96" s="8"/>
      <c r="BE96" s="8"/>
      <c r="BF96" s="8"/>
      <c r="BG96" s="8"/>
      <c r="BH96" s="8"/>
      <c r="BI96" s="8"/>
      <c r="BJ96" s="8"/>
      <c r="BK96" s="8"/>
      <c r="BL96" s="8"/>
      <c r="BM96" s="8"/>
      <c r="BN96" s="8"/>
    </row>
    <row r="97" spans="1:66">
      <c r="A97" s="17">
        <v>95</v>
      </c>
      <c r="B97" s="18">
        <v>6.4759842654046338</v>
      </c>
      <c r="C97" s="19">
        <v>10.835515385474919</v>
      </c>
      <c r="AK97" s="8">
        <v>10.3</v>
      </c>
      <c r="AM97" s="8">
        <v>52</v>
      </c>
      <c r="BC97" s="8"/>
      <c r="BD97" s="8"/>
      <c r="BE97" s="8"/>
      <c r="BF97" s="8"/>
      <c r="BG97" s="8"/>
      <c r="BH97" s="8"/>
      <c r="BI97" s="8"/>
      <c r="BJ97" s="8"/>
      <c r="BK97" s="8"/>
      <c r="BL97" s="8"/>
      <c r="BM97" s="8"/>
      <c r="BN97" s="8"/>
    </row>
    <row r="98" spans="1:66">
      <c r="A98" s="17">
        <v>96</v>
      </c>
      <c r="B98" s="18">
        <v>7.2330488050556214</v>
      </c>
      <c r="C98" s="19">
        <v>10.379923209308604</v>
      </c>
      <c r="AK98" s="8">
        <v>10.4</v>
      </c>
      <c r="AM98" s="8">
        <v>52</v>
      </c>
      <c r="BC98" s="8"/>
      <c r="BD98" s="8"/>
      <c r="BE98" s="8"/>
      <c r="BF98" s="8"/>
      <c r="BG98" s="8"/>
      <c r="BH98" s="8"/>
      <c r="BI98" s="8"/>
      <c r="BJ98" s="8"/>
      <c r="BK98" s="8"/>
      <c r="BL98" s="8"/>
      <c r="BM98" s="8"/>
      <c r="BN98" s="8"/>
    </row>
    <row r="99" spans="1:66">
      <c r="A99" s="17">
        <v>97</v>
      </c>
      <c r="B99" s="18">
        <v>6.6351081575256803</v>
      </c>
      <c r="C99" s="19">
        <v>9.584265714391675</v>
      </c>
      <c r="AK99" s="8">
        <v>10.4</v>
      </c>
      <c r="AM99" s="8">
        <v>44</v>
      </c>
      <c r="BC99" s="8"/>
      <c r="BD99" s="8"/>
      <c r="BE99" s="8"/>
      <c r="BF99" s="8"/>
      <c r="BG99" s="8"/>
      <c r="BH99" s="8"/>
      <c r="BI99" s="8"/>
      <c r="BJ99" s="8"/>
      <c r="BK99" s="8"/>
      <c r="BL99" s="8"/>
      <c r="BM99" s="8"/>
      <c r="BN99" s="8"/>
    </row>
    <row r="100" spans="1:66">
      <c r="A100" s="17">
        <v>98</v>
      </c>
      <c r="B100" s="18">
        <v>6.8837856824613528</v>
      </c>
      <c r="C100" s="19">
        <v>11.833155599912896</v>
      </c>
      <c r="AK100" s="8">
        <v>10.5</v>
      </c>
      <c r="AM100" s="8">
        <v>44</v>
      </c>
      <c r="BC100" s="8"/>
      <c r="BD100" s="8"/>
      <c r="BE100" s="8"/>
      <c r="BF100" s="8"/>
      <c r="BG100" s="8"/>
      <c r="BH100" s="8"/>
      <c r="BI100" s="8"/>
      <c r="BJ100" s="8"/>
      <c r="BK100" s="8"/>
      <c r="BL100" s="8"/>
      <c r="BM100" s="8"/>
      <c r="BN100" s="8"/>
    </row>
    <row r="101" spans="1:66">
      <c r="A101" s="17">
        <v>99</v>
      </c>
      <c r="B101" s="18">
        <v>6.337951224371519</v>
      </c>
      <c r="C101" s="19">
        <v>10.221839126852284</v>
      </c>
      <c r="AK101" s="8">
        <v>10.5</v>
      </c>
      <c r="AM101" s="8">
        <v>28</v>
      </c>
      <c r="BC101" s="8"/>
      <c r="BD101" s="8"/>
      <c r="BE101" s="8"/>
      <c r="BF101" s="8"/>
      <c r="BG101" s="8"/>
      <c r="BH101" s="8"/>
      <c r="BI101" s="8"/>
      <c r="BJ101" s="8"/>
      <c r="BK101" s="8"/>
      <c r="BL101" s="8"/>
      <c r="BM101" s="8"/>
      <c r="BN101" s="8"/>
    </row>
    <row r="102" spans="1:66">
      <c r="A102" s="17">
        <v>100</v>
      </c>
      <c r="B102" s="18">
        <v>6.9207188180878294</v>
      </c>
      <c r="C102" s="19">
        <v>10.073608002688047</v>
      </c>
      <c r="AK102" s="8">
        <v>10.6</v>
      </c>
      <c r="AM102" s="8">
        <v>28</v>
      </c>
      <c r="BC102" s="8"/>
      <c r="BD102" s="8"/>
      <c r="BE102" s="8"/>
      <c r="BF102" s="8"/>
      <c r="BG102" s="8"/>
      <c r="BH102" s="8"/>
      <c r="BI102" s="8"/>
      <c r="BJ102" s="8"/>
      <c r="BK102" s="8"/>
      <c r="BL102" s="8"/>
      <c r="BM102" s="8"/>
      <c r="BN102" s="8"/>
    </row>
    <row r="103" spans="1:66">
      <c r="A103" s="45" t="s">
        <v>45</v>
      </c>
      <c r="AK103" s="8">
        <v>10.6</v>
      </c>
      <c r="AM103" s="8">
        <v>37</v>
      </c>
    </row>
    <row r="104" spans="1:66">
      <c r="AK104" s="8">
        <v>10.7</v>
      </c>
      <c r="AM104" s="8">
        <v>37</v>
      </c>
    </row>
    <row r="105" spans="1:66">
      <c r="AK105" s="8">
        <v>10.7</v>
      </c>
      <c r="AM105" s="8">
        <v>36</v>
      </c>
    </row>
    <row r="106" spans="1:66">
      <c r="AK106" s="8">
        <v>10.8</v>
      </c>
      <c r="AM106" s="8">
        <v>36</v>
      </c>
    </row>
    <row r="107" spans="1:66">
      <c r="AK107" s="8">
        <v>10.8</v>
      </c>
      <c r="AM107" s="8">
        <v>31</v>
      </c>
    </row>
    <row r="108" spans="1:66">
      <c r="AK108" s="8">
        <v>10.9</v>
      </c>
      <c r="AM108" s="8">
        <v>31</v>
      </c>
    </row>
    <row r="109" spans="1:66">
      <c r="AK109" s="8">
        <v>10.9</v>
      </c>
      <c r="AM109" s="8">
        <v>25</v>
      </c>
    </row>
    <row r="110" spans="1:66">
      <c r="AK110" s="8">
        <v>11</v>
      </c>
      <c r="AM110" s="8">
        <v>25</v>
      </c>
    </row>
    <row r="111" spans="1:66">
      <c r="AK111" s="8">
        <v>11</v>
      </c>
      <c r="AM111" s="8">
        <v>14</v>
      </c>
    </row>
    <row r="112" spans="1:66">
      <c r="AK112" s="8">
        <v>11.1</v>
      </c>
      <c r="AM112" s="8">
        <v>14</v>
      </c>
    </row>
    <row r="113" spans="37:39">
      <c r="AK113" s="8">
        <v>11.1</v>
      </c>
      <c r="AM113" s="8">
        <v>13</v>
      </c>
    </row>
    <row r="114" spans="37:39">
      <c r="AK114" s="8">
        <v>11.2</v>
      </c>
      <c r="AM114" s="8">
        <v>13</v>
      </c>
    </row>
    <row r="115" spans="37:39">
      <c r="AK115" s="8">
        <v>11.2</v>
      </c>
      <c r="AM115" s="8">
        <v>14</v>
      </c>
    </row>
    <row r="116" spans="37:39">
      <c r="AK116" s="8">
        <v>11.3</v>
      </c>
      <c r="AM116" s="8">
        <v>14</v>
      </c>
    </row>
    <row r="117" spans="37:39">
      <c r="AK117" s="8">
        <v>11.3</v>
      </c>
      <c r="AM117" s="8">
        <v>11</v>
      </c>
    </row>
    <row r="118" spans="37:39">
      <c r="AK118" s="8">
        <v>11.4</v>
      </c>
      <c r="AM118" s="8">
        <v>11</v>
      </c>
    </row>
    <row r="119" spans="37:39">
      <c r="AK119" s="8">
        <v>11.4</v>
      </c>
      <c r="AM119" s="8">
        <v>12</v>
      </c>
    </row>
    <row r="120" spans="37:39">
      <c r="AK120" s="8">
        <v>11.5</v>
      </c>
      <c r="AM120" s="8">
        <v>12</v>
      </c>
    </row>
    <row r="121" spans="37:39">
      <c r="AK121" s="8">
        <v>11.5</v>
      </c>
      <c r="AM121" s="8">
        <v>6</v>
      </c>
    </row>
    <row r="122" spans="37:39">
      <c r="AK122" s="8">
        <v>11.6</v>
      </c>
      <c r="AM122" s="8">
        <v>6</v>
      </c>
    </row>
    <row r="123" spans="37:39">
      <c r="AK123" s="8">
        <v>11.6</v>
      </c>
      <c r="AM123" s="8">
        <v>3</v>
      </c>
    </row>
    <row r="124" spans="37:39">
      <c r="AK124" s="8">
        <v>11.7</v>
      </c>
      <c r="AM124" s="8">
        <v>3</v>
      </c>
    </row>
    <row r="125" spans="37:39">
      <c r="AK125" s="8">
        <v>11.7</v>
      </c>
      <c r="AM125" s="8">
        <v>6</v>
      </c>
    </row>
    <row r="126" spans="37:39">
      <c r="AK126" s="8">
        <v>11.8</v>
      </c>
      <c r="AM126" s="8">
        <v>6</v>
      </c>
    </row>
    <row r="127" spans="37:39">
      <c r="AK127" s="8">
        <v>11.8</v>
      </c>
      <c r="AM127" s="8">
        <v>4</v>
      </c>
    </row>
    <row r="128" spans="37:39">
      <c r="AK128" s="8">
        <v>11.9</v>
      </c>
      <c r="AM128" s="8">
        <v>4</v>
      </c>
    </row>
    <row r="129" spans="37:39">
      <c r="AK129" s="8">
        <v>11.9</v>
      </c>
      <c r="AM129" s="8">
        <v>3</v>
      </c>
    </row>
    <row r="130" spans="37:39">
      <c r="AK130" s="8">
        <v>12</v>
      </c>
      <c r="AM130" s="8">
        <v>3</v>
      </c>
    </row>
    <row r="131" spans="37:39">
      <c r="AK131" s="8">
        <v>12</v>
      </c>
      <c r="AM131" s="8">
        <v>1</v>
      </c>
    </row>
    <row r="132" spans="37:39">
      <c r="AK132" s="8">
        <v>12.1</v>
      </c>
      <c r="AM132" s="8">
        <v>1</v>
      </c>
    </row>
    <row r="133" spans="37:39">
      <c r="AK133" s="8">
        <v>12.1</v>
      </c>
      <c r="AM133" s="8">
        <v>2</v>
      </c>
    </row>
    <row r="134" spans="37:39">
      <c r="AK134" s="8">
        <v>12.2</v>
      </c>
      <c r="AM134" s="8">
        <v>2</v>
      </c>
    </row>
    <row r="135" spans="37:39">
      <c r="AK135" s="8">
        <v>12.2</v>
      </c>
      <c r="AM135" s="8">
        <v>1</v>
      </c>
    </row>
    <row r="136" spans="37:39">
      <c r="AK136" s="8">
        <v>12.3</v>
      </c>
      <c r="AM136" s="8">
        <v>1</v>
      </c>
    </row>
    <row r="137" spans="37:39">
      <c r="AK137" s="8">
        <v>12.3</v>
      </c>
      <c r="AM137" s="8">
        <v>1</v>
      </c>
    </row>
    <row r="138" spans="37:39">
      <c r="AK138" s="8">
        <v>12.4</v>
      </c>
      <c r="AM138" s="8">
        <v>1</v>
      </c>
    </row>
    <row r="139" spans="37:39">
      <c r="AK139" s="8">
        <v>12.4</v>
      </c>
      <c r="AM139" s="8">
        <v>1</v>
      </c>
    </row>
    <row r="140" spans="37:39">
      <c r="AK140" s="8">
        <v>12.5</v>
      </c>
      <c r="AM140" s="8">
        <v>1</v>
      </c>
    </row>
    <row r="141" spans="37:39">
      <c r="AK141" s="8">
        <v>12.5</v>
      </c>
      <c r="AM141" s="8">
        <v>0</v>
      </c>
    </row>
    <row r="142" spans="37:39">
      <c r="AK142" s="8">
        <v>12.6</v>
      </c>
      <c r="AM142" s="8">
        <v>0</v>
      </c>
    </row>
    <row r="143" spans="37:39">
      <c r="AK143" s="8">
        <v>12.6</v>
      </c>
      <c r="AM143" s="8">
        <v>0</v>
      </c>
    </row>
    <row r="144" spans="37:39">
      <c r="AK144" s="8">
        <v>12.7</v>
      </c>
      <c r="AM144" s="8">
        <v>0</v>
      </c>
    </row>
    <row r="145" spans="37:39">
      <c r="AK145" s="8">
        <v>12.7</v>
      </c>
      <c r="AM145" s="8">
        <v>1</v>
      </c>
    </row>
    <row r="146" spans="37:39">
      <c r="AK146" s="8">
        <v>12.8</v>
      </c>
      <c r="AM146" s="8">
        <v>1</v>
      </c>
    </row>
    <row r="147" spans="37:39">
      <c r="AK147" s="8">
        <v>12.8</v>
      </c>
      <c r="AM147" s="8">
        <v>1</v>
      </c>
    </row>
    <row r="148" spans="37:39">
      <c r="AK148" s="8">
        <v>12.9</v>
      </c>
      <c r="AM148" s="8">
        <v>1</v>
      </c>
    </row>
    <row r="149" spans="37:39">
      <c r="AK149" s="8">
        <v>12.9</v>
      </c>
      <c r="AM149" s="8">
        <v>0</v>
      </c>
    </row>
  </sheetData>
  <dataConsolidate/>
  <mergeCells count="4">
    <mergeCell ref="F2:G2"/>
    <mergeCell ref="I4:J4"/>
    <mergeCell ref="K4:L4"/>
    <mergeCell ref="M4:N4"/>
  </mergeCells>
  <pageMargins left="0.75" right="0.75" top="1" bottom="1" header="0.5" footer="0.5"/>
  <pageSetup orientation="portrait" horizontalDpi="200" verticalDpi="2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Intro</vt:lpstr>
      <vt:lpstr>Geometry</vt:lpstr>
      <vt:lpstr>OLS</vt:lpstr>
      <vt:lpstr>Ortho</vt:lpstr>
      <vt:lpstr>Doc</vt:lpstr>
      <vt:lpstr>SolverOLS</vt:lpstr>
      <vt:lpstr>SolverOrtho</vt:lpstr>
      <vt:lpstr>MCSim6</vt:lpstr>
      <vt:lpstr>CEM</vt:lpstr>
      <vt:lpstr>EIV</vt:lpstr>
      <vt:lpstr>TheEnd</vt:lpstr>
      <vt:lpstr>OneVarMCSim</vt:lpstr>
      <vt:lpstr>TwoVarMCSim</vt:lpstr>
      <vt:lpstr>MCSim7</vt:lpstr>
      <vt:lpstr>MCSim8</vt:lpstr>
      <vt:lpstr>EIV!beta0</vt:lpstr>
      <vt:lpstr>beta0</vt:lpstr>
      <vt:lpstr>EIV!beta1</vt:lpstr>
      <vt:lpstr>beta1</vt:lpstr>
      <vt:lpstr>sigma</vt:lpstr>
      <vt:lpstr>sigmaX</vt:lpstr>
      <vt:lpstr>sigmaY</vt:lpstr>
    </vt:vector>
  </TitlesOfParts>
  <Company>DePauw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Humberto Barreto</dc:creator>
  <cp:lastModifiedBy>Humberto Barreto</cp:lastModifiedBy>
  <dcterms:created xsi:type="dcterms:W3CDTF">2025-08-31T18:09:09Z</dcterms:created>
  <dcterms:modified xsi:type="dcterms:W3CDTF">2025-11-17T21:49:09Z</dcterms:modified>
</cp:coreProperties>
</file>