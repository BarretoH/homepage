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trlProps/ctrlProp29.xml" ContentType="application/vnd.ms-excel.controlproperties+xml"/>
  <Override PartName="/xl/ctrlProps/ctrlProp30.xml" ContentType="application/vnd.ms-excel.controlproperties+xml"/>
  <Override PartName="/xl/drawings/drawing6.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drawings/drawing7.xml" ContentType="application/vnd.openxmlformats-officedocument.drawing+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384" codeName="{3D1A710C-6663-3D7B-7F91-EC182F24A4BC}"/>
  <workbookPr showInkAnnotation="0" codeName="ThisWorkbook" defaultThemeVersion="124226"/>
  <mc:AlternateContent xmlns:mc="http://schemas.openxmlformats.org/markup-compatibility/2006">
    <mc:Choice Requires="x15">
      <x15ac:absPath xmlns:x15ac="http://schemas.microsoft.com/office/spreadsheetml/2010/11/ac" url="W:\Courses\HistEcon\Keynes\"/>
    </mc:Choice>
  </mc:AlternateContent>
  <xr:revisionPtr revIDLastSave="0" documentId="8_{38A4554F-22BE-447F-9103-910AF6E4E13C}" xr6:coauthVersionLast="36" xr6:coauthVersionMax="36" xr10:uidLastSave="{00000000-0000-0000-0000-000000000000}"/>
  <bookViews>
    <workbookView xWindow="0" yWindow="0" windowWidth="23040" windowHeight="9060" tabRatio="877" firstSheet="1" activeTab="6" xr2:uid="{00000000-000D-0000-FFFF-FFFF00000000}"/>
  </bookViews>
  <sheets>
    <sheet name="LKCES" sheetId="64" state="hidden" r:id="rId1"/>
    <sheet name="Intro" sheetId="65" r:id="rId2"/>
    <sheet name="Def" sheetId="68" r:id="rId3"/>
    <sheet name="Data" sheetId="66" r:id="rId4"/>
    <sheet name="Algebra" sheetId="72" state="hidden" r:id="rId5"/>
    <sheet name="Cycle" sheetId="71" r:id="rId6"/>
    <sheet name="Model" sheetId="60" r:id="rId7"/>
    <sheet name="Final" sheetId="70" state="hidden" r:id="rId8"/>
  </sheets>
  <functionGroups builtInGroupCount="19"/>
  <externalReferences>
    <externalReference r:id="rId9"/>
    <externalReference r:id="rId10"/>
  </externalReferences>
  <definedNames>
    <definedName name="A" localSheetId="4">#REF!</definedName>
    <definedName name="A" localSheetId="0">LKCES!$B$5</definedName>
    <definedName name="alpha" localSheetId="4">[1]EqPath!$B$6</definedName>
    <definedName name="alpha">Model!$B$3</definedName>
    <definedName name="alpha1" localSheetId="0">LKCES!$B$6</definedName>
    <definedName name="alpha2" localSheetId="0">LKCES!$F$6</definedName>
    <definedName name="d" localSheetId="4">[1]EqPath!$B$8</definedName>
    <definedName name="dep" localSheetId="0">LKCES!$B$8</definedName>
    <definedName name="dep">Model!$B$7</definedName>
    <definedName name="g" localSheetId="4">Algebra!$B$14</definedName>
    <definedName name="g" localSheetId="0">LKCES!$B$3</definedName>
    <definedName name="g">Model!$B$4</definedName>
    <definedName name="initial_k" localSheetId="4">[1]EqPath!$B$10</definedName>
    <definedName name="K" localSheetId="4">#REF!</definedName>
    <definedName name="L" localSheetId="4">#REF!</definedName>
    <definedName name="n" localSheetId="0">LKCES!$B$4</definedName>
    <definedName name="n">Model!$B$5</definedName>
    <definedName name="rho" localSheetId="4">[2]LKCES!$F$7</definedName>
    <definedName name="s" localSheetId="4">[1]EqPath!$B$7</definedName>
    <definedName name="s" localSheetId="0">LKCES!$B$7</definedName>
    <definedName name="s">Model!$B$6</definedName>
    <definedName name="solver_adj" localSheetId="0" hidden="1">LKCES!$B$10</definedName>
    <definedName name="solver_cvg" localSheetId="0" hidden="1">0.0001</definedName>
    <definedName name="solver_cvg" localSheetId="6" hidden="1">0.0001</definedName>
    <definedName name="solver_drv" localSheetId="0" hidden="1">1</definedName>
    <definedName name="solver_drv" localSheetId="6" hidden="1">1</definedName>
    <definedName name="solver_eng" localSheetId="4" hidden="1">1</definedName>
    <definedName name="solver_eng" localSheetId="0" hidden="1">1</definedName>
    <definedName name="solver_eng" localSheetId="6" hidden="1">1</definedName>
    <definedName name="solver_est" localSheetId="0" hidden="1">1</definedName>
    <definedName name="solver_est" localSheetId="6" hidden="1">1</definedName>
    <definedName name="solver_itr" localSheetId="0" hidden="1">2147483647</definedName>
    <definedName name="solver_itr" localSheetId="6" hidden="1">2147483647</definedName>
    <definedName name="solver_lhs1" localSheetId="0" hidden="1">LKCES!$B$10</definedName>
    <definedName name="solver_lhs1" localSheetId="6" hidden="1">Model!$C$10</definedName>
    <definedName name="solver_mip" localSheetId="0" hidden="1">2147483647</definedName>
    <definedName name="solver_mip" localSheetId="6" hidden="1">2147483647</definedName>
    <definedName name="solver_mni" localSheetId="0" hidden="1">30</definedName>
    <definedName name="solver_mni" localSheetId="6" hidden="1">30</definedName>
    <definedName name="solver_mrt" localSheetId="0" hidden="1">0.075</definedName>
    <definedName name="solver_mrt" localSheetId="6" hidden="1">0.075</definedName>
    <definedName name="solver_msl" localSheetId="0" hidden="1">2</definedName>
    <definedName name="solver_msl" localSheetId="6" hidden="1">2</definedName>
    <definedName name="solver_neg" localSheetId="4" hidden="1">1</definedName>
    <definedName name="solver_neg" localSheetId="0" hidden="1">1</definedName>
    <definedName name="solver_neg" localSheetId="6" hidden="1">1</definedName>
    <definedName name="solver_nod" localSheetId="0" hidden="1">2147483647</definedName>
    <definedName name="solver_nod" localSheetId="6" hidden="1">2147483647</definedName>
    <definedName name="solver_num" localSheetId="4" hidden="1">0</definedName>
    <definedName name="solver_num" localSheetId="0" hidden="1">1</definedName>
    <definedName name="solver_num" localSheetId="6" hidden="1">0</definedName>
    <definedName name="solver_nwt" localSheetId="0" hidden="1">1</definedName>
    <definedName name="solver_nwt" localSheetId="6" hidden="1">1</definedName>
    <definedName name="solver_opt" localSheetId="4" hidden="1">Algebra!$A$154</definedName>
    <definedName name="solver_opt" localSheetId="0" hidden="1">LKCES!$M$15</definedName>
    <definedName name="solver_pre" localSheetId="0" hidden="1">0.000001</definedName>
    <definedName name="solver_pre" localSheetId="6" hidden="1">0.000001</definedName>
    <definedName name="solver_rbv" localSheetId="0" hidden="1">1</definedName>
    <definedName name="solver_rbv" localSheetId="6" hidden="1">1</definedName>
    <definedName name="solver_rel1" localSheetId="0" hidden="1">3</definedName>
    <definedName name="solver_rel1" localSheetId="6" hidden="1">3</definedName>
    <definedName name="solver_rhs1" localSheetId="0" hidden="1">0.01</definedName>
    <definedName name="solver_rhs1" localSheetId="6" hidden="1">0.01</definedName>
    <definedName name="solver_rlx" localSheetId="0" hidden="1">2</definedName>
    <definedName name="solver_rlx" localSheetId="6" hidden="1">2</definedName>
    <definedName name="solver_rsd" localSheetId="0" hidden="1">0</definedName>
    <definedName name="solver_rsd" localSheetId="6" hidden="1">0</definedName>
    <definedName name="solver_scl" localSheetId="0" hidden="1">1</definedName>
    <definedName name="solver_scl" localSheetId="6" hidden="1">1</definedName>
    <definedName name="solver_sho" localSheetId="0" hidden="1">2</definedName>
    <definedName name="solver_sho" localSheetId="6" hidden="1">2</definedName>
    <definedName name="solver_ssz" localSheetId="0" hidden="1">100</definedName>
    <definedName name="solver_ssz" localSheetId="6" hidden="1">100</definedName>
    <definedName name="solver_tim" localSheetId="0" hidden="1">2147483647</definedName>
    <definedName name="solver_tim" localSheetId="6" hidden="1">2147483647</definedName>
    <definedName name="solver_tol" localSheetId="0" hidden="1">0.01</definedName>
    <definedName name="solver_tol" localSheetId="6" hidden="1">0.01</definedName>
    <definedName name="solver_typ" localSheetId="4" hidden="1">1</definedName>
    <definedName name="solver_typ" localSheetId="0" hidden="1">3</definedName>
    <definedName name="solver_typ" localSheetId="6" hidden="1">1</definedName>
    <definedName name="solver_val" localSheetId="4" hidden="1">0</definedName>
    <definedName name="solver_val" localSheetId="0" hidden="1">0</definedName>
    <definedName name="solver_val" localSheetId="6" hidden="1">0</definedName>
    <definedName name="solver_ver" localSheetId="4" hidden="1">3</definedName>
    <definedName name="solver_ver" localSheetId="0" hidden="1">3</definedName>
    <definedName name="solver_ver" localSheetId="6" hidden="1">3</definedName>
  </definedNames>
  <calcPr calcId="191029"/>
  <customWorkbookViews>
    <customWorkbookView name="Humberto Barreto - Personal View" guid="{B514CC0D-1D6E-4620-BD2C-02091273385D}" mergeInterval="0" personalView="1" maximized="1" windowWidth="1020" windowHeight="446" tabRatio="877" activeSheetId="3"/>
    <customWorkbookView name="Tami - Personal View" guid="{D31200CC-1D7A-48DB-AD22-4620145145B5}" mergeInterval="0" personalView="1" maximized="1" windowWidth="1596" windowHeight="641" tabRatio="877" activeSheetId="2"/>
  </customWorkbookViews>
</workbook>
</file>

<file path=xl/calcChain.xml><?xml version="1.0" encoding="utf-8"?>
<calcChain xmlns="http://schemas.openxmlformats.org/spreadsheetml/2006/main">
  <c r="H14" i="60" l="1"/>
  <c r="E14" i="60"/>
  <c r="F14" i="60" s="1"/>
  <c r="B15" i="60"/>
  <c r="B16" i="60" s="1"/>
  <c r="B17" i="60" s="1"/>
  <c r="B18" i="60" s="1"/>
  <c r="B19" i="60" s="1"/>
  <c r="B20" i="60" s="1"/>
  <c r="B21" i="60" s="1"/>
  <c r="B22" i="60" s="1"/>
  <c r="B23" i="60" s="1"/>
  <c r="G14" i="60" l="1"/>
  <c r="I14" i="60" s="1"/>
  <c r="D15" i="60" s="1"/>
  <c r="B24" i="60"/>
  <c r="L11" i="60"/>
  <c r="H15" i="60" l="1"/>
  <c r="B25" i="60"/>
  <c r="E68" i="71"/>
  <c r="G68" i="71" s="1"/>
  <c r="D69" i="71" s="1"/>
  <c r="E69" i="71" s="1"/>
  <c r="F69" i="71" s="1"/>
  <c r="B137" i="72"/>
  <c r="B136" i="72"/>
  <c r="B139" i="72" s="1"/>
  <c r="B140" i="72" s="1"/>
  <c r="B26" i="60" l="1"/>
  <c r="H69" i="71"/>
  <c r="J68" i="71"/>
  <c r="I69" i="71"/>
  <c r="J69" i="71"/>
  <c r="F68" i="71"/>
  <c r="G69" i="71"/>
  <c r="D70" i="71" s="1"/>
  <c r="B27" i="60" l="1"/>
  <c r="H70" i="71"/>
  <c r="E70" i="71"/>
  <c r="I70" i="71" s="1"/>
  <c r="M11" i="60"/>
  <c r="B28" i="60" l="1"/>
  <c r="J70" i="71"/>
  <c r="F70" i="71"/>
  <c r="G70" i="71"/>
  <c r="D71" i="71" s="1"/>
  <c r="G7" i="64"/>
  <c r="C14" i="64"/>
  <c r="B14" i="64"/>
  <c r="G14" i="64"/>
  <c r="B29" i="60" l="1"/>
  <c r="C15" i="60"/>
  <c r="E71" i="71"/>
  <c r="I71" i="71" s="1"/>
  <c r="H71" i="71"/>
  <c r="J71" i="71"/>
  <c r="G71" i="71"/>
  <c r="F71" i="71"/>
  <c r="B15" i="64"/>
  <c r="B16" i="64" s="1"/>
  <c r="B17" i="64" s="1"/>
  <c r="B18" i="64" s="1"/>
  <c r="B19" i="64" s="1"/>
  <c r="B20" i="64" s="1"/>
  <c r="B21" i="64" s="1"/>
  <c r="B22" i="64" s="1"/>
  <c r="B23" i="64" s="1"/>
  <c r="B24" i="64" s="1"/>
  <c r="B25" i="64" s="1"/>
  <c r="B26" i="64" s="1"/>
  <c r="B27" i="64" s="1"/>
  <c r="B28" i="64" s="1"/>
  <c r="B29" i="64" s="1"/>
  <c r="B30" i="64" s="1"/>
  <c r="B31" i="64" s="1"/>
  <c r="B32" i="64" s="1"/>
  <c r="B33" i="64" s="1"/>
  <c r="B34" i="64" s="1"/>
  <c r="B35" i="64" s="1"/>
  <c r="B36" i="64" s="1"/>
  <c r="B37" i="64" s="1"/>
  <c r="B38" i="64" s="1"/>
  <c r="B39" i="64" s="1"/>
  <c r="B40" i="64" s="1"/>
  <c r="B41" i="64" s="1"/>
  <c r="B42" i="64" s="1"/>
  <c r="B43" i="64" s="1"/>
  <c r="B44" i="64" s="1"/>
  <c r="B45" i="64" s="1"/>
  <c r="B46" i="64" s="1"/>
  <c r="B47" i="64" s="1"/>
  <c r="B48" i="64" s="1"/>
  <c r="B49" i="64" s="1"/>
  <c r="B50" i="64" s="1"/>
  <c r="B51" i="64" s="1"/>
  <c r="B52" i="64" s="1"/>
  <c r="B53" i="64" s="1"/>
  <c r="B54" i="64" s="1"/>
  <c r="B55" i="64" s="1"/>
  <c r="B56" i="64" s="1"/>
  <c r="B57" i="64" s="1"/>
  <c r="B58" i="64" s="1"/>
  <c r="B59" i="64" s="1"/>
  <c r="B60" i="64" s="1"/>
  <c r="B61" i="64" s="1"/>
  <c r="B62" i="64" s="1"/>
  <c r="B63" i="64" s="1"/>
  <c r="B64" i="64" s="1"/>
  <c r="B65" i="64" s="1"/>
  <c r="B66" i="64" s="1"/>
  <c r="B67" i="64" s="1"/>
  <c r="B68" i="64" s="1"/>
  <c r="B69" i="64" s="1"/>
  <c r="B70" i="64" s="1"/>
  <c r="B71" i="64" s="1"/>
  <c r="B72" i="64" s="1"/>
  <c r="B73" i="64" s="1"/>
  <c r="B74" i="64" s="1"/>
  <c r="B75" i="64" s="1"/>
  <c r="B76" i="64" s="1"/>
  <c r="B77" i="64" s="1"/>
  <c r="B78" i="64" s="1"/>
  <c r="B79" i="64" s="1"/>
  <c r="B80" i="64" s="1"/>
  <c r="B81" i="64" s="1"/>
  <c r="B82" i="64" s="1"/>
  <c r="B83" i="64" s="1"/>
  <c r="B84" i="64" s="1"/>
  <c r="B85" i="64" s="1"/>
  <c r="B86" i="64" s="1"/>
  <c r="B87" i="64" s="1"/>
  <c r="B88" i="64" s="1"/>
  <c r="B89" i="64" s="1"/>
  <c r="B90" i="64" s="1"/>
  <c r="B91" i="64" s="1"/>
  <c r="B92" i="64" s="1"/>
  <c r="B93" i="64" s="1"/>
  <c r="B94" i="64" s="1"/>
  <c r="B95" i="64" s="1"/>
  <c r="B96" i="64" s="1"/>
  <c r="B97" i="64" s="1"/>
  <c r="B98" i="64" s="1"/>
  <c r="B99" i="64" s="1"/>
  <c r="B100" i="64" s="1"/>
  <c r="B101" i="64" s="1"/>
  <c r="B102" i="64" s="1"/>
  <c r="B103" i="64" s="1"/>
  <c r="B104" i="64" s="1"/>
  <c r="B105" i="64" s="1"/>
  <c r="B106" i="64" s="1"/>
  <c r="B107" i="64" s="1"/>
  <c r="B108" i="64" s="1"/>
  <c r="B109" i="64" s="1"/>
  <c r="B110" i="64" s="1"/>
  <c r="B111" i="64" s="1"/>
  <c r="B112" i="64" s="1"/>
  <c r="B113" i="64" s="1"/>
  <c r="B114" i="64" s="1"/>
  <c r="B115" i="64" s="1"/>
  <c r="B116" i="64" s="1"/>
  <c r="B117" i="64" s="1"/>
  <c r="B118" i="64" s="1"/>
  <c r="B119" i="64" s="1"/>
  <c r="B120" i="64" s="1"/>
  <c r="B121" i="64" s="1"/>
  <c r="B122" i="64" s="1"/>
  <c r="B123" i="64" s="1"/>
  <c r="B124" i="64" s="1"/>
  <c r="B125" i="64" s="1"/>
  <c r="B126" i="64" s="1"/>
  <c r="B127" i="64" s="1"/>
  <c r="B128" i="64" s="1"/>
  <c r="B129" i="64" s="1"/>
  <c r="B130" i="64" s="1"/>
  <c r="B131" i="64" s="1"/>
  <c r="B132" i="64" s="1"/>
  <c r="B133" i="64" s="1"/>
  <c r="B134" i="64" s="1"/>
  <c r="B135" i="64" s="1"/>
  <c r="B136" i="64" s="1"/>
  <c r="B137" i="64" s="1"/>
  <c r="B138" i="64" s="1"/>
  <c r="B139" i="64" s="1"/>
  <c r="B140" i="64" s="1"/>
  <c r="B141" i="64" s="1"/>
  <c r="B142" i="64" s="1"/>
  <c r="B143" i="64" s="1"/>
  <c r="B144" i="64" s="1"/>
  <c r="B145" i="64" s="1"/>
  <c r="B146" i="64" s="1"/>
  <c r="B147" i="64" s="1"/>
  <c r="B148" i="64" s="1"/>
  <c r="B149" i="64" s="1"/>
  <c r="B150" i="64" s="1"/>
  <c r="B151" i="64" s="1"/>
  <c r="B152" i="64" s="1"/>
  <c r="B153" i="64" s="1"/>
  <c r="B154" i="64" s="1"/>
  <c r="B155" i="64" s="1"/>
  <c r="B156" i="64" s="1"/>
  <c r="B157" i="64" s="1"/>
  <c r="B158" i="64" s="1"/>
  <c r="B159" i="64" s="1"/>
  <c r="B160" i="64" s="1"/>
  <c r="B161" i="64" s="1"/>
  <c r="B162" i="64" s="1"/>
  <c r="B163" i="64" s="1"/>
  <c r="B164" i="64" s="1"/>
  <c r="B165" i="64" s="1"/>
  <c r="B166" i="64" s="1"/>
  <c r="B167" i="64" s="1"/>
  <c r="B168" i="64" s="1"/>
  <c r="B169" i="64" s="1"/>
  <c r="B170" i="64" s="1"/>
  <c r="B171" i="64" s="1"/>
  <c r="B172" i="64" s="1"/>
  <c r="B173" i="64" s="1"/>
  <c r="B174" i="64" s="1"/>
  <c r="B175" i="64" s="1"/>
  <c r="B176" i="64" s="1"/>
  <c r="B177" i="64" s="1"/>
  <c r="B178" i="64" s="1"/>
  <c r="B179" i="64" s="1"/>
  <c r="B180" i="64" s="1"/>
  <c r="B181" i="64" s="1"/>
  <c r="B182" i="64" s="1"/>
  <c r="B183" i="64" s="1"/>
  <c r="B184" i="64" s="1"/>
  <c r="B185" i="64" s="1"/>
  <c r="B186" i="64" s="1"/>
  <c r="B187" i="64" s="1"/>
  <c r="B188" i="64" s="1"/>
  <c r="B189" i="64" s="1"/>
  <c r="B190" i="64" s="1"/>
  <c r="B191" i="64" s="1"/>
  <c r="B192" i="64" s="1"/>
  <c r="B193" i="64" s="1"/>
  <c r="B194" i="64" s="1"/>
  <c r="B195" i="64" s="1"/>
  <c r="B196" i="64" s="1"/>
  <c r="B197" i="64" s="1"/>
  <c r="B198" i="64" s="1"/>
  <c r="B199" i="64" s="1"/>
  <c r="B200" i="64" s="1"/>
  <c r="B201" i="64" s="1"/>
  <c r="B202" i="64" s="1"/>
  <c r="B203" i="64" s="1"/>
  <c r="B204" i="64" s="1"/>
  <c r="B205" i="64" s="1"/>
  <c r="B206" i="64" s="1"/>
  <c r="B207" i="64" s="1"/>
  <c r="B208" i="64" s="1"/>
  <c r="B209" i="64" s="1"/>
  <c r="B210" i="64" s="1"/>
  <c r="B211" i="64" s="1"/>
  <c r="B212" i="64" s="1"/>
  <c r="B213" i="64" s="1"/>
  <c r="B214" i="64" s="1"/>
  <c r="D14" i="64"/>
  <c r="E15" i="60" l="1"/>
  <c r="C16" i="60"/>
  <c r="B30" i="60"/>
  <c r="L14" i="60"/>
  <c r="M14" i="60" s="1"/>
  <c r="P14" i="60"/>
  <c r="F14" i="64"/>
  <c r="H14" i="64" s="1"/>
  <c r="C15" i="64" s="1"/>
  <c r="E14" i="64"/>
  <c r="K14" i="64"/>
  <c r="L14" i="64" s="1"/>
  <c r="C17" i="60" l="1"/>
  <c r="F15" i="60"/>
  <c r="G15" i="60"/>
  <c r="I15" i="60" s="1"/>
  <c r="D16" i="60" s="1"/>
  <c r="B31" i="60"/>
  <c r="I15" i="64"/>
  <c r="D15" i="64"/>
  <c r="G15" i="64"/>
  <c r="H16" i="60" l="1"/>
  <c r="J16" i="60"/>
  <c r="C18" i="60"/>
  <c r="E16" i="60"/>
  <c r="L16" i="60" s="1"/>
  <c r="M16" i="60" s="1"/>
  <c r="B32" i="60"/>
  <c r="K15" i="60"/>
  <c r="P15" i="60"/>
  <c r="Q15" i="60" s="1"/>
  <c r="L15" i="60"/>
  <c r="M15" i="60" s="1"/>
  <c r="J15" i="60"/>
  <c r="F15" i="64"/>
  <c r="H15" i="64" s="1"/>
  <c r="C16" i="64" s="1"/>
  <c r="E15" i="64"/>
  <c r="J15" i="64"/>
  <c r="K15" i="64"/>
  <c r="F16" i="60" l="1"/>
  <c r="K16" i="60"/>
  <c r="G16" i="60"/>
  <c r="I16" i="60" s="1"/>
  <c r="D17" i="60" s="1"/>
  <c r="P16" i="60"/>
  <c r="Q16" i="60" s="1"/>
  <c r="C19" i="60"/>
  <c r="B33" i="60"/>
  <c r="M15" i="64"/>
  <c r="L15" i="64"/>
  <c r="D16" i="64"/>
  <c r="K16" i="64" s="1"/>
  <c r="L16" i="64" s="1"/>
  <c r="I16" i="64"/>
  <c r="G16" i="64"/>
  <c r="J17" i="60" l="1"/>
  <c r="H17" i="60"/>
  <c r="E17" i="60"/>
  <c r="L17" i="60" s="1"/>
  <c r="M17" i="60" s="1"/>
  <c r="C20" i="60"/>
  <c r="B34" i="60"/>
  <c r="E16" i="64"/>
  <c r="F16" i="64"/>
  <c r="H16" i="64" s="1"/>
  <c r="C17" i="64" s="1"/>
  <c r="J16" i="64"/>
  <c r="C21" i="60" l="1"/>
  <c r="G17" i="60"/>
  <c r="I17" i="60" s="1"/>
  <c r="D18" i="60" s="1"/>
  <c r="K17" i="60"/>
  <c r="F17" i="60"/>
  <c r="P17" i="60"/>
  <c r="Q17" i="60" s="1"/>
  <c r="B35" i="60"/>
  <c r="D17" i="64"/>
  <c r="I17" i="64"/>
  <c r="G17" i="64"/>
  <c r="J18" i="60" l="1"/>
  <c r="H18" i="60"/>
  <c r="E18" i="60"/>
  <c r="C22" i="60"/>
  <c r="B36" i="60"/>
  <c r="J17" i="64"/>
  <c r="F17" i="64"/>
  <c r="H17" i="64" s="1"/>
  <c r="C18" i="64" s="1"/>
  <c r="E17" i="64"/>
  <c r="K17" i="64"/>
  <c r="L17" i="64" s="1"/>
  <c r="L18" i="60" l="1"/>
  <c r="M18" i="60" s="1"/>
  <c r="G18" i="60"/>
  <c r="I18" i="60" s="1"/>
  <c r="D19" i="60" s="1"/>
  <c r="K18" i="60"/>
  <c r="F18" i="60"/>
  <c r="P18" i="60"/>
  <c r="Q18" i="60" s="1"/>
  <c r="C23" i="60"/>
  <c r="B37" i="60"/>
  <c r="D18" i="64"/>
  <c r="I18" i="64"/>
  <c r="G18" i="64"/>
  <c r="C24" i="60" l="1"/>
  <c r="H19" i="60"/>
  <c r="J19" i="60"/>
  <c r="E19" i="60"/>
  <c r="B38" i="60"/>
  <c r="E18" i="64"/>
  <c r="J18" i="64"/>
  <c r="F18" i="64"/>
  <c r="H18" i="64" s="1"/>
  <c r="C19" i="64" s="1"/>
  <c r="K18" i="64"/>
  <c r="L18" i="64" s="1"/>
  <c r="F19" i="60" l="1"/>
  <c r="P19" i="60"/>
  <c r="Q19" i="60" s="1"/>
  <c r="G19" i="60"/>
  <c r="I19" i="60" s="1"/>
  <c r="D20" i="60" s="1"/>
  <c r="K19" i="60"/>
  <c r="L19" i="60"/>
  <c r="M19" i="60" s="1"/>
  <c r="C25" i="60"/>
  <c r="B39" i="60"/>
  <c r="G19" i="64"/>
  <c r="D19" i="64"/>
  <c r="K19" i="64" s="1"/>
  <c r="L19" i="64" s="1"/>
  <c r="I19" i="64"/>
  <c r="H20" i="60" l="1"/>
  <c r="J20" i="60"/>
  <c r="E20" i="60"/>
  <c r="L20" i="60" s="1"/>
  <c r="M20" i="60" s="1"/>
  <c r="C26" i="60"/>
  <c r="B40" i="60"/>
  <c r="J19" i="64"/>
  <c r="E19" i="64"/>
  <c r="F19" i="64"/>
  <c r="H19" i="64" s="1"/>
  <c r="C20" i="64" s="1"/>
  <c r="C27" i="60" l="1"/>
  <c r="P20" i="60"/>
  <c r="Q20" i="60" s="1"/>
  <c r="G20" i="60"/>
  <c r="I20" i="60" s="1"/>
  <c r="D21" i="60" s="1"/>
  <c r="K20" i="60"/>
  <c r="F20" i="60"/>
  <c r="B41" i="60"/>
  <c r="G20" i="64"/>
  <c r="D20" i="64"/>
  <c r="K20" i="64" s="1"/>
  <c r="L20" i="64" s="1"/>
  <c r="I20" i="64"/>
  <c r="C28" i="60" l="1"/>
  <c r="H21" i="60"/>
  <c r="J21" i="60"/>
  <c r="E21" i="60"/>
  <c r="B42" i="60"/>
  <c r="J20" i="64"/>
  <c r="E20" i="64"/>
  <c r="F20" i="64"/>
  <c r="H20" i="64" s="1"/>
  <c r="C21" i="64" s="1"/>
  <c r="F21" i="60" l="1"/>
  <c r="P21" i="60"/>
  <c r="Q21" i="60" s="1"/>
  <c r="G21" i="60"/>
  <c r="I21" i="60" s="1"/>
  <c r="D22" i="60" s="1"/>
  <c r="K21" i="60"/>
  <c r="C29" i="60"/>
  <c r="L21" i="60"/>
  <c r="M21" i="60" s="1"/>
  <c r="B43" i="60"/>
  <c r="G21" i="64"/>
  <c r="I21" i="64"/>
  <c r="D21" i="64"/>
  <c r="K21" i="64" s="1"/>
  <c r="L21" i="64" s="1"/>
  <c r="J22" i="60" l="1"/>
  <c r="H22" i="60"/>
  <c r="E22" i="60"/>
  <c r="C30" i="60"/>
  <c r="B44" i="60"/>
  <c r="E21" i="64"/>
  <c r="J21" i="64"/>
  <c r="F21" i="64"/>
  <c r="H21" i="64" s="1"/>
  <c r="C22" i="64" s="1"/>
  <c r="F22" i="60" l="1"/>
  <c r="P22" i="60"/>
  <c r="Q22" i="60" s="1"/>
  <c r="G22" i="60"/>
  <c r="I22" i="60" s="1"/>
  <c r="D23" i="60" s="1"/>
  <c r="K22" i="60"/>
  <c r="L22" i="60"/>
  <c r="M22" i="60" s="1"/>
  <c r="C31" i="60"/>
  <c r="B45" i="60"/>
  <c r="D22" i="64"/>
  <c r="K22" i="64" s="1"/>
  <c r="L22" i="64" s="1"/>
  <c r="I22" i="64"/>
  <c r="G22" i="64"/>
  <c r="H23" i="60" l="1"/>
  <c r="J23" i="60"/>
  <c r="E23" i="60"/>
  <c r="L23" i="60" s="1"/>
  <c r="M23" i="60" s="1"/>
  <c r="C32" i="60"/>
  <c r="C33" i="60" s="1"/>
  <c r="C34" i="60" s="1"/>
  <c r="C35" i="60" s="1"/>
  <c r="C36" i="60" s="1"/>
  <c r="C37" i="60" s="1"/>
  <c r="C38" i="60" s="1"/>
  <c r="C39" i="60" s="1"/>
  <c r="C40" i="60" s="1"/>
  <c r="C41" i="60" s="1"/>
  <c r="C42" i="60" s="1"/>
  <c r="C43" i="60" s="1"/>
  <c r="C44" i="60" s="1"/>
  <c r="B46" i="60"/>
  <c r="J22" i="64"/>
  <c r="E22" i="64"/>
  <c r="F22" i="64"/>
  <c r="H22" i="64" s="1"/>
  <c r="C23" i="64" s="1"/>
  <c r="K23" i="60" l="1"/>
  <c r="F23" i="60"/>
  <c r="P23" i="60"/>
  <c r="Q23" i="60" s="1"/>
  <c r="G23" i="60"/>
  <c r="I23" i="60" s="1"/>
  <c r="D24" i="60" s="1"/>
  <c r="B47" i="60"/>
  <c r="C45" i="60"/>
  <c r="D23" i="64"/>
  <c r="K23" i="64" s="1"/>
  <c r="L23" i="64" s="1"/>
  <c r="G23" i="64"/>
  <c r="I23" i="64"/>
  <c r="J24" i="60" l="1"/>
  <c r="H24" i="60"/>
  <c r="E24" i="60"/>
  <c r="L24" i="60" s="1"/>
  <c r="M24" i="60" s="1"/>
  <c r="C46" i="60"/>
  <c r="B48" i="60"/>
  <c r="E23" i="64"/>
  <c r="J23" i="64"/>
  <c r="F23" i="64"/>
  <c r="H23" i="64" s="1"/>
  <c r="C24" i="64" s="1"/>
  <c r="K24" i="60" l="1"/>
  <c r="F24" i="60"/>
  <c r="P24" i="60"/>
  <c r="Q24" i="60" s="1"/>
  <c r="G24" i="60"/>
  <c r="I24" i="60" s="1"/>
  <c r="D25" i="60" s="1"/>
  <c r="C47" i="60"/>
  <c r="B49" i="60"/>
  <c r="G24" i="64"/>
  <c r="I24" i="64"/>
  <c r="D24" i="64"/>
  <c r="J25" i="60" l="1"/>
  <c r="H25" i="60"/>
  <c r="E25" i="60"/>
  <c r="B50" i="60"/>
  <c r="C48" i="60"/>
  <c r="J24" i="64"/>
  <c r="F24" i="64"/>
  <c r="H24" i="64" s="1"/>
  <c r="C25" i="64" s="1"/>
  <c r="E24" i="64"/>
  <c r="K24" i="64"/>
  <c r="L24" i="64" s="1"/>
  <c r="L25" i="60" l="1"/>
  <c r="M25" i="60" s="1"/>
  <c r="P25" i="60"/>
  <c r="Q25" i="60" s="1"/>
  <c r="G25" i="60"/>
  <c r="I25" i="60" s="1"/>
  <c r="D26" i="60" s="1"/>
  <c r="K25" i="60"/>
  <c r="F25" i="60"/>
  <c r="C49" i="60"/>
  <c r="B51" i="60"/>
  <c r="D25" i="64"/>
  <c r="I25" i="64"/>
  <c r="G25" i="64"/>
  <c r="J26" i="60" l="1"/>
  <c r="H26" i="60"/>
  <c r="E26" i="60"/>
  <c r="L26" i="60" s="1"/>
  <c r="M26" i="60" s="1"/>
  <c r="B52" i="60"/>
  <c r="C50" i="60"/>
  <c r="F25" i="64"/>
  <c r="H25" i="64" s="1"/>
  <c r="C26" i="64" s="1"/>
  <c r="E25" i="64"/>
  <c r="J25" i="64"/>
  <c r="K25" i="64"/>
  <c r="L25" i="64" s="1"/>
  <c r="P26" i="60" l="1"/>
  <c r="Q26" i="60" s="1"/>
  <c r="G26" i="60"/>
  <c r="I26" i="60" s="1"/>
  <c r="D27" i="60" s="1"/>
  <c r="K26" i="60"/>
  <c r="F26" i="60"/>
  <c r="C51" i="60"/>
  <c r="B53" i="60"/>
  <c r="I26" i="64"/>
  <c r="G26" i="64"/>
  <c r="D26" i="64"/>
  <c r="K26" i="64" s="1"/>
  <c r="L26" i="64" s="1"/>
  <c r="H27" i="60" l="1"/>
  <c r="J27" i="60"/>
  <c r="E27" i="60"/>
  <c r="B54" i="60"/>
  <c r="C52" i="60"/>
  <c r="F26" i="64"/>
  <c r="H26" i="64" s="1"/>
  <c r="C27" i="64" s="1"/>
  <c r="J26" i="64"/>
  <c r="E26" i="64"/>
  <c r="K27" i="60" l="1"/>
  <c r="F27" i="60"/>
  <c r="P27" i="60"/>
  <c r="Q27" i="60" s="1"/>
  <c r="G27" i="60"/>
  <c r="I27" i="60" s="1"/>
  <c r="D28" i="60" s="1"/>
  <c r="L27" i="60"/>
  <c r="M27" i="60" s="1"/>
  <c r="B55" i="60"/>
  <c r="C53" i="60"/>
  <c r="D27" i="64"/>
  <c r="K27" i="64" s="1"/>
  <c r="L27" i="64" s="1"/>
  <c r="G27" i="64"/>
  <c r="I27" i="64"/>
  <c r="J28" i="60" l="1"/>
  <c r="H28" i="60"/>
  <c r="E28" i="60"/>
  <c r="C54" i="60"/>
  <c r="B56" i="60"/>
  <c r="J27" i="64"/>
  <c r="E27" i="64"/>
  <c r="F27" i="64"/>
  <c r="H27" i="64" s="1"/>
  <c r="C28" i="64" s="1"/>
  <c r="K28" i="60" l="1"/>
  <c r="F28" i="60"/>
  <c r="P28" i="60"/>
  <c r="Q28" i="60" s="1"/>
  <c r="G28" i="60"/>
  <c r="I28" i="60" s="1"/>
  <c r="D29" i="60" s="1"/>
  <c r="L28" i="60"/>
  <c r="M28" i="60" s="1"/>
  <c r="B57" i="60"/>
  <c r="C55" i="60"/>
  <c r="D28" i="64"/>
  <c r="G28" i="64"/>
  <c r="I28" i="64"/>
  <c r="H29" i="60" l="1"/>
  <c r="J29" i="60"/>
  <c r="E29" i="60"/>
  <c r="C56" i="60"/>
  <c r="B58" i="60"/>
  <c r="F28" i="64"/>
  <c r="H28" i="64" s="1"/>
  <c r="C29" i="64" s="1"/>
  <c r="E28" i="64"/>
  <c r="J28" i="64"/>
  <c r="K28" i="64"/>
  <c r="L28" i="64" s="1"/>
  <c r="L29" i="60" l="1"/>
  <c r="M29" i="60" s="1"/>
  <c r="F29" i="60"/>
  <c r="P29" i="60"/>
  <c r="Q29" i="60" s="1"/>
  <c r="K29" i="60"/>
  <c r="G29" i="60"/>
  <c r="I29" i="60" s="1"/>
  <c r="D30" i="60" s="1"/>
  <c r="B59" i="60"/>
  <c r="C57" i="60"/>
  <c r="D29" i="64"/>
  <c r="K29" i="64" s="1"/>
  <c r="L29" i="64" s="1"/>
  <c r="G29" i="64"/>
  <c r="I29" i="64"/>
  <c r="J30" i="60" l="1"/>
  <c r="H30" i="60"/>
  <c r="E30" i="60"/>
  <c r="C58" i="60"/>
  <c r="B60" i="60"/>
  <c r="F29" i="64"/>
  <c r="H29" i="64" s="1"/>
  <c r="C30" i="64" s="1"/>
  <c r="E29" i="64"/>
  <c r="J29" i="64"/>
  <c r="F30" i="60" l="1"/>
  <c r="P30" i="60"/>
  <c r="Q30" i="60" s="1"/>
  <c r="G30" i="60"/>
  <c r="I30" i="60" s="1"/>
  <c r="D31" i="60" s="1"/>
  <c r="K30" i="60"/>
  <c r="L30" i="60"/>
  <c r="M30" i="60" s="1"/>
  <c r="C59" i="60"/>
  <c r="B61" i="60"/>
  <c r="G30" i="64"/>
  <c r="D30" i="64"/>
  <c r="K30" i="64" s="1"/>
  <c r="L30" i="64" s="1"/>
  <c r="I30" i="64"/>
  <c r="H31" i="60" l="1"/>
  <c r="J31" i="60"/>
  <c r="E31" i="60"/>
  <c r="B62" i="60"/>
  <c r="C60" i="60"/>
  <c r="E30" i="64"/>
  <c r="F30" i="64"/>
  <c r="H30" i="64" s="1"/>
  <c r="C31" i="64" s="1"/>
  <c r="J30" i="64"/>
  <c r="L31" i="60" l="1"/>
  <c r="M31" i="60" s="1"/>
  <c r="F31" i="60"/>
  <c r="P31" i="60"/>
  <c r="Q31" i="60" s="1"/>
  <c r="G31" i="60"/>
  <c r="I31" i="60" s="1"/>
  <c r="D32" i="60" s="1"/>
  <c r="K31" i="60"/>
  <c r="C61" i="60"/>
  <c r="B63" i="60"/>
  <c r="G31" i="64"/>
  <c r="D31" i="64"/>
  <c r="K31" i="64" s="1"/>
  <c r="L31" i="64" s="1"/>
  <c r="I31" i="64"/>
  <c r="J32" i="60" l="1"/>
  <c r="H32" i="60"/>
  <c r="E32" i="60"/>
  <c r="L32" i="60" s="1"/>
  <c r="M32" i="60" s="1"/>
  <c r="B64" i="60"/>
  <c r="C62" i="60"/>
  <c r="J31" i="64"/>
  <c r="F31" i="64"/>
  <c r="H31" i="64" s="1"/>
  <c r="C32" i="64" s="1"/>
  <c r="E31" i="64"/>
  <c r="G32" i="60" l="1"/>
  <c r="I32" i="60" s="1"/>
  <c r="D33" i="60" s="1"/>
  <c r="K32" i="60"/>
  <c r="F32" i="60"/>
  <c r="P32" i="60"/>
  <c r="Q32" i="60" s="1"/>
  <c r="B65" i="60"/>
  <c r="C63" i="60"/>
  <c r="G32" i="64"/>
  <c r="I32" i="64"/>
  <c r="D32" i="64"/>
  <c r="J33" i="60" l="1"/>
  <c r="E33" i="60"/>
  <c r="H33" i="60"/>
  <c r="C64" i="60"/>
  <c r="B66" i="60"/>
  <c r="J32" i="64"/>
  <c r="E32" i="64"/>
  <c r="F32" i="64"/>
  <c r="H32" i="64" s="1"/>
  <c r="C33" i="64" s="1"/>
  <c r="K32" i="64"/>
  <c r="L32" i="64" s="1"/>
  <c r="L33" i="60" l="1"/>
  <c r="M33" i="60" s="1"/>
  <c r="F33" i="60"/>
  <c r="P33" i="60"/>
  <c r="Q33" i="60" s="1"/>
  <c r="K33" i="60"/>
  <c r="G33" i="60"/>
  <c r="I33" i="60" s="1"/>
  <c r="D34" i="60" s="1"/>
  <c r="B67" i="60"/>
  <c r="C65" i="60"/>
  <c r="G33" i="64"/>
  <c r="I33" i="64"/>
  <c r="D33" i="64"/>
  <c r="H34" i="60" l="1"/>
  <c r="E34" i="60"/>
  <c r="L34" i="60" s="1"/>
  <c r="M34" i="60" s="1"/>
  <c r="J34" i="60"/>
  <c r="C66" i="60"/>
  <c r="B68" i="60"/>
  <c r="F33" i="64"/>
  <c r="H33" i="64" s="1"/>
  <c r="C34" i="64" s="1"/>
  <c r="E33" i="64"/>
  <c r="J33" i="64"/>
  <c r="K33" i="64"/>
  <c r="L33" i="64" s="1"/>
  <c r="P34" i="60" l="1"/>
  <c r="Q34" i="60" s="1"/>
  <c r="K34" i="60"/>
  <c r="G34" i="60"/>
  <c r="I34" i="60" s="1"/>
  <c r="D35" i="60" s="1"/>
  <c r="F34" i="60"/>
  <c r="B69" i="60"/>
  <c r="C67" i="60"/>
  <c r="G34" i="64"/>
  <c r="D34" i="64"/>
  <c r="I34" i="64"/>
  <c r="H35" i="60" l="1"/>
  <c r="J35" i="60"/>
  <c r="E35" i="60"/>
  <c r="C68" i="60"/>
  <c r="B70" i="60"/>
  <c r="J34" i="64"/>
  <c r="F34" i="64"/>
  <c r="H34" i="64" s="1"/>
  <c r="C35" i="64" s="1"/>
  <c r="E34" i="64"/>
  <c r="K34" i="64"/>
  <c r="L34" i="64" s="1"/>
  <c r="L35" i="60" l="1"/>
  <c r="M35" i="60" s="1"/>
  <c r="K35" i="60"/>
  <c r="F35" i="60"/>
  <c r="P35" i="60"/>
  <c r="Q35" i="60" s="1"/>
  <c r="G35" i="60"/>
  <c r="I35" i="60" s="1"/>
  <c r="D36" i="60" s="1"/>
  <c r="B71" i="60"/>
  <c r="C69" i="60"/>
  <c r="G35" i="64"/>
  <c r="D35" i="64"/>
  <c r="I35" i="64"/>
  <c r="H36" i="60" l="1"/>
  <c r="E36" i="60"/>
  <c r="L36" i="60" s="1"/>
  <c r="M36" i="60" s="1"/>
  <c r="J36" i="60"/>
  <c r="C70" i="60"/>
  <c r="B72" i="60"/>
  <c r="J35" i="64"/>
  <c r="E35" i="64"/>
  <c r="F35" i="64"/>
  <c r="H35" i="64" s="1"/>
  <c r="C36" i="64" s="1"/>
  <c r="K35" i="64"/>
  <c r="L35" i="64" s="1"/>
  <c r="G36" i="60" l="1"/>
  <c r="I36" i="60" s="1"/>
  <c r="D37" i="60" s="1"/>
  <c r="P36" i="60"/>
  <c r="Q36" i="60" s="1"/>
  <c r="K36" i="60"/>
  <c r="F36" i="60"/>
  <c r="B73" i="60"/>
  <c r="C71" i="60"/>
  <c r="I36" i="64"/>
  <c r="G36" i="64"/>
  <c r="D36" i="64"/>
  <c r="H37" i="60" l="1"/>
  <c r="E37" i="60"/>
  <c r="L37" i="60" s="1"/>
  <c r="M37" i="60" s="1"/>
  <c r="J37" i="60"/>
  <c r="C72" i="60"/>
  <c r="B74" i="60"/>
  <c r="J36" i="64"/>
  <c r="E36" i="64"/>
  <c r="F36" i="64"/>
  <c r="H36" i="64" s="1"/>
  <c r="C37" i="64" s="1"/>
  <c r="K36" i="64"/>
  <c r="L36" i="64" s="1"/>
  <c r="F37" i="60" l="1"/>
  <c r="P37" i="60"/>
  <c r="Q37" i="60" s="1"/>
  <c r="K37" i="60"/>
  <c r="G37" i="60"/>
  <c r="I37" i="60" s="1"/>
  <c r="D38" i="60" s="1"/>
  <c r="B75" i="60"/>
  <c r="C73" i="60"/>
  <c r="D37" i="64"/>
  <c r="K37" i="64" s="1"/>
  <c r="L37" i="64" s="1"/>
  <c r="I37" i="64"/>
  <c r="G37" i="64"/>
  <c r="E38" i="60" l="1"/>
  <c r="L38" i="60" s="1"/>
  <c r="M38" i="60" s="1"/>
  <c r="H38" i="60"/>
  <c r="J38" i="60"/>
  <c r="C74" i="60"/>
  <c r="B76" i="60"/>
  <c r="J37" i="64"/>
  <c r="F37" i="64"/>
  <c r="H37" i="64" s="1"/>
  <c r="C38" i="64" s="1"/>
  <c r="E37" i="64"/>
  <c r="F38" i="60" l="1"/>
  <c r="P38" i="60"/>
  <c r="Q38" i="60" s="1"/>
  <c r="G38" i="60"/>
  <c r="I38" i="60" s="1"/>
  <c r="D39" i="60" s="1"/>
  <c r="K38" i="60"/>
  <c r="B77" i="60"/>
  <c r="C75" i="60"/>
  <c r="G38" i="64"/>
  <c r="I38" i="64"/>
  <c r="D38" i="64"/>
  <c r="K38" i="64" s="1"/>
  <c r="L38" i="64" s="1"/>
  <c r="J39" i="60" l="1"/>
  <c r="E39" i="60"/>
  <c r="H39" i="60"/>
  <c r="C76" i="60"/>
  <c r="B78" i="60"/>
  <c r="E38" i="64"/>
  <c r="J38" i="64"/>
  <c r="F38" i="64"/>
  <c r="H38" i="64" s="1"/>
  <c r="C39" i="64" s="1"/>
  <c r="L39" i="60" l="1"/>
  <c r="M39" i="60" s="1"/>
  <c r="F39" i="60"/>
  <c r="P39" i="60"/>
  <c r="Q39" i="60" s="1"/>
  <c r="G39" i="60"/>
  <c r="I39" i="60" s="1"/>
  <c r="D40" i="60" s="1"/>
  <c r="K39" i="60"/>
  <c r="B79" i="60"/>
  <c r="C77" i="60"/>
  <c r="G39" i="64"/>
  <c r="D39" i="64"/>
  <c r="K39" i="64" s="1"/>
  <c r="L39" i="64" s="1"/>
  <c r="I39" i="64"/>
  <c r="J40" i="60" l="1"/>
  <c r="H40" i="60"/>
  <c r="E40" i="60"/>
  <c r="C78" i="60"/>
  <c r="B80" i="60"/>
  <c r="F39" i="64"/>
  <c r="H39" i="64" s="1"/>
  <c r="C40" i="64" s="1"/>
  <c r="J39" i="64"/>
  <c r="E39" i="64"/>
  <c r="F40" i="60" l="1"/>
  <c r="P40" i="60"/>
  <c r="Q40" i="60" s="1"/>
  <c r="K40" i="60"/>
  <c r="G40" i="60"/>
  <c r="I40" i="60" s="1"/>
  <c r="D41" i="60" s="1"/>
  <c r="L40" i="60"/>
  <c r="M40" i="60" s="1"/>
  <c r="B81" i="60"/>
  <c r="C79" i="60"/>
  <c r="D40" i="64"/>
  <c r="K40" i="64" s="1"/>
  <c r="L40" i="64" s="1"/>
  <c r="G40" i="64"/>
  <c r="I40" i="64"/>
  <c r="E41" i="60" l="1"/>
  <c r="J41" i="60"/>
  <c r="H41" i="60"/>
  <c r="C80" i="60"/>
  <c r="B82" i="60"/>
  <c r="J40" i="64"/>
  <c r="E40" i="64"/>
  <c r="F40" i="64"/>
  <c r="H40" i="64" s="1"/>
  <c r="C41" i="64" s="1"/>
  <c r="L41" i="60" l="1"/>
  <c r="M41" i="60" s="1"/>
  <c r="G41" i="60"/>
  <c r="I41" i="60" s="1"/>
  <c r="D42" i="60" s="1"/>
  <c r="K41" i="60"/>
  <c r="F41" i="60"/>
  <c r="P41" i="60"/>
  <c r="Q41" i="60" s="1"/>
  <c r="B83" i="60"/>
  <c r="C81" i="60"/>
  <c r="D41" i="64"/>
  <c r="K41" i="64" s="1"/>
  <c r="L41" i="64" s="1"/>
  <c r="G41" i="64"/>
  <c r="I41" i="64"/>
  <c r="E42" i="60" l="1"/>
  <c r="L42" i="60" s="1"/>
  <c r="M42" i="60" s="1"/>
  <c r="H42" i="60"/>
  <c r="J42" i="60"/>
  <c r="B84" i="60"/>
  <c r="C82" i="60"/>
  <c r="E41" i="64"/>
  <c r="J41" i="64"/>
  <c r="F41" i="64"/>
  <c r="H41" i="64" s="1"/>
  <c r="C42" i="64" s="1"/>
  <c r="P42" i="60" l="1"/>
  <c r="Q42" i="60" s="1"/>
  <c r="K42" i="60"/>
  <c r="G42" i="60"/>
  <c r="I42" i="60" s="1"/>
  <c r="D43" i="60" s="1"/>
  <c r="F42" i="60"/>
  <c r="B85" i="60"/>
  <c r="C83" i="60"/>
  <c r="I42" i="64"/>
  <c r="G42" i="64"/>
  <c r="D42" i="64"/>
  <c r="J43" i="60" l="1"/>
  <c r="H43" i="60"/>
  <c r="E43" i="60"/>
  <c r="L43" i="60" s="1"/>
  <c r="M43" i="60" s="1"/>
  <c r="C84" i="60"/>
  <c r="B86" i="60"/>
  <c r="E42" i="64"/>
  <c r="J42" i="64"/>
  <c r="F42" i="64"/>
  <c r="H42" i="64" s="1"/>
  <c r="C43" i="64" s="1"/>
  <c r="K42" i="64"/>
  <c r="L42" i="64" s="1"/>
  <c r="K43" i="60" l="1"/>
  <c r="G43" i="60"/>
  <c r="I43" i="60" s="1"/>
  <c r="D44" i="60" s="1"/>
  <c r="F43" i="60"/>
  <c r="P43" i="60"/>
  <c r="Q43" i="60" s="1"/>
  <c r="B87" i="60"/>
  <c r="C85" i="60"/>
  <c r="G43" i="64"/>
  <c r="I43" i="64"/>
  <c r="D43" i="64"/>
  <c r="K43" i="64" s="1"/>
  <c r="L43" i="64" s="1"/>
  <c r="E44" i="60" l="1"/>
  <c r="L44" i="60" s="1"/>
  <c r="M44" i="60" s="1"/>
  <c r="H44" i="60"/>
  <c r="J44" i="60"/>
  <c r="C86" i="60"/>
  <c r="B88" i="60"/>
  <c r="J43" i="64"/>
  <c r="E43" i="64"/>
  <c r="F43" i="64"/>
  <c r="H43" i="64" s="1"/>
  <c r="C44" i="64" s="1"/>
  <c r="F44" i="60" l="1"/>
  <c r="G44" i="60"/>
  <c r="I44" i="60" s="1"/>
  <c r="D45" i="60" s="1"/>
  <c r="P44" i="60"/>
  <c r="Q44" i="60" s="1"/>
  <c r="K44" i="60"/>
  <c r="B89" i="60"/>
  <c r="C87" i="60"/>
  <c r="I44" i="64"/>
  <c r="G44" i="64"/>
  <c r="D44" i="64"/>
  <c r="H45" i="60" l="1"/>
  <c r="E45" i="60"/>
  <c r="L45" i="60" s="1"/>
  <c r="M45" i="60" s="1"/>
  <c r="J45" i="60"/>
  <c r="C88" i="60"/>
  <c r="B90" i="60"/>
  <c r="F44" i="64"/>
  <c r="H44" i="64" s="1"/>
  <c r="C45" i="64" s="1"/>
  <c r="J44" i="64"/>
  <c r="E44" i="64"/>
  <c r="K44" i="64"/>
  <c r="L44" i="64" s="1"/>
  <c r="G45" i="60" l="1"/>
  <c r="I45" i="60" s="1"/>
  <c r="D46" i="60" s="1"/>
  <c r="F45" i="60"/>
  <c r="P45" i="60"/>
  <c r="Q45" i="60" s="1"/>
  <c r="K45" i="60"/>
  <c r="C89" i="60"/>
  <c r="B91" i="60"/>
  <c r="I45" i="64"/>
  <c r="D45" i="64"/>
  <c r="G45" i="64"/>
  <c r="H46" i="60" l="1"/>
  <c r="J46" i="60"/>
  <c r="E46" i="60"/>
  <c r="B92" i="60"/>
  <c r="C90" i="60"/>
  <c r="E45" i="64"/>
  <c r="J45" i="64"/>
  <c r="F45" i="64"/>
  <c r="H45" i="64" s="1"/>
  <c r="C46" i="64" s="1"/>
  <c r="K45" i="64"/>
  <c r="L45" i="64" s="1"/>
  <c r="L46" i="60" l="1"/>
  <c r="M46" i="60" s="1"/>
  <c r="G46" i="60"/>
  <c r="I46" i="60" s="1"/>
  <c r="D47" i="60" s="1"/>
  <c r="F46" i="60"/>
  <c r="P46" i="60"/>
  <c r="Q46" i="60" s="1"/>
  <c r="K46" i="60"/>
  <c r="B93" i="60"/>
  <c r="C91" i="60"/>
  <c r="D46" i="64"/>
  <c r="K46" i="64" s="1"/>
  <c r="L46" i="64" s="1"/>
  <c r="I46" i="64"/>
  <c r="G46" i="64"/>
  <c r="E47" i="60" l="1"/>
  <c r="L47" i="60" s="1"/>
  <c r="M47" i="60" s="1"/>
  <c r="J47" i="60"/>
  <c r="H47" i="60"/>
  <c r="C92" i="60"/>
  <c r="B94" i="60"/>
  <c r="F46" i="64"/>
  <c r="H46" i="64" s="1"/>
  <c r="C47" i="64" s="1"/>
  <c r="J46" i="64"/>
  <c r="E46" i="64"/>
  <c r="K47" i="60" l="1"/>
  <c r="P47" i="60"/>
  <c r="Q47" i="60" s="1"/>
  <c r="F47" i="60"/>
  <c r="G47" i="60"/>
  <c r="I47" i="60" s="1"/>
  <c r="D48" i="60" s="1"/>
  <c r="C93" i="60"/>
  <c r="B95" i="60"/>
  <c r="D47" i="64"/>
  <c r="G47" i="64"/>
  <c r="I47" i="64"/>
  <c r="H48" i="60" l="1"/>
  <c r="J48" i="60"/>
  <c r="E48" i="60"/>
  <c r="B96" i="60"/>
  <c r="C94" i="60"/>
  <c r="E47" i="64"/>
  <c r="J47" i="64"/>
  <c r="F47" i="64"/>
  <c r="H47" i="64" s="1"/>
  <c r="C48" i="64" s="1"/>
  <c r="K47" i="64"/>
  <c r="L47" i="64" s="1"/>
  <c r="L48" i="60" l="1"/>
  <c r="M48" i="60" s="1"/>
  <c r="K48" i="60"/>
  <c r="F48" i="60"/>
  <c r="G48" i="60"/>
  <c r="I48" i="60" s="1"/>
  <c r="D49" i="60" s="1"/>
  <c r="P48" i="60"/>
  <c r="Q48" i="60" s="1"/>
  <c r="B97" i="60"/>
  <c r="C95" i="60"/>
  <c r="I48" i="64"/>
  <c r="D48" i="64"/>
  <c r="G48" i="64"/>
  <c r="J49" i="60" l="1"/>
  <c r="H49" i="60"/>
  <c r="E49" i="60"/>
  <c r="L49" i="60" s="1"/>
  <c r="M49" i="60" s="1"/>
  <c r="C96" i="60"/>
  <c r="B98" i="60"/>
  <c r="E48" i="64"/>
  <c r="J48" i="64"/>
  <c r="F48" i="64"/>
  <c r="H48" i="64" s="1"/>
  <c r="C49" i="64" s="1"/>
  <c r="K48" i="64"/>
  <c r="L48" i="64" s="1"/>
  <c r="G49" i="60" l="1"/>
  <c r="I49" i="60" s="1"/>
  <c r="D50" i="60" s="1"/>
  <c r="F49" i="60"/>
  <c r="K49" i="60"/>
  <c r="P49" i="60"/>
  <c r="Q49" i="60" s="1"/>
  <c r="C97" i="60"/>
  <c r="B99" i="60"/>
  <c r="I49" i="64"/>
  <c r="G49" i="64"/>
  <c r="D49" i="64"/>
  <c r="K49" i="64" s="1"/>
  <c r="L49" i="64" s="1"/>
  <c r="H50" i="60" l="1"/>
  <c r="E50" i="60"/>
  <c r="L50" i="60" s="1"/>
  <c r="M50" i="60" s="1"/>
  <c r="J50" i="60"/>
  <c r="B100" i="60"/>
  <c r="C98" i="60"/>
  <c r="J49" i="64"/>
  <c r="F49" i="64"/>
  <c r="H49" i="64" s="1"/>
  <c r="C50" i="64" s="1"/>
  <c r="E49" i="64"/>
  <c r="F50" i="60" l="1"/>
  <c r="P50" i="60"/>
  <c r="Q50" i="60" s="1"/>
  <c r="G50" i="60"/>
  <c r="I50" i="60" s="1"/>
  <c r="D51" i="60" s="1"/>
  <c r="K50" i="60"/>
  <c r="C99" i="60"/>
  <c r="B101" i="60"/>
  <c r="G50" i="64"/>
  <c r="I50" i="64"/>
  <c r="D50" i="64"/>
  <c r="J51" i="60" l="1"/>
  <c r="E51" i="60"/>
  <c r="L51" i="60" s="1"/>
  <c r="M51" i="60" s="1"/>
  <c r="H51" i="60"/>
  <c r="B102" i="60"/>
  <c r="C100" i="60"/>
  <c r="F50" i="64"/>
  <c r="H50" i="64" s="1"/>
  <c r="C51" i="64" s="1"/>
  <c r="J50" i="64"/>
  <c r="E50" i="64"/>
  <c r="K50" i="64"/>
  <c r="L50" i="64" s="1"/>
  <c r="F51" i="60" l="1"/>
  <c r="G51" i="60"/>
  <c r="I51" i="60" s="1"/>
  <c r="D52" i="60" s="1"/>
  <c r="P51" i="60"/>
  <c r="Q51" i="60" s="1"/>
  <c r="K51" i="60"/>
  <c r="C101" i="60"/>
  <c r="B103" i="60"/>
  <c r="I51" i="64"/>
  <c r="D51" i="64"/>
  <c r="K51" i="64" s="1"/>
  <c r="L51" i="64" s="1"/>
  <c r="G51" i="64"/>
  <c r="H52" i="60" l="1"/>
  <c r="J52" i="60"/>
  <c r="E52" i="60"/>
  <c r="B104" i="60"/>
  <c r="C102" i="60"/>
  <c r="F51" i="64"/>
  <c r="H51" i="64" s="1"/>
  <c r="C52" i="64" s="1"/>
  <c r="E51" i="64"/>
  <c r="J51" i="64"/>
  <c r="L52" i="60" l="1"/>
  <c r="M52" i="60" s="1"/>
  <c r="G52" i="60"/>
  <c r="I52" i="60" s="1"/>
  <c r="D53" i="60" s="1"/>
  <c r="F52" i="60"/>
  <c r="K52" i="60"/>
  <c r="P52" i="60"/>
  <c r="Q52" i="60" s="1"/>
  <c r="C103" i="60"/>
  <c r="B105" i="60"/>
  <c r="G52" i="64"/>
  <c r="I52" i="64"/>
  <c r="D52" i="64"/>
  <c r="J53" i="60" l="1"/>
  <c r="H53" i="60"/>
  <c r="E53" i="60"/>
  <c r="B106" i="60"/>
  <c r="C104" i="60"/>
  <c r="E52" i="64"/>
  <c r="J52" i="64"/>
  <c r="F52" i="64"/>
  <c r="H52" i="64" s="1"/>
  <c r="C53" i="64" s="1"/>
  <c r="K52" i="64"/>
  <c r="L52" i="64" s="1"/>
  <c r="G53" i="60" l="1"/>
  <c r="I53" i="60" s="1"/>
  <c r="D54" i="60" s="1"/>
  <c r="F53" i="60"/>
  <c r="P53" i="60"/>
  <c r="Q53" i="60" s="1"/>
  <c r="K53" i="60"/>
  <c r="L53" i="60"/>
  <c r="M53" i="60" s="1"/>
  <c r="C105" i="60"/>
  <c r="B107" i="60"/>
  <c r="G53" i="64"/>
  <c r="D53" i="64"/>
  <c r="I53" i="64"/>
  <c r="J54" i="60" l="1"/>
  <c r="E54" i="60"/>
  <c r="H54" i="60"/>
  <c r="B108" i="60"/>
  <c r="C106" i="60"/>
  <c r="E53" i="64"/>
  <c r="F53" i="64"/>
  <c r="H53" i="64" s="1"/>
  <c r="C54" i="64" s="1"/>
  <c r="J53" i="64"/>
  <c r="K53" i="64"/>
  <c r="L53" i="64" s="1"/>
  <c r="L54" i="60" l="1"/>
  <c r="M54" i="60" s="1"/>
  <c r="G54" i="60"/>
  <c r="I54" i="60" s="1"/>
  <c r="D55" i="60" s="1"/>
  <c r="F54" i="60"/>
  <c r="K54" i="60"/>
  <c r="P54" i="60"/>
  <c r="Q54" i="60" s="1"/>
  <c r="B109" i="60"/>
  <c r="C107" i="60"/>
  <c r="I54" i="64"/>
  <c r="D54" i="64"/>
  <c r="G54" i="64"/>
  <c r="H55" i="60" l="1"/>
  <c r="J55" i="60"/>
  <c r="E55" i="60"/>
  <c r="C108" i="60"/>
  <c r="B110" i="60"/>
  <c r="J54" i="64"/>
  <c r="E54" i="64"/>
  <c r="F54" i="64"/>
  <c r="H54" i="64" s="1"/>
  <c r="C55" i="64" s="1"/>
  <c r="K54" i="64"/>
  <c r="L54" i="64" s="1"/>
  <c r="K55" i="60" l="1"/>
  <c r="F55" i="60"/>
  <c r="P55" i="60"/>
  <c r="Q55" i="60" s="1"/>
  <c r="G55" i="60"/>
  <c r="I55" i="60" s="1"/>
  <c r="D56" i="60" s="1"/>
  <c r="L55" i="60"/>
  <c r="M55" i="60" s="1"/>
  <c r="C109" i="60"/>
  <c r="B111" i="60"/>
  <c r="D55" i="64"/>
  <c r="I55" i="64"/>
  <c r="G55" i="64"/>
  <c r="J56" i="60" l="1"/>
  <c r="E56" i="60"/>
  <c r="H56" i="60"/>
  <c r="B112" i="60"/>
  <c r="C110" i="60"/>
  <c r="J55" i="64"/>
  <c r="E55" i="64"/>
  <c r="F55" i="64"/>
  <c r="H55" i="64" s="1"/>
  <c r="C56" i="64" s="1"/>
  <c r="K55" i="64"/>
  <c r="L55" i="64" s="1"/>
  <c r="L56" i="60" l="1"/>
  <c r="M56" i="60" s="1"/>
  <c r="K56" i="60"/>
  <c r="G56" i="60"/>
  <c r="I56" i="60" s="1"/>
  <c r="D57" i="60" s="1"/>
  <c r="P56" i="60"/>
  <c r="Q56" i="60" s="1"/>
  <c r="F56" i="60"/>
  <c r="B113" i="60"/>
  <c r="C111" i="60"/>
  <c r="I56" i="64"/>
  <c r="D56" i="64"/>
  <c r="K56" i="64" s="1"/>
  <c r="L56" i="64" s="1"/>
  <c r="G56" i="64"/>
  <c r="E57" i="60" l="1"/>
  <c r="L57" i="60" s="1"/>
  <c r="M57" i="60" s="1"/>
  <c r="J57" i="60"/>
  <c r="H57" i="60"/>
  <c r="C112" i="60"/>
  <c r="B114" i="60"/>
  <c r="F56" i="64"/>
  <c r="H56" i="64" s="1"/>
  <c r="C57" i="64" s="1"/>
  <c r="E56" i="64"/>
  <c r="J56" i="64"/>
  <c r="F57" i="60" l="1"/>
  <c r="P57" i="60"/>
  <c r="Q57" i="60" s="1"/>
  <c r="K57" i="60"/>
  <c r="G57" i="60"/>
  <c r="I57" i="60" s="1"/>
  <c r="D58" i="60" s="1"/>
  <c r="B115" i="60"/>
  <c r="C113" i="60"/>
  <c r="I57" i="64"/>
  <c r="G57" i="64"/>
  <c r="D57" i="64"/>
  <c r="J58" i="60" l="1"/>
  <c r="H58" i="60"/>
  <c r="E58" i="60"/>
  <c r="C114" i="60"/>
  <c r="B116" i="60"/>
  <c r="F57" i="64"/>
  <c r="H57" i="64" s="1"/>
  <c r="C58" i="64" s="1"/>
  <c r="E57" i="64"/>
  <c r="J57" i="64"/>
  <c r="K57" i="64"/>
  <c r="L57" i="64" s="1"/>
  <c r="L58" i="60" l="1"/>
  <c r="M58" i="60" s="1"/>
  <c r="K58" i="60"/>
  <c r="F58" i="60"/>
  <c r="P58" i="60"/>
  <c r="Q58" i="60" s="1"/>
  <c r="G58" i="60"/>
  <c r="I58" i="60" s="1"/>
  <c r="D59" i="60" s="1"/>
  <c r="B117" i="60"/>
  <c r="C115" i="60"/>
  <c r="G58" i="64"/>
  <c r="D58" i="64"/>
  <c r="K58" i="64" s="1"/>
  <c r="L58" i="64" s="1"/>
  <c r="I58" i="64"/>
  <c r="E59" i="60" l="1"/>
  <c r="J59" i="60"/>
  <c r="H59" i="60"/>
  <c r="C116" i="60"/>
  <c r="B118" i="60"/>
  <c r="J58" i="64"/>
  <c r="E58" i="64"/>
  <c r="F58" i="64"/>
  <c r="H58" i="64" s="1"/>
  <c r="C59" i="64" s="1"/>
  <c r="P59" i="60" l="1"/>
  <c r="Q59" i="60" s="1"/>
  <c r="G59" i="60"/>
  <c r="I59" i="60" s="1"/>
  <c r="D60" i="60" s="1"/>
  <c r="K59" i="60"/>
  <c r="F59" i="60"/>
  <c r="L59" i="60"/>
  <c r="M59" i="60" s="1"/>
  <c r="B119" i="60"/>
  <c r="C117" i="60"/>
  <c r="I59" i="64"/>
  <c r="G59" i="64"/>
  <c r="D59" i="64"/>
  <c r="E60" i="60" l="1"/>
  <c r="H60" i="60"/>
  <c r="J60" i="60"/>
  <c r="C118" i="60"/>
  <c r="B120" i="60"/>
  <c r="F59" i="64"/>
  <c r="H59" i="64" s="1"/>
  <c r="C60" i="64" s="1"/>
  <c r="E59" i="64"/>
  <c r="J59" i="64"/>
  <c r="K59" i="64"/>
  <c r="L59" i="64" s="1"/>
  <c r="L60" i="60" l="1"/>
  <c r="M60" i="60" s="1"/>
  <c r="K60" i="60"/>
  <c r="G60" i="60"/>
  <c r="I60" i="60" s="1"/>
  <c r="D61" i="60" s="1"/>
  <c r="F60" i="60"/>
  <c r="P60" i="60"/>
  <c r="Q60" i="60" s="1"/>
  <c r="B121" i="60"/>
  <c r="C119" i="60"/>
  <c r="I60" i="64"/>
  <c r="D60" i="64"/>
  <c r="K60" i="64" s="1"/>
  <c r="L60" i="64" s="1"/>
  <c r="G60" i="64"/>
  <c r="J61" i="60" l="1"/>
  <c r="H61" i="60"/>
  <c r="E61" i="60"/>
  <c r="L61" i="60" s="1"/>
  <c r="M61" i="60" s="1"/>
  <c r="C120" i="60"/>
  <c r="B122" i="60"/>
  <c r="J60" i="64"/>
  <c r="E60" i="64"/>
  <c r="F60" i="64"/>
  <c r="H60" i="64" s="1"/>
  <c r="C61" i="64" s="1"/>
  <c r="K61" i="60" l="1"/>
  <c r="F61" i="60"/>
  <c r="G61" i="60"/>
  <c r="I61" i="60" s="1"/>
  <c r="D62" i="60" s="1"/>
  <c r="P61" i="60"/>
  <c r="Q61" i="60" s="1"/>
  <c r="C121" i="60"/>
  <c r="B123" i="60"/>
  <c r="D61" i="64"/>
  <c r="G61" i="64"/>
  <c r="I61" i="64"/>
  <c r="J62" i="60" l="1"/>
  <c r="H62" i="60"/>
  <c r="E62" i="60"/>
  <c r="B124" i="60"/>
  <c r="C122" i="60"/>
  <c r="E61" i="64"/>
  <c r="F61" i="64"/>
  <c r="H61" i="64" s="1"/>
  <c r="C62" i="64" s="1"/>
  <c r="J61" i="64"/>
  <c r="K61" i="64"/>
  <c r="L61" i="64" s="1"/>
  <c r="P62" i="60" l="1"/>
  <c r="Q62" i="60" s="1"/>
  <c r="G62" i="60"/>
  <c r="I62" i="60" s="1"/>
  <c r="D63" i="60" s="1"/>
  <c r="K62" i="60"/>
  <c r="F62" i="60"/>
  <c r="L62" i="60"/>
  <c r="M62" i="60" s="1"/>
  <c r="B125" i="60"/>
  <c r="C123" i="60"/>
  <c r="D62" i="64"/>
  <c r="K62" i="64" s="1"/>
  <c r="L62" i="64" s="1"/>
  <c r="G62" i="64"/>
  <c r="I62" i="64"/>
  <c r="J63" i="60" l="1"/>
  <c r="E63" i="60"/>
  <c r="H63" i="60"/>
  <c r="C124" i="60"/>
  <c r="B126" i="60"/>
  <c r="J62" i="64"/>
  <c r="E62" i="64"/>
  <c r="F62" i="64"/>
  <c r="H62" i="64" s="1"/>
  <c r="C63" i="64" s="1"/>
  <c r="L63" i="60" l="1"/>
  <c r="M63" i="60" s="1"/>
  <c r="K63" i="60"/>
  <c r="P63" i="60"/>
  <c r="Q63" i="60" s="1"/>
  <c r="F63" i="60"/>
  <c r="G63" i="60"/>
  <c r="I63" i="60" s="1"/>
  <c r="D64" i="60" s="1"/>
  <c r="B127" i="60"/>
  <c r="C125" i="60"/>
  <c r="D63" i="64"/>
  <c r="G63" i="64"/>
  <c r="I63" i="64"/>
  <c r="J64" i="60" l="1"/>
  <c r="H64" i="60"/>
  <c r="E64" i="60"/>
  <c r="C126" i="60"/>
  <c r="B128" i="60"/>
  <c r="F63" i="64"/>
  <c r="H63" i="64" s="1"/>
  <c r="C64" i="64" s="1"/>
  <c r="E63" i="64"/>
  <c r="J63" i="64"/>
  <c r="K63" i="64"/>
  <c r="L63" i="64" s="1"/>
  <c r="P64" i="60" l="1"/>
  <c r="Q64" i="60" s="1"/>
  <c r="K64" i="60"/>
  <c r="G64" i="60"/>
  <c r="I64" i="60" s="1"/>
  <c r="D65" i="60" s="1"/>
  <c r="F64" i="60"/>
  <c r="L64" i="60"/>
  <c r="M64" i="60" s="1"/>
  <c r="C127" i="60"/>
  <c r="B129" i="60"/>
  <c r="G64" i="64"/>
  <c r="I64" i="64"/>
  <c r="D64" i="64"/>
  <c r="K64" i="64" s="1"/>
  <c r="L64" i="64" s="1"/>
  <c r="J65" i="60" l="1"/>
  <c r="E65" i="60"/>
  <c r="H65" i="60"/>
  <c r="B130" i="60"/>
  <c r="C128" i="60"/>
  <c r="F64" i="64"/>
  <c r="H64" i="64" s="1"/>
  <c r="C65" i="64" s="1"/>
  <c r="E64" i="64"/>
  <c r="J64" i="64"/>
  <c r="L65" i="60" l="1"/>
  <c r="M65" i="60" s="1"/>
  <c r="P65" i="60"/>
  <c r="Q65" i="60" s="1"/>
  <c r="F65" i="60"/>
  <c r="K65" i="60"/>
  <c r="G65" i="60"/>
  <c r="I65" i="60" s="1"/>
  <c r="D66" i="60" s="1"/>
  <c r="B131" i="60"/>
  <c r="C129" i="60"/>
  <c r="G65" i="64"/>
  <c r="D65" i="64"/>
  <c r="I65" i="64"/>
  <c r="J66" i="60" l="1"/>
  <c r="E66" i="60"/>
  <c r="L66" i="60" s="1"/>
  <c r="M66" i="60" s="1"/>
  <c r="H66" i="60"/>
  <c r="C130" i="60"/>
  <c r="B132" i="60"/>
  <c r="F65" i="64"/>
  <c r="H65" i="64" s="1"/>
  <c r="C66" i="64" s="1"/>
  <c r="E65" i="64"/>
  <c r="J65" i="64"/>
  <c r="K65" i="64"/>
  <c r="L65" i="64" s="1"/>
  <c r="G66" i="60" l="1"/>
  <c r="I66" i="60" s="1"/>
  <c r="D67" i="60" s="1"/>
  <c r="K66" i="60"/>
  <c r="F66" i="60"/>
  <c r="P66" i="60"/>
  <c r="Q66" i="60" s="1"/>
  <c r="C131" i="60"/>
  <c r="B133" i="60"/>
  <c r="I66" i="64"/>
  <c r="G66" i="64"/>
  <c r="D66" i="64"/>
  <c r="K66" i="64" s="1"/>
  <c r="L66" i="64" s="1"/>
  <c r="H67" i="60" l="1"/>
  <c r="J67" i="60"/>
  <c r="E67" i="60"/>
  <c r="B134" i="60"/>
  <c r="C132" i="60"/>
  <c r="E66" i="64"/>
  <c r="F66" i="64"/>
  <c r="H66" i="64" s="1"/>
  <c r="C67" i="64" s="1"/>
  <c r="J66" i="64"/>
  <c r="K67" i="60" l="1"/>
  <c r="F67" i="60"/>
  <c r="P67" i="60"/>
  <c r="Q67" i="60" s="1"/>
  <c r="G67" i="60"/>
  <c r="I67" i="60" s="1"/>
  <c r="D68" i="60" s="1"/>
  <c r="L67" i="60"/>
  <c r="M67" i="60" s="1"/>
  <c r="C133" i="60"/>
  <c r="B135" i="60"/>
  <c r="I67" i="64"/>
  <c r="D67" i="64"/>
  <c r="K67" i="64" s="1"/>
  <c r="L67" i="64" s="1"/>
  <c r="G67" i="64"/>
  <c r="J68" i="60" l="1"/>
  <c r="H68" i="60"/>
  <c r="E68" i="60"/>
  <c r="B136" i="60"/>
  <c r="C134" i="60"/>
  <c r="E67" i="64"/>
  <c r="J67" i="64"/>
  <c r="F67" i="64"/>
  <c r="H67" i="64" s="1"/>
  <c r="C68" i="64" s="1"/>
  <c r="G68" i="60" l="1"/>
  <c r="I68" i="60" s="1"/>
  <c r="D69" i="60" s="1"/>
  <c r="K68" i="60"/>
  <c r="F68" i="60"/>
  <c r="P68" i="60"/>
  <c r="Q68" i="60" s="1"/>
  <c r="L68" i="60"/>
  <c r="M68" i="60" s="1"/>
  <c r="C135" i="60"/>
  <c r="B137" i="60"/>
  <c r="G68" i="64"/>
  <c r="D68" i="64"/>
  <c r="K68" i="64" s="1"/>
  <c r="L68" i="64" s="1"/>
  <c r="I68" i="64"/>
  <c r="H69" i="60" l="1"/>
  <c r="J69" i="60"/>
  <c r="E69" i="60"/>
  <c r="B138" i="60"/>
  <c r="C136" i="60"/>
  <c r="F68" i="64"/>
  <c r="H68" i="64" s="1"/>
  <c r="C69" i="64" s="1"/>
  <c r="E68" i="64"/>
  <c r="J68" i="64"/>
  <c r="L69" i="60" l="1"/>
  <c r="M69" i="60" s="1"/>
  <c r="K69" i="60"/>
  <c r="F69" i="60"/>
  <c r="P69" i="60"/>
  <c r="Q69" i="60" s="1"/>
  <c r="G69" i="60"/>
  <c r="I69" i="60" s="1"/>
  <c r="D70" i="60" s="1"/>
  <c r="B139" i="60"/>
  <c r="C137" i="60"/>
  <c r="I69" i="64"/>
  <c r="D69" i="64"/>
  <c r="G69" i="64"/>
  <c r="J70" i="60" l="1"/>
  <c r="H70" i="60"/>
  <c r="E70" i="60"/>
  <c r="L70" i="60" s="1"/>
  <c r="M70" i="60" s="1"/>
  <c r="C138" i="60"/>
  <c r="B140" i="60"/>
  <c r="E69" i="64"/>
  <c r="J69" i="64"/>
  <c r="F69" i="64"/>
  <c r="H69" i="64" s="1"/>
  <c r="C70" i="64" s="1"/>
  <c r="K69" i="64"/>
  <c r="L69" i="64" s="1"/>
  <c r="G70" i="60" l="1"/>
  <c r="I70" i="60" s="1"/>
  <c r="D71" i="60" s="1"/>
  <c r="K70" i="60"/>
  <c r="P70" i="60"/>
  <c r="Q70" i="60" s="1"/>
  <c r="F70" i="60"/>
  <c r="C139" i="60"/>
  <c r="B141" i="60"/>
  <c r="I70" i="64"/>
  <c r="D70" i="64"/>
  <c r="G70" i="64"/>
  <c r="H71" i="60" l="1"/>
  <c r="J71" i="60"/>
  <c r="E71" i="60"/>
  <c r="B142" i="60"/>
  <c r="C140" i="60"/>
  <c r="F70" i="64"/>
  <c r="H70" i="64" s="1"/>
  <c r="C71" i="64" s="1"/>
  <c r="J70" i="64"/>
  <c r="E70" i="64"/>
  <c r="K70" i="64"/>
  <c r="L70" i="64" s="1"/>
  <c r="L71" i="60" l="1"/>
  <c r="M71" i="60" s="1"/>
  <c r="P71" i="60"/>
  <c r="Q71" i="60" s="1"/>
  <c r="G71" i="60"/>
  <c r="I71" i="60" s="1"/>
  <c r="D72" i="60" s="1"/>
  <c r="K71" i="60"/>
  <c r="F71" i="60"/>
  <c r="C141" i="60"/>
  <c r="B143" i="60"/>
  <c r="G71" i="64"/>
  <c r="I71" i="64"/>
  <c r="D71" i="64"/>
  <c r="K71" i="64" s="1"/>
  <c r="L71" i="64" s="1"/>
  <c r="H72" i="60" l="1"/>
  <c r="E72" i="60"/>
  <c r="L72" i="60" s="1"/>
  <c r="M72" i="60" s="1"/>
  <c r="J72" i="60"/>
  <c r="B144" i="60"/>
  <c r="C142" i="60"/>
  <c r="E71" i="64"/>
  <c r="J71" i="64"/>
  <c r="F71" i="64"/>
  <c r="H71" i="64" s="1"/>
  <c r="C72" i="64" s="1"/>
  <c r="G72" i="60" l="1"/>
  <c r="I72" i="60" s="1"/>
  <c r="D73" i="60" s="1"/>
  <c r="F72" i="60"/>
  <c r="K72" i="60"/>
  <c r="P72" i="60"/>
  <c r="Q72" i="60" s="1"/>
  <c r="C143" i="60"/>
  <c r="B145" i="60"/>
  <c r="D72" i="64"/>
  <c r="K72" i="64" s="1"/>
  <c r="L72" i="64" s="1"/>
  <c r="I72" i="64"/>
  <c r="G72" i="64"/>
  <c r="H73" i="60" l="1"/>
  <c r="J73" i="60"/>
  <c r="E73" i="60"/>
  <c r="B146" i="60"/>
  <c r="C144" i="60"/>
  <c r="F72" i="64"/>
  <c r="H72" i="64" s="1"/>
  <c r="C73" i="64" s="1"/>
  <c r="E72" i="64"/>
  <c r="J72" i="64"/>
  <c r="L73" i="60" l="1"/>
  <c r="M73" i="60" s="1"/>
  <c r="P73" i="60"/>
  <c r="Q73" i="60" s="1"/>
  <c r="G73" i="60"/>
  <c r="I73" i="60" s="1"/>
  <c r="D74" i="60" s="1"/>
  <c r="K73" i="60"/>
  <c r="F73" i="60"/>
  <c r="B147" i="60"/>
  <c r="C145" i="60"/>
  <c r="I73" i="64"/>
  <c r="D73" i="64"/>
  <c r="K73" i="64" s="1"/>
  <c r="L73" i="64" s="1"/>
  <c r="G73" i="64"/>
  <c r="H74" i="60" l="1"/>
  <c r="E74" i="60"/>
  <c r="J74" i="60"/>
  <c r="C146" i="60"/>
  <c r="B148" i="60"/>
  <c r="F73" i="64"/>
  <c r="H73" i="64" s="1"/>
  <c r="C74" i="64" s="1"/>
  <c r="J73" i="64"/>
  <c r="E73" i="64"/>
  <c r="P74" i="60" l="1"/>
  <c r="Q74" i="60" s="1"/>
  <c r="K74" i="60"/>
  <c r="G74" i="60"/>
  <c r="I74" i="60" s="1"/>
  <c r="D75" i="60" s="1"/>
  <c r="F74" i="60"/>
  <c r="L74" i="60"/>
  <c r="M74" i="60" s="1"/>
  <c r="B149" i="60"/>
  <c r="C147" i="60"/>
  <c r="G74" i="64"/>
  <c r="I74" i="64"/>
  <c r="D74" i="64"/>
  <c r="K74" i="64" s="1"/>
  <c r="L74" i="64" s="1"/>
  <c r="H75" i="60" l="1"/>
  <c r="J75" i="60"/>
  <c r="E75" i="60"/>
  <c r="C148" i="60"/>
  <c r="B150" i="60"/>
  <c r="J74" i="64"/>
  <c r="F74" i="64"/>
  <c r="H74" i="64" s="1"/>
  <c r="C75" i="64" s="1"/>
  <c r="E74" i="64"/>
  <c r="L75" i="60" l="1"/>
  <c r="M75" i="60" s="1"/>
  <c r="G75" i="60"/>
  <c r="I75" i="60" s="1"/>
  <c r="D76" i="60" s="1"/>
  <c r="F75" i="60"/>
  <c r="P75" i="60"/>
  <c r="Q75" i="60" s="1"/>
  <c r="K75" i="60"/>
  <c r="B151" i="60"/>
  <c r="C149" i="60"/>
  <c r="D75" i="64"/>
  <c r="G75" i="64"/>
  <c r="I75" i="64"/>
  <c r="J76" i="60" l="1"/>
  <c r="H76" i="60"/>
  <c r="E76" i="60"/>
  <c r="C150" i="60"/>
  <c r="B152" i="60"/>
  <c r="J75" i="64"/>
  <c r="F75" i="64"/>
  <c r="H75" i="64" s="1"/>
  <c r="C76" i="64" s="1"/>
  <c r="E75" i="64"/>
  <c r="K75" i="64"/>
  <c r="L75" i="64" s="1"/>
  <c r="L76" i="60" l="1"/>
  <c r="M76" i="60" s="1"/>
  <c r="G76" i="60"/>
  <c r="I76" i="60" s="1"/>
  <c r="D77" i="60" s="1"/>
  <c r="K76" i="60"/>
  <c r="F76" i="60"/>
  <c r="P76" i="60"/>
  <c r="Q76" i="60" s="1"/>
  <c r="B153" i="60"/>
  <c r="C151" i="60"/>
  <c r="G76" i="64"/>
  <c r="D76" i="64"/>
  <c r="K76" i="64" s="1"/>
  <c r="L76" i="64" s="1"/>
  <c r="I76" i="64"/>
  <c r="H77" i="60" l="1"/>
  <c r="J77" i="60"/>
  <c r="E77" i="60"/>
  <c r="C152" i="60"/>
  <c r="B154" i="60"/>
  <c r="F76" i="64"/>
  <c r="H76" i="64" s="1"/>
  <c r="C77" i="64" s="1"/>
  <c r="J76" i="64"/>
  <c r="E76" i="64"/>
  <c r="L77" i="60" l="1"/>
  <c r="M77" i="60" s="1"/>
  <c r="P77" i="60"/>
  <c r="Q77" i="60" s="1"/>
  <c r="F77" i="60"/>
  <c r="G77" i="60"/>
  <c r="I77" i="60" s="1"/>
  <c r="D78" i="60" s="1"/>
  <c r="K77" i="60"/>
  <c r="B155" i="60"/>
  <c r="C153" i="60"/>
  <c r="G77" i="64"/>
  <c r="I77" i="64"/>
  <c r="D77" i="64"/>
  <c r="K77" i="64" s="1"/>
  <c r="L77" i="64" s="1"/>
  <c r="J78" i="60" l="1"/>
  <c r="H78" i="60"/>
  <c r="E78" i="60"/>
  <c r="C154" i="60"/>
  <c r="B156" i="60"/>
  <c r="J77" i="64"/>
  <c r="E77" i="64"/>
  <c r="F77" i="64"/>
  <c r="H77" i="64" s="1"/>
  <c r="C78" i="64" s="1"/>
  <c r="K78" i="60" l="1"/>
  <c r="P78" i="60"/>
  <c r="Q78" i="60" s="1"/>
  <c r="F78" i="60"/>
  <c r="G78" i="60"/>
  <c r="I78" i="60" s="1"/>
  <c r="D79" i="60" s="1"/>
  <c r="L78" i="60"/>
  <c r="M78" i="60" s="1"/>
  <c r="B157" i="60"/>
  <c r="C155" i="60"/>
  <c r="I78" i="64"/>
  <c r="G78" i="64"/>
  <c r="D78" i="64"/>
  <c r="J79" i="60" l="1"/>
  <c r="H79" i="60"/>
  <c r="E79" i="60"/>
  <c r="L79" i="60" s="1"/>
  <c r="M79" i="60" s="1"/>
  <c r="C156" i="60"/>
  <c r="B158" i="60"/>
  <c r="E78" i="64"/>
  <c r="J78" i="64"/>
  <c r="F78" i="64"/>
  <c r="H78" i="64" s="1"/>
  <c r="C79" i="64" s="1"/>
  <c r="K78" i="64"/>
  <c r="L78" i="64" s="1"/>
  <c r="G79" i="60" l="1"/>
  <c r="I79" i="60" s="1"/>
  <c r="D80" i="60" s="1"/>
  <c r="F79" i="60"/>
  <c r="P79" i="60"/>
  <c r="Q79" i="60" s="1"/>
  <c r="K79" i="60"/>
  <c r="B159" i="60"/>
  <c r="C157" i="60"/>
  <c r="G79" i="64"/>
  <c r="D79" i="64"/>
  <c r="I79" i="64"/>
  <c r="H80" i="60" l="1"/>
  <c r="J80" i="60"/>
  <c r="E80" i="60"/>
  <c r="B160" i="60"/>
  <c r="C158" i="60"/>
  <c r="F79" i="64"/>
  <c r="H79" i="64" s="1"/>
  <c r="C80" i="64" s="1"/>
  <c r="E79" i="64"/>
  <c r="J79" i="64"/>
  <c r="K79" i="64"/>
  <c r="L79" i="64" s="1"/>
  <c r="L80" i="60" l="1"/>
  <c r="M80" i="60" s="1"/>
  <c r="K80" i="60"/>
  <c r="G80" i="60"/>
  <c r="I80" i="60" s="1"/>
  <c r="D81" i="60" s="1"/>
  <c r="F80" i="60"/>
  <c r="P80" i="60"/>
  <c r="Q80" i="60" s="1"/>
  <c r="C159" i="60"/>
  <c r="B161" i="60"/>
  <c r="I80" i="64"/>
  <c r="G80" i="64"/>
  <c r="D80" i="64"/>
  <c r="K80" i="64" s="1"/>
  <c r="L80" i="64" s="1"/>
  <c r="H81" i="60" l="1"/>
  <c r="E81" i="60"/>
  <c r="J81" i="60"/>
  <c r="B162" i="60"/>
  <c r="C160" i="60"/>
  <c r="J80" i="64"/>
  <c r="F80" i="64"/>
  <c r="H80" i="64" s="1"/>
  <c r="C81" i="64" s="1"/>
  <c r="E80" i="64"/>
  <c r="K81" i="60" l="1"/>
  <c r="G81" i="60"/>
  <c r="I81" i="60" s="1"/>
  <c r="D82" i="60" s="1"/>
  <c r="F81" i="60"/>
  <c r="P81" i="60"/>
  <c r="Q81" i="60" s="1"/>
  <c r="L81" i="60"/>
  <c r="M81" i="60" s="1"/>
  <c r="B163" i="60"/>
  <c r="C161" i="60"/>
  <c r="G81" i="64"/>
  <c r="D81" i="64"/>
  <c r="K81" i="64" s="1"/>
  <c r="L81" i="64" s="1"/>
  <c r="I81" i="64"/>
  <c r="H82" i="60" l="1"/>
  <c r="J82" i="60"/>
  <c r="E82" i="60"/>
  <c r="C162" i="60"/>
  <c r="B164" i="60"/>
  <c r="E81" i="64"/>
  <c r="J81" i="64"/>
  <c r="F81" i="64"/>
  <c r="H81" i="64" s="1"/>
  <c r="C82" i="64" s="1"/>
  <c r="L82" i="60" l="1"/>
  <c r="M82" i="60" s="1"/>
  <c r="P82" i="60"/>
  <c r="Q82" i="60" s="1"/>
  <c r="G82" i="60"/>
  <c r="I82" i="60" s="1"/>
  <c r="D83" i="60" s="1"/>
  <c r="K82" i="60"/>
  <c r="F82" i="60"/>
  <c r="B165" i="60"/>
  <c r="C163" i="60"/>
  <c r="I82" i="64"/>
  <c r="G82" i="64"/>
  <c r="D82" i="64"/>
  <c r="K82" i="64" s="1"/>
  <c r="L82" i="64" s="1"/>
  <c r="E83" i="60" l="1"/>
  <c r="J83" i="60"/>
  <c r="H83" i="60"/>
  <c r="C164" i="60"/>
  <c r="B166" i="60"/>
  <c r="F82" i="64"/>
  <c r="H82" i="64" s="1"/>
  <c r="C83" i="64" s="1"/>
  <c r="J82" i="64"/>
  <c r="E82" i="64"/>
  <c r="G83" i="60" l="1"/>
  <c r="I83" i="60" s="1"/>
  <c r="D84" i="60" s="1"/>
  <c r="K83" i="60"/>
  <c r="F83" i="60"/>
  <c r="P83" i="60"/>
  <c r="Q83" i="60" s="1"/>
  <c r="L83" i="60"/>
  <c r="M83" i="60" s="1"/>
  <c r="C165" i="60"/>
  <c r="B167" i="60"/>
  <c r="I83" i="64"/>
  <c r="D83" i="64"/>
  <c r="G83" i="64"/>
  <c r="H84" i="60" l="1"/>
  <c r="J84" i="60"/>
  <c r="E84" i="60"/>
  <c r="B168" i="60"/>
  <c r="C166" i="60"/>
  <c r="J83" i="64"/>
  <c r="F83" i="64"/>
  <c r="H83" i="64" s="1"/>
  <c r="C84" i="64" s="1"/>
  <c r="E83" i="64"/>
  <c r="K83" i="64"/>
  <c r="L83" i="64" s="1"/>
  <c r="P84" i="60" l="1"/>
  <c r="Q84" i="60" s="1"/>
  <c r="G84" i="60"/>
  <c r="I84" i="60" s="1"/>
  <c r="D85" i="60" s="1"/>
  <c r="K84" i="60"/>
  <c r="F84" i="60"/>
  <c r="L84" i="60"/>
  <c r="M84" i="60" s="1"/>
  <c r="C167" i="60"/>
  <c r="B169" i="60"/>
  <c r="G84" i="64"/>
  <c r="D84" i="64"/>
  <c r="K84" i="64" s="1"/>
  <c r="L84" i="64" s="1"/>
  <c r="I84" i="64"/>
  <c r="J85" i="60" l="1"/>
  <c r="H85" i="60"/>
  <c r="E85" i="60"/>
  <c r="B170" i="60"/>
  <c r="C168" i="60"/>
  <c r="J84" i="64"/>
  <c r="F84" i="64"/>
  <c r="H84" i="64" s="1"/>
  <c r="C85" i="64" s="1"/>
  <c r="E84" i="64"/>
  <c r="L85" i="60" l="1"/>
  <c r="M85" i="60" s="1"/>
  <c r="K85" i="60"/>
  <c r="G85" i="60"/>
  <c r="I85" i="60" s="1"/>
  <c r="D86" i="60" s="1"/>
  <c r="P85" i="60"/>
  <c r="Q85" i="60" s="1"/>
  <c r="F85" i="60"/>
  <c r="C169" i="60"/>
  <c r="B171" i="60"/>
  <c r="G85" i="64"/>
  <c r="I85" i="64"/>
  <c r="D85" i="64"/>
  <c r="H86" i="60" l="1"/>
  <c r="J86" i="60"/>
  <c r="E86" i="60"/>
  <c r="B172" i="60"/>
  <c r="C170" i="60"/>
  <c r="J85" i="64"/>
  <c r="E85" i="64"/>
  <c r="F85" i="64"/>
  <c r="H85" i="64" s="1"/>
  <c r="C86" i="64" s="1"/>
  <c r="K85" i="64"/>
  <c r="L85" i="64" s="1"/>
  <c r="P86" i="60" l="1"/>
  <c r="Q86" i="60" s="1"/>
  <c r="F86" i="60"/>
  <c r="G86" i="60"/>
  <c r="I86" i="60" s="1"/>
  <c r="D87" i="60" s="1"/>
  <c r="K86" i="60"/>
  <c r="L86" i="60"/>
  <c r="M86" i="60" s="1"/>
  <c r="B173" i="60"/>
  <c r="C171" i="60"/>
  <c r="I86" i="64"/>
  <c r="G86" i="64"/>
  <c r="D86" i="64"/>
  <c r="E87" i="60" l="1"/>
  <c r="J87" i="60"/>
  <c r="H87" i="60"/>
  <c r="C172" i="60"/>
  <c r="B174" i="60"/>
  <c r="F86" i="64"/>
  <c r="H86" i="64" s="1"/>
  <c r="C87" i="64" s="1"/>
  <c r="E86" i="64"/>
  <c r="J86" i="64"/>
  <c r="K86" i="64"/>
  <c r="L86" i="64" s="1"/>
  <c r="G87" i="60" l="1"/>
  <c r="I87" i="60" s="1"/>
  <c r="D88" i="60" s="1"/>
  <c r="K87" i="60"/>
  <c r="F87" i="60"/>
  <c r="P87" i="60"/>
  <c r="Q87" i="60" s="1"/>
  <c r="L87" i="60"/>
  <c r="M87" i="60" s="1"/>
  <c r="B175" i="60"/>
  <c r="C173" i="60"/>
  <c r="G87" i="64"/>
  <c r="D87" i="64"/>
  <c r="K87" i="64" s="1"/>
  <c r="L87" i="64" s="1"/>
  <c r="I87" i="64"/>
  <c r="H88" i="60" l="1"/>
  <c r="E88" i="60"/>
  <c r="L88" i="60" s="1"/>
  <c r="M88" i="60" s="1"/>
  <c r="J88" i="60"/>
  <c r="C174" i="60"/>
  <c r="B176" i="60"/>
  <c r="J87" i="64"/>
  <c r="E87" i="64"/>
  <c r="F87" i="64"/>
  <c r="H87" i="64" s="1"/>
  <c r="C88" i="64" s="1"/>
  <c r="G88" i="60" l="1"/>
  <c r="I88" i="60" s="1"/>
  <c r="D89" i="60" s="1"/>
  <c r="P88" i="60"/>
  <c r="Q88" i="60" s="1"/>
  <c r="F88" i="60"/>
  <c r="K88" i="60"/>
  <c r="B177" i="60"/>
  <c r="C175" i="60"/>
  <c r="D88" i="64"/>
  <c r="K88" i="64" s="1"/>
  <c r="L88" i="64" s="1"/>
  <c r="G88" i="64"/>
  <c r="I88" i="64"/>
  <c r="H89" i="60" l="1"/>
  <c r="E89" i="60"/>
  <c r="J89" i="60"/>
  <c r="C176" i="60"/>
  <c r="B178" i="60"/>
  <c r="F88" i="64"/>
  <c r="H88" i="64" s="1"/>
  <c r="C89" i="64" s="1"/>
  <c r="E88" i="64"/>
  <c r="J88" i="64"/>
  <c r="L89" i="60" l="1"/>
  <c r="M89" i="60" s="1"/>
  <c r="P89" i="60"/>
  <c r="Q89" i="60" s="1"/>
  <c r="G89" i="60"/>
  <c r="I89" i="60" s="1"/>
  <c r="D90" i="60" s="1"/>
  <c r="K89" i="60"/>
  <c r="F89" i="60"/>
  <c r="B179" i="60"/>
  <c r="C177" i="60"/>
  <c r="D89" i="64"/>
  <c r="K89" i="64" s="1"/>
  <c r="L89" i="64" s="1"/>
  <c r="I89" i="64"/>
  <c r="G89" i="64"/>
  <c r="H90" i="60" l="1"/>
  <c r="J90" i="60"/>
  <c r="E90" i="60"/>
  <c r="C178" i="60"/>
  <c r="B180" i="60"/>
  <c r="E89" i="64"/>
  <c r="J89" i="64"/>
  <c r="F89" i="64"/>
  <c r="H89" i="64" s="1"/>
  <c r="C90" i="64" s="1"/>
  <c r="L90" i="60" l="1"/>
  <c r="M90" i="60" s="1"/>
  <c r="K90" i="60"/>
  <c r="F90" i="60"/>
  <c r="P90" i="60"/>
  <c r="Q90" i="60" s="1"/>
  <c r="G90" i="60"/>
  <c r="I90" i="60" s="1"/>
  <c r="D91" i="60" s="1"/>
  <c r="B181" i="60"/>
  <c r="C179" i="60"/>
  <c r="I90" i="64"/>
  <c r="G90" i="64"/>
  <c r="D90" i="64"/>
  <c r="J91" i="60" l="1"/>
  <c r="H91" i="60"/>
  <c r="E91" i="60"/>
  <c r="L91" i="60" s="1"/>
  <c r="M91" i="60" s="1"/>
  <c r="C180" i="60"/>
  <c r="B182" i="60"/>
  <c r="J90" i="64"/>
  <c r="F90" i="64"/>
  <c r="H90" i="64" s="1"/>
  <c r="C91" i="64" s="1"/>
  <c r="E90" i="64"/>
  <c r="K90" i="64"/>
  <c r="L90" i="64" s="1"/>
  <c r="K91" i="60" l="1"/>
  <c r="G91" i="60"/>
  <c r="I91" i="60" s="1"/>
  <c r="D92" i="60" s="1"/>
  <c r="F91" i="60"/>
  <c r="P91" i="60"/>
  <c r="Q91" i="60" s="1"/>
  <c r="C181" i="60"/>
  <c r="B183" i="60"/>
  <c r="I91" i="64"/>
  <c r="G91" i="64"/>
  <c r="D91" i="64"/>
  <c r="K91" i="64" s="1"/>
  <c r="L91" i="64" s="1"/>
  <c r="H92" i="60" l="1"/>
  <c r="J92" i="60"/>
  <c r="E92" i="60"/>
  <c r="B184" i="60"/>
  <c r="C182" i="60"/>
  <c r="J91" i="64"/>
  <c r="F91" i="64"/>
  <c r="H91" i="64" s="1"/>
  <c r="C92" i="64" s="1"/>
  <c r="E91" i="64"/>
  <c r="L92" i="60" l="1"/>
  <c r="M92" i="60" s="1"/>
  <c r="K92" i="60"/>
  <c r="F92" i="60"/>
  <c r="G92" i="60"/>
  <c r="I92" i="60" s="1"/>
  <c r="D93" i="60" s="1"/>
  <c r="P92" i="60"/>
  <c r="Q92" i="60" s="1"/>
  <c r="B185" i="60"/>
  <c r="C183" i="60"/>
  <c r="I92" i="64"/>
  <c r="D92" i="64"/>
  <c r="K92" i="64" s="1"/>
  <c r="L92" i="64" s="1"/>
  <c r="G92" i="64"/>
  <c r="H93" i="60" l="1"/>
  <c r="J93" i="60"/>
  <c r="E93" i="60"/>
  <c r="L93" i="60" s="1"/>
  <c r="M93" i="60" s="1"/>
  <c r="C184" i="60"/>
  <c r="B186" i="60"/>
  <c r="F92" i="64"/>
  <c r="H92" i="64" s="1"/>
  <c r="C93" i="64" s="1"/>
  <c r="E92" i="64"/>
  <c r="J92" i="64"/>
  <c r="P93" i="60" l="1"/>
  <c r="Q93" i="60" s="1"/>
  <c r="K93" i="60"/>
  <c r="F93" i="60"/>
  <c r="G93" i="60"/>
  <c r="I93" i="60" s="1"/>
  <c r="D94" i="60" s="1"/>
  <c r="B187" i="60"/>
  <c r="C185" i="60"/>
  <c r="I93" i="64"/>
  <c r="D93" i="64"/>
  <c r="G93" i="64"/>
  <c r="J94" i="60" l="1"/>
  <c r="E94" i="60"/>
  <c r="H94" i="60"/>
  <c r="C186" i="60"/>
  <c r="B188" i="60"/>
  <c r="E93" i="64"/>
  <c r="J93" i="64"/>
  <c r="F93" i="64"/>
  <c r="H93" i="64" s="1"/>
  <c r="C94" i="64" s="1"/>
  <c r="K93" i="64"/>
  <c r="L93" i="64" s="1"/>
  <c r="L94" i="60" l="1"/>
  <c r="M94" i="60" s="1"/>
  <c r="K94" i="60"/>
  <c r="F94" i="60"/>
  <c r="P94" i="60"/>
  <c r="Q94" i="60" s="1"/>
  <c r="G94" i="60"/>
  <c r="I94" i="60" s="1"/>
  <c r="D95" i="60" s="1"/>
  <c r="C187" i="60"/>
  <c r="B189" i="60"/>
  <c r="G94" i="64"/>
  <c r="I94" i="64"/>
  <c r="D94" i="64"/>
  <c r="K94" i="64" s="1"/>
  <c r="L94" i="64" s="1"/>
  <c r="J95" i="60" l="1"/>
  <c r="E95" i="60"/>
  <c r="L95" i="60" s="1"/>
  <c r="M95" i="60" s="1"/>
  <c r="H95" i="60"/>
  <c r="B190" i="60"/>
  <c r="C188" i="60"/>
  <c r="F94" i="64"/>
  <c r="H94" i="64" s="1"/>
  <c r="C95" i="64" s="1"/>
  <c r="E94" i="64"/>
  <c r="J94" i="64"/>
  <c r="K95" i="60" l="1"/>
  <c r="F95" i="60"/>
  <c r="P95" i="60"/>
  <c r="Q95" i="60" s="1"/>
  <c r="G95" i="60"/>
  <c r="I95" i="60" s="1"/>
  <c r="D96" i="60" s="1"/>
  <c r="C189" i="60"/>
  <c r="B191" i="60"/>
  <c r="I95" i="64"/>
  <c r="D95" i="64"/>
  <c r="K95" i="64" s="1"/>
  <c r="L95" i="64" s="1"/>
  <c r="G95" i="64"/>
  <c r="H96" i="60" l="1"/>
  <c r="J96" i="60"/>
  <c r="E96" i="60"/>
  <c r="B192" i="60"/>
  <c r="B193" i="60" s="1"/>
  <c r="B194" i="60" s="1"/>
  <c r="B195" i="60" s="1"/>
  <c r="B196" i="60" s="1"/>
  <c r="B197" i="60" s="1"/>
  <c r="B198" i="60" s="1"/>
  <c r="B199" i="60" s="1"/>
  <c r="B200" i="60" s="1"/>
  <c r="B201" i="60" s="1"/>
  <c r="B202" i="60" s="1"/>
  <c r="B203" i="60" s="1"/>
  <c r="B204" i="60" s="1"/>
  <c r="B205" i="60" s="1"/>
  <c r="B206" i="60" s="1"/>
  <c r="B207" i="60" s="1"/>
  <c r="B208" i="60" s="1"/>
  <c r="B209" i="60" s="1"/>
  <c r="B210" i="60" s="1"/>
  <c r="B211" i="60" s="1"/>
  <c r="B212" i="60" s="1"/>
  <c r="B213" i="60" s="1"/>
  <c r="B214" i="60" s="1"/>
  <c r="B215" i="60" s="1"/>
  <c r="B216" i="60" s="1"/>
  <c r="B217" i="60" s="1"/>
  <c r="B218" i="60" s="1"/>
  <c r="B219" i="60" s="1"/>
  <c r="B220" i="60" s="1"/>
  <c r="B221" i="60" s="1"/>
  <c r="B222" i="60" s="1"/>
  <c r="B223" i="60" s="1"/>
  <c r="B224" i="60" s="1"/>
  <c r="B225" i="60" s="1"/>
  <c r="B226" i="60" s="1"/>
  <c r="B227" i="60" s="1"/>
  <c r="B228" i="60" s="1"/>
  <c r="B229" i="60" s="1"/>
  <c r="B230" i="60" s="1"/>
  <c r="B231" i="60" s="1"/>
  <c r="B232" i="60" s="1"/>
  <c r="B233" i="60" s="1"/>
  <c r="B234" i="60" s="1"/>
  <c r="B235" i="60" s="1"/>
  <c r="B236" i="60" s="1"/>
  <c r="B237" i="60" s="1"/>
  <c r="B238" i="60" s="1"/>
  <c r="B239" i="60" s="1"/>
  <c r="B240" i="60" s="1"/>
  <c r="B241" i="60" s="1"/>
  <c r="B242" i="60" s="1"/>
  <c r="B243" i="60" s="1"/>
  <c r="B244" i="60" s="1"/>
  <c r="B245" i="60" s="1"/>
  <c r="B246" i="60" s="1"/>
  <c r="B247" i="60" s="1"/>
  <c r="B248" i="60" s="1"/>
  <c r="B249" i="60" s="1"/>
  <c r="B250" i="60" s="1"/>
  <c r="B251" i="60" s="1"/>
  <c r="B252" i="60" s="1"/>
  <c r="B253" i="60" s="1"/>
  <c r="B254" i="60" s="1"/>
  <c r="B255" i="60" s="1"/>
  <c r="B256" i="60" s="1"/>
  <c r="B257" i="60" s="1"/>
  <c r="B258" i="60" s="1"/>
  <c r="B259" i="60" s="1"/>
  <c r="B260" i="60" s="1"/>
  <c r="B261" i="60" s="1"/>
  <c r="B262" i="60" s="1"/>
  <c r="B263" i="60" s="1"/>
  <c r="B264" i="60" s="1"/>
  <c r="B265" i="60" s="1"/>
  <c r="B266" i="60" s="1"/>
  <c r="B267" i="60" s="1"/>
  <c r="B268" i="60" s="1"/>
  <c r="B269" i="60" s="1"/>
  <c r="B270" i="60" s="1"/>
  <c r="B271" i="60" s="1"/>
  <c r="B272" i="60" s="1"/>
  <c r="B273" i="60" s="1"/>
  <c r="B274" i="60" s="1"/>
  <c r="B275" i="60" s="1"/>
  <c r="B276" i="60" s="1"/>
  <c r="B277" i="60" s="1"/>
  <c r="B278" i="60" s="1"/>
  <c r="B279" i="60" s="1"/>
  <c r="B280" i="60" s="1"/>
  <c r="B281" i="60" s="1"/>
  <c r="B282" i="60" s="1"/>
  <c r="B283" i="60" s="1"/>
  <c r="B284" i="60" s="1"/>
  <c r="B285" i="60" s="1"/>
  <c r="B286" i="60" s="1"/>
  <c r="B287" i="60" s="1"/>
  <c r="B288" i="60" s="1"/>
  <c r="B289" i="60" s="1"/>
  <c r="B290" i="60" s="1"/>
  <c r="B291" i="60" s="1"/>
  <c r="B292" i="60" s="1"/>
  <c r="B293" i="60" s="1"/>
  <c r="B294" i="60" s="1"/>
  <c r="B295" i="60" s="1"/>
  <c r="B296" i="60" s="1"/>
  <c r="B297" i="60" s="1"/>
  <c r="B298" i="60" s="1"/>
  <c r="B299" i="60" s="1"/>
  <c r="B300" i="60" s="1"/>
  <c r="B301" i="60" s="1"/>
  <c r="B302" i="60" s="1"/>
  <c r="B303" i="60" s="1"/>
  <c r="B304" i="60" s="1"/>
  <c r="B305" i="60" s="1"/>
  <c r="B306" i="60" s="1"/>
  <c r="B307" i="60" s="1"/>
  <c r="B308" i="60" s="1"/>
  <c r="B309" i="60" s="1"/>
  <c r="B310" i="60" s="1"/>
  <c r="B311" i="60" s="1"/>
  <c r="B312" i="60" s="1"/>
  <c r="B313" i="60" s="1"/>
  <c r="C190" i="60"/>
  <c r="J95" i="64"/>
  <c r="E95" i="64"/>
  <c r="F95" i="64"/>
  <c r="H95" i="64" s="1"/>
  <c r="C96" i="64" s="1"/>
  <c r="L96" i="60" l="1"/>
  <c r="M96" i="60" s="1"/>
  <c r="K96" i="60"/>
  <c r="F96" i="60"/>
  <c r="P96" i="60"/>
  <c r="Q96" i="60" s="1"/>
  <c r="G96" i="60"/>
  <c r="I96" i="60" s="1"/>
  <c r="D97" i="60" s="1"/>
  <c r="C191" i="60"/>
  <c r="G96" i="64"/>
  <c r="D96" i="64"/>
  <c r="I96" i="64"/>
  <c r="H97" i="60" l="1"/>
  <c r="J97" i="60"/>
  <c r="E97" i="60"/>
  <c r="L97" i="60" s="1"/>
  <c r="M97" i="60" s="1"/>
  <c r="C192" i="60"/>
  <c r="C193" i="60" s="1"/>
  <c r="J96" i="64"/>
  <c r="E96" i="64"/>
  <c r="F96" i="64"/>
  <c r="H96" i="64" s="1"/>
  <c r="C97" i="64" s="1"/>
  <c r="K96" i="64"/>
  <c r="L96" i="64" s="1"/>
  <c r="C194" i="60" l="1"/>
  <c r="F97" i="60"/>
  <c r="P97" i="60"/>
  <c r="Q97" i="60" s="1"/>
  <c r="K97" i="60"/>
  <c r="G97" i="60"/>
  <c r="I97" i="60" s="1"/>
  <c r="D98" i="60" s="1"/>
  <c r="D97" i="64"/>
  <c r="K97" i="64" s="1"/>
  <c r="L97" i="64" s="1"/>
  <c r="I97" i="64"/>
  <c r="G97" i="64"/>
  <c r="C195" i="60" l="1"/>
  <c r="H98" i="60"/>
  <c r="J98" i="60"/>
  <c r="E98" i="60"/>
  <c r="L98" i="60" s="1"/>
  <c r="M98" i="60" s="1"/>
  <c r="E97" i="64"/>
  <c r="F97" i="64"/>
  <c r="H97" i="64" s="1"/>
  <c r="C98" i="64" s="1"/>
  <c r="J97" i="64"/>
  <c r="P98" i="60" l="1"/>
  <c r="Q98" i="60" s="1"/>
  <c r="K98" i="60"/>
  <c r="G98" i="60"/>
  <c r="I98" i="60" s="1"/>
  <c r="D99" i="60" s="1"/>
  <c r="F98" i="60"/>
  <c r="C196" i="60"/>
  <c r="D98" i="64"/>
  <c r="K98" i="64" s="1"/>
  <c r="L98" i="64" s="1"/>
  <c r="G98" i="64"/>
  <c r="I98" i="64"/>
  <c r="E99" i="60" l="1"/>
  <c r="L99" i="60" s="1"/>
  <c r="M99" i="60" s="1"/>
  <c r="J99" i="60"/>
  <c r="H99" i="60"/>
  <c r="C197" i="60"/>
  <c r="J98" i="64"/>
  <c r="F98" i="64"/>
  <c r="H98" i="64" s="1"/>
  <c r="C99" i="64" s="1"/>
  <c r="E98" i="64"/>
  <c r="C198" i="60" l="1"/>
  <c r="K99" i="60"/>
  <c r="G99" i="60"/>
  <c r="I99" i="60" s="1"/>
  <c r="D100" i="60" s="1"/>
  <c r="P99" i="60"/>
  <c r="Q99" i="60" s="1"/>
  <c r="F99" i="60"/>
  <c r="I99" i="64"/>
  <c r="D99" i="64"/>
  <c r="K99" i="64" s="1"/>
  <c r="L99" i="64" s="1"/>
  <c r="G99" i="64"/>
  <c r="H100" i="60" l="1"/>
  <c r="J100" i="60"/>
  <c r="E100" i="60"/>
  <c r="C199" i="60"/>
  <c r="E99" i="64"/>
  <c r="F99" i="64"/>
  <c r="H99" i="64" s="1"/>
  <c r="C100" i="64" s="1"/>
  <c r="J99" i="64"/>
  <c r="P100" i="60" l="1"/>
  <c r="Q100" i="60" s="1"/>
  <c r="F100" i="60"/>
  <c r="G100" i="60"/>
  <c r="I100" i="60" s="1"/>
  <c r="D101" i="60" s="1"/>
  <c r="K100" i="60"/>
  <c r="L100" i="60"/>
  <c r="M100" i="60" s="1"/>
  <c r="C200" i="60"/>
  <c r="G100" i="64"/>
  <c r="I100" i="64"/>
  <c r="D100" i="64"/>
  <c r="K100" i="64" s="1"/>
  <c r="L100" i="64" s="1"/>
  <c r="C201" i="60" l="1"/>
  <c r="J101" i="60"/>
  <c r="H101" i="60"/>
  <c r="E101" i="60"/>
  <c r="L101" i="60" s="1"/>
  <c r="M101" i="60" s="1"/>
  <c r="E100" i="64"/>
  <c r="J100" i="64"/>
  <c r="F100" i="64"/>
  <c r="H100" i="64" s="1"/>
  <c r="C101" i="64" s="1"/>
  <c r="G101" i="60" l="1"/>
  <c r="I101" i="60" s="1"/>
  <c r="D102" i="60" s="1"/>
  <c r="P101" i="60"/>
  <c r="Q101" i="60" s="1"/>
  <c r="F101" i="60"/>
  <c r="K101" i="60"/>
  <c r="C202" i="60"/>
  <c r="G101" i="64"/>
  <c r="D101" i="64"/>
  <c r="K101" i="64" s="1"/>
  <c r="L101" i="64" s="1"/>
  <c r="I101" i="64"/>
  <c r="C203" i="60" l="1"/>
  <c r="H102" i="60"/>
  <c r="J102" i="60"/>
  <c r="E102" i="60"/>
  <c r="F101" i="64"/>
  <c r="H101" i="64" s="1"/>
  <c r="C102" i="64" s="1"/>
  <c r="E101" i="64"/>
  <c r="J101" i="64"/>
  <c r="L102" i="60" l="1"/>
  <c r="M102" i="60" s="1"/>
  <c r="P102" i="60"/>
  <c r="Q102" i="60" s="1"/>
  <c r="K102" i="60"/>
  <c r="F102" i="60"/>
  <c r="G102" i="60"/>
  <c r="I102" i="60" s="1"/>
  <c r="D103" i="60" s="1"/>
  <c r="C204" i="60"/>
  <c r="G102" i="64"/>
  <c r="D102" i="64"/>
  <c r="I102" i="64"/>
  <c r="C205" i="60" l="1"/>
  <c r="E103" i="60"/>
  <c r="H103" i="60"/>
  <c r="J103" i="60"/>
  <c r="E102" i="64"/>
  <c r="F102" i="64"/>
  <c r="H102" i="64" s="1"/>
  <c r="C103" i="64" s="1"/>
  <c r="J102" i="64"/>
  <c r="K102" i="64"/>
  <c r="L102" i="64" s="1"/>
  <c r="P103" i="60" l="1"/>
  <c r="Q103" i="60" s="1"/>
  <c r="G103" i="60"/>
  <c r="I103" i="60" s="1"/>
  <c r="D104" i="60" s="1"/>
  <c r="F103" i="60"/>
  <c r="K103" i="60"/>
  <c r="L103" i="60"/>
  <c r="M103" i="60" s="1"/>
  <c r="C206" i="60"/>
  <c r="D103" i="64"/>
  <c r="I103" i="64"/>
  <c r="G103" i="64"/>
  <c r="C207" i="60" l="1"/>
  <c r="H104" i="60"/>
  <c r="E104" i="60"/>
  <c r="J104" i="60"/>
  <c r="E103" i="64"/>
  <c r="F103" i="64"/>
  <c r="H103" i="64" s="1"/>
  <c r="C104" i="64" s="1"/>
  <c r="J103" i="64"/>
  <c r="K103" i="64"/>
  <c r="L103" i="64" s="1"/>
  <c r="L104" i="60" l="1"/>
  <c r="M104" i="60" s="1"/>
  <c r="G104" i="60"/>
  <c r="I104" i="60" s="1"/>
  <c r="D105" i="60" s="1"/>
  <c r="F104" i="60"/>
  <c r="K104" i="60"/>
  <c r="P104" i="60"/>
  <c r="Q104" i="60" s="1"/>
  <c r="C208" i="60"/>
  <c r="I104" i="64"/>
  <c r="D104" i="64"/>
  <c r="K104" i="64" s="1"/>
  <c r="L104" i="64" s="1"/>
  <c r="G104" i="64"/>
  <c r="C209" i="60" l="1"/>
  <c r="J105" i="60"/>
  <c r="H105" i="60"/>
  <c r="E105" i="60"/>
  <c r="L105" i="60" s="1"/>
  <c r="M105" i="60" s="1"/>
  <c r="E104" i="64"/>
  <c r="F104" i="64"/>
  <c r="H104" i="64" s="1"/>
  <c r="C105" i="64" s="1"/>
  <c r="J104" i="64"/>
  <c r="K105" i="60" l="1"/>
  <c r="P105" i="60"/>
  <c r="Q105" i="60" s="1"/>
  <c r="F105" i="60"/>
  <c r="G105" i="60"/>
  <c r="I105" i="60" s="1"/>
  <c r="D106" i="60" s="1"/>
  <c r="C210" i="60"/>
  <c r="I105" i="64"/>
  <c r="G105" i="64"/>
  <c r="D105" i="64"/>
  <c r="K105" i="64" s="1"/>
  <c r="L105" i="64" s="1"/>
  <c r="H106" i="60" l="1"/>
  <c r="E106" i="60"/>
  <c r="J106" i="60"/>
  <c r="C211" i="60"/>
  <c r="J105" i="64"/>
  <c r="F105" i="64"/>
  <c r="H105" i="64" s="1"/>
  <c r="C106" i="64" s="1"/>
  <c r="E105" i="64"/>
  <c r="C212" i="60" l="1"/>
  <c r="L106" i="60"/>
  <c r="M106" i="60" s="1"/>
  <c r="P106" i="60"/>
  <c r="Q106" i="60" s="1"/>
  <c r="K106" i="60"/>
  <c r="F106" i="60"/>
  <c r="G106" i="60"/>
  <c r="I106" i="60" s="1"/>
  <c r="D107" i="60" s="1"/>
  <c r="D106" i="64"/>
  <c r="K106" i="64" s="1"/>
  <c r="L106" i="64" s="1"/>
  <c r="I106" i="64"/>
  <c r="G106" i="64"/>
  <c r="E107" i="60" l="1"/>
  <c r="H107" i="60"/>
  <c r="J107" i="60"/>
  <c r="C213" i="60"/>
  <c r="J106" i="64"/>
  <c r="F106" i="64"/>
  <c r="H106" i="64" s="1"/>
  <c r="C107" i="64" s="1"/>
  <c r="E106" i="64"/>
  <c r="C214" i="60" l="1"/>
  <c r="L107" i="60"/>
  <c r="M107" i="60" s="1"/>
  <c r="G107" i="60"/>
  <c r="I107" i="60" s="1"/>
  <c r="D108" i="60" s="1"/>
  <c r="K107" i="60"/>
  <c r="F107" i="60"/>
  <c r="P107" i="60"/>
  <c r="Q107" i="60" s="1"/>
  <c r="G107" i="64"/>
  <c r="I107" i="64"/>
  <c r="D107" i="64"/>
  <c r="E108" i="60" l="1"/>
  <c r="H108" i="60"/>
  <c r="J108" i="60"/>
  <c r="C215" i="60"/>
  <c r="E107" i="64"/>
  <c r="J107" i="64"/>
  <c r="F107" i="64"/>
  <c r="H107" i="64" s="1"/>
  <c r="C108" i="64" s="1"/>
  <c r="K107" i="64"/>
  <c r="L107" i="64" s="1"/>
  <c r="C216" i="60" l="1"/>
  <c r="L108" i="60"/>
  <c r="M108" i="60" s="1"/>
  <c r="G108" i="60"/>
  <c r="I108" i="60" s="1"/>
  <c r="D109" i="60" s="1"/>
  <c r="K108" i="60"/>
  <c r="F108" i="60"/>
  <c r="P108" i="60"/>
  <c r="Q108" i="60" s="1"/>
  <c r="I108" i="64"/>
  <c r="G108" i="64"/>
  <c r="D108" i="64"/>
  <c r="K108" i="64" s="1"/>
  <c r="L108" i="64" s="1"/>
  <c r="E109" i="60" l="1"/>
  <c r="J109" i="60"/>
  <c r="H109" i="60"/>
  <c r="C217" i="60"/>
  <c r="E108" i="64"/>
  <c r="F108" i="64"/>
  <c r="H108" i="64" s="1"/>
  <c r="C109" i="64" s="1"/>
  <c r="J108" i="64"/>
  <c r="P109" i="60" l="1"/>
  <c r="Q109" i="60" s="1"/>
  <c r="F109" i="60"/>
  <c r="G109" i="60"/>
  <c r="I109" i="60" s="1"/>
  <c r="D110" i="60" s="1"/>
  <c r="K109" i="60"/>
  <c r="C218" i="60"/>
  <c r="L109" i="60"/>
  <c r="M109" i="60" s="1"/>
  <c r="I109" i="64"/>
  <c r="D109" i="64"/>
  <c r="G109" i="64"/>
  <c r="J110" i="60" l="1"/>
  <c r="E110" i="60"/>
  <c r="L110" i="60" s="1"/>
  <c r="M110" i="60" s="1"/>
  <c r="H110" i="60"/>
  <c r="C219" i="60"/>
  <c r="E109" i="64"/>
  <c r="F109" i="64"/>
  <c r="H109" i="64" s="1"/>
  <c r="C110" i="64" s="1"/>
  <c r="J109" i="64"/>
  <c r="K109" i="64"/>
  <c r="L109" i="64" s="1"/>
  <c r="P110" i="60" l="1"/>
  <c r="Q110" i="60" s="1"/>
  <c r="G110" i="60"/>
  <c r="I110" i="60" s="1"/>
  <c r="D111" i="60" s="1"/>
  <c r="F110" i="60"/>
  <c r="K110" i="60"/>
  <c r="C220" i="60"/>
  <c r="D110" i="64"/>
  <c r="K110" i="64" s="1"/>
  <c r="L110" i="64" s="1"/>
  <c r="I110" i="64"/>
  <c r="G110" i="64"/>
  <c r="E111" i="60" l="1"/>
  <c r="L111" i="60" s="1"/>
  <c r="M111" i="60" s="1"/>
  <c r="J111" i="60"/>
  <c r="H111" i="60"/>
  <c r="C221" i="60"/>
  <c r="J110" i="64"/>
  <c r="F110" i="64"/>
  <c r="H110" i="64" s="1"/>
  <c r="C111" i="64" s="1"/>
  <c r="E110" i="64"/>
  <c r="C222" i="60" l="1"/>
  <c r="P111" i="60"/>
  <c r="Q111" i="60" s="1"/>
  <c r="K111" i="60"/>
  <c r="F111" i="60"/>
  <c r="G111" i="60"/>
  <c r="I111" i="60" s="1"/>
  <c r="D112" i="60" s="1"/>
  <c r="G111" i="64"/>
  <c r="D111" i="64"/>
  <c r="I111" i="64"/>
  <c r="J112" i="60" l="1"/>
  <c r="E112" i="60"/>
  <c r="L112" i="60" s="1"/>
  <c r="M112" i="60" s="1"/>
  <c r="H112" i="60"/>
  <c r="C223" i="60"/>
  <c r="E111" i="64"/>
  <c r="F111" i="64"/>
  <c r="H111" i="64" s="1"/>
  <c r="C112" i="64" s="1"/>
  <c r="J111" i="64"/>
  <c r="K111" i="64"/>
  <c r="L111" i="64" s="1"/>
  <c r="P112" i="60" l="1"/>
  <c r="Q112" i="60" s="1"/>
  <c r="G112" i="60"/>
  <c r="I112" i="60" s="1"/>
  <c r="D113" i="60" s="1"/>
  <c r="K112" i="60"/>
  <c r="F112" i="60"/>
  <c r="C224" i="60"/>
  <c r="G112" i="64"/>
  <c r="D112" i="64"/>
  <c r="I112" i="64"/>
  <c r="E113" i="60" l="1"/>
  <c r="L113" i="60" s="1"/>
  <c r="M113" i="60" s="1"/>
  <c r="H113" i="60"/>
  <c r="J113" i="60"/>
  <c r="C225" i="60"/>
  <c r="E112" i="64"/>
  <c r="J112" i="64"/>
  <c r="F112" i="64"/>
  <c r="H112" i="64" s="1"/>
  <c r="C113" i="64" s="1"/>
  <c r="K112" i="64"/>
  <c r="L112" i="64" s="1"/>
  <c r="C226" i="60" l="1"/>
  <c r="P113" i="60"/>
  <c r="Q113" i="60" s="1"/>
  <c r="G113" i="60"/>
  <c r="I113" i="60" s="1"/>
  <c r="D114" i="60" s="1"/>
  <c r="F113" i="60"/>
  <c r="K113" i="60"/>
  <c r="I113" i="64"/>
  <c r="D113" i="64"/>
  <c r="G113" i="64"/>
  <c r="E114" i="60" l="1"/>
  <c r="J114" i="60"/>
  <c r="H114" i="60"/>
  <c r="C227" i="60"/>
  <c r="E113" i="64"/>
  <c r="F113" i="64"/>
  <c r="H113" i="64" s="1"/>
  <c r="C114" i="64" s="1"/>
  <c r="J113" i="64"/>
  <c r="K113" i="64"/>
  <c r="L113" i="64" s="1"/>
  <c r="C228" i="60" l="1"/>
  <c r="L114" i="60"/>
  <c r="M114" i="60" s="1"/>
  <c r="P114" i="60"/>
  <c r="Q114" i="60" s="1"/>
  <c r="K114" i="60"/>
  <c r="G114" i="60"/>
  <c r="I114" i="60" s="1"/>
  <c r="D115" i="60" s="1"/>
  <c r="F114" i="60"/>
  <c r="D114" i="64"/>
  <c r="I114" i="64"/>
  <c r="G114" i="64"/>
  <c r="E115" i="60" l="1"/>
  <c r="L115" i="60" s="1"/>
  <c r="M115" i="60" s="1"/>
  <c r="H115" i="60"/>
  <c r="J115" i="60"/>
  <c r="C229" i="60"/>
  <c r="J114" i="64"/>
  <c r="F114" i="64"/>
  <c r="H114" i="64" s="1"/>
  <c r="C115" i="64" s="1"/>
  <c r="E114" i="64"/>
  <c r="K114" i="64"/>
  <c r="L114" i="64" s="1"/>
  <c r="C230" i="60" l="1"/>
  <c r="P115" i="60"/>
  <c r="Q115" i="60" s="1"/>
  <c r="G115" i="60"/>
  <c r="I115" i="60" s="1"/>
  <c r="D116" i="60" s="1"/>
  <c r="F115" i="60"/>
  <c r="K115" i="60"/>
  <c r="I115" i="64"/>
  <c r="D115" i="64"/>
  <c r="K115" i="64" s="1"/>
  <c r="L115" i="64" s="1"/>
  <c r="G115" i="64"/>
  <c r="J116" i="60" l="1"/>
  <c r="H116" i="60"/>
  <c r="E116" i="60"/>
  <c r="C231" i="60"/>
  <c r="F115" i="64"/>
  <c r="H115" i="64" s="1"/>
  <c r="C116" i="64" s="1"/>
  <c r="J115" i="64"/>
  <c r="E115" i="64"/>
  <c r="L116" i="60" l="1"/>
  <c r="M116" i="60" s="1"/>
  <c r="P116" i="60"/>
  <c r="Q116" i="60" s="1"/>
  <c r="K116" i="60"/>
  <c r="G116" i="60"/>
  <c r="I116" i="60" s="1"/>
  <c r="D117" i="60" s="1"/>
  <c r="F116" i="60"/>
  <c r="C232" i="60"/>
  <c r="G116" i="64"/>
  <c r="I116" i="64"/>
  <c r="D116" i="64"/>
  <c r="K116" i="64" s="1"/>
  <c r="L116" i="64" s="1"/>
  <c r="C233" i="60" l="1"/>
  <c r="E117" i="60"/>
  <c r="J117" i="60"/>
  <c r="H117" i="60"/>
  <c r="J116" i="64"/>
  <c r="E116" i="64"/>
  <c r="F116" i="64"/>
  <c r="H116" i="64" s="1"/>
  <c r="C117" i="64" s="1"/>
  <c r="P117" i="60" l="1"/>
  <c r="Q117" i="60" s="1"/>
  <c r="G117" i="60"/>
  <c r="I117" i="60" s="1"/>
  <c r="D118" i="60" s="1"/>
  <c r="K117" i="60"/>
  <c r="F117" i="60"/>
  <c r="L117" i="60"/>
  <c r="M117" i="60" s="1"/>
  <c r="C234" i="60"/>
  <c r="I117" i="64"/>
  <c r="D117" i="64"/>
  <c r="G117" i="64"/>
  <c r="C235" i="60" l="1"/>
  <c r="E118" i="60"/>
  <c r="J118" i="60"/>
  <c r="H118" i="60"/>
  <c r="E117" i="64"/>
  <c r="J117" i="64"/>
  <c r="F117" i="64"/>
  <c r="H117" i="64" s="1"/>
  <c r="C118" i="64" s="1"/>
  <c r="K117" i="64"/>
  <c r="L117" i="64" s="1"/>
  <c r="L118" i="60" l="1"/>
  <c r="M118" i="60" s="1"/>
  <c r="F118" i="60"/>
  <c r="G118" i="60"/>
  <c r="I118" i="60" s="1"/>
  <c r="D119" i="60" s="1"/>
  <c r="P118" i="60"/>
  <c r="Q118" i="60" s="1"/>
  <c r="K118" i="60"/>
  <c r="C236" i="60"/>
  <c r="G118" i="64"/>
  <c r="I118" i="64"/>
  <c r="D118" i="64"/>
  <c r="K118" i="64" s="1"/>
  <c r="L118" i="64" s="1"/>
  <c r="H119" i="60" l="1"/>
  <c r="E119" i="60"/>
  <c r="L119" i="60" s="1"/>
  <c r="M119" i="60" s="1"/>
  <c r="J119" i="60"/>
  <c r="C237" i="60"/>
  <c r="F118" i="64"/>
  <c r="H118" i="64" s="1"/>
  <c r="C119" i="64" s="1"/>
  <c r="E118" i="64"/>
  <c r="J118" i="64"/>
  <c r="G119" i="60" l="1"/>
  <c r="I119" i="60" s="1"/>
  <c r="D120" i="60" s="1"/>
  <c r="K119" i="60"/>
  <c r="P119" i="60"/>
  <c r="Q119" i="60" s="1"/>
  <c r="F119" i="60"/>
  <c r="C238" i="60"/>
  <c r="G119" i="64"/>
  <c r="I119" i="64"/>
  <c r="D119" i="64"/>
  <c r="C239" i="60" l="1"/>
  <c r="E120" i="60"/>
  <c r="J120" i="60"/>
  <c r="H120" i="60"/>
  <c r="E119" i="64"/>
  <c r="J119" i="64"/>
  <c r="F119" i="64"/>
  <c r="H119" i="64" s="1"/>
  <c r="C120" i="64" s="1"/>
  <c r="K119" i="64"/>
  <c r="L119" i="64" s="1"/>
  <c r="L120" i="60" l="1"/>
  <c r="M120" i="60" s="1"/>
  <c r="G120" i="60"/>
  <c r="I120" i="60" s="1"/>
  <c r="D121" i="60" s="1"/>
  <c r="K120" i="60"/>
  <c r="F120" i="60"/>
  <c r="P120" i="60"/>
  <c r="Q120" i="60" s="1"/>
  <c r="C240" i="60"/>
  <c r="D120" i="64"/>
  <c r="K120" i="64" s="1"/>
  <c r="L120" i="64" s="1"/>
  <c r="I120" i="64"/>
  <c r="G120" i="64"/>
  <c r="C241" i="60" l="1"/>
  <c r="E121" i="60"/>
  <c r="L121" i="60" s="1"/>
  <c r="M121" i="60" s="1"/>
  <c r="J121" i="60"/>
  <c r="H121" i="60"/>
  <c r="J120" i="64"/>
  <c r="E120" i="64"/>
  <c r="F120" i="64"/>
  <c r="H120" i="64" s="1"/>
  <c r="C121" i="64" s="1"/>
  <c r="G121" i="60" l="1"/>
  <c r="I121" i="60" s="1"/>
  <c r="D122" i="60" s="1"/>
  <c r="K121" i="60"/>
  <c r="P121" i="60"/>
  <c r="Q121" i="60" s="1"/>
  <c r="F121" i="60"/>
  <c r="C242" i="60"/>
  <c r="I121" i="64"/>
  <c r="D121" i="64"/>
  <c r="G121" i="64"/>
  <c r="C243" i="60" l="1"/>
  <c r="E122" i="60"/>
  <c r="H122" i="60"/>
  <c r="J122" i="60"/>
  <c r="E121" i="64"/>
  <c r="F121" i="64"/>
  <c r="H121" i="64" s="1"/>
  <c r="C122" i="64" s="1"/>
  <c r="J121" i="64"/>
  <c r="K121" i="64"/>
  <c r="L121" i="64" s="1"/>
  <c r="L122" i="60" l="1"/>
  <c r="M122" i="60" s="1"/>
  <c r="P122" i="60"/>
  <c r="Q122" i="60" s="1"/>
  <c r="G122" i="60"/>
  <c r="I122" i="60" s="1"/>
  <c r="D123" i="60" s="1"/>
  <c r="K122" i="60"/>
  <c r="F122" i="60"/>
  <c r="C244" i="60"/>
  <c r="I122" i="64"/>
  <c r="G122" i="64"/>
  <c r="D122" i="64"/>
  <c r="K122" i="64" s="1"/>
  <c r="L122" i="64" s="1"/>
  <c r="E123" i="60" l="1"/>
  <c r="L123" i="60" s="1"/>
  <c r="M123" i="60" s="1"/>
  <c r="H123" i="60"/>
  <c r="J123" i="60"/>
  <c r="C245" i="60"/>
  <c r="J122" i="64"/>
  <c r="F122" i="64"/>
  <c r="H122" i="64" s="1"/>
  <c r="C123" i="64" s="1"/>
  <c r="E122" i="64"/>
  <c r="C246" i="60" l="1"/>
  <c r="P123" i="60"/>
  <c r="Q123" i="60" s="1"/>
  <c r="G123" i="60"/>
  <c r="I123" i="60" s="1"/>
  <c r="D124" i="60" s="1"/>
  <c r="F123" i="60"/>
  <c r="K123" i="60"/>
  <c r="G123" i="64"/>
  <c r="D123" i="64"/>
  <c r="K123" i="64" s="1"/>
  <c r="L123" i="64" s="1"/>
  <c r="I123" i="64"/>
  <c r="C247" i="60" l="1"/>
  <c r="E124" i="60"/>
  <c r="H124" i="60"/>
  <c r="J124" i="60"/>
  <c r="J123" i="64"/>
  <c r="E123" i="64"/>
  <c r="F123" i="64"/>
  <c r="H123" i="64" s="1"/>
  <c r="C124" i="64" s="1"/>
  <c r="L124" i="60" l="1"/>
  <c r="M124" i="60" s="1"/>
  <c r="G124" i="60"/>
  <c r="I124" i="60" s="1"/>
  <c r="D125" i="60" s="1"/>
  <c r="F124" i="60"/>
  <c r="P124" i="60"/>
  <c r="Q124" i="60" s="1"/>
  <c r="K124" i="60"/>
  <c r="C248" i="60"/>
  <c r="D124" i="64"/>
  <c r="K124" i="64" s="1"/>
  <c r="L124" i="64" s="1"/>
  <c r="I124" i="64"/>
  <c r="G124" i="64"/>
  <c r="C249" i="60" l="1"/>
  <c r="E125" i="60"/>
  <c r="H125" i="60"/>
  <c r="J125" i="60"/>
  <c r="J124" i="64"/>
  <c r="F124" i="64"/>
  <c r="H124" i="64" s="1"/>
  <c r="C125" i="64" s="1"/>
  <c r="E124" i="64"/>
  <c r="P125" i="60" l="1"/>
  <c r="Q125" i="60" s="1"/>
  <c r="G125" i="60"/>
  <c r="I125" i="60" s="1"/>
  <c r="D126" i="60" s="1"/>
  <c r="K125" i="60"/>
  <c r="F125" i="60"/>
  <c r="L125" i="60"/>
  <c r="M125" i="60" s="1"/>
  <c r="C250" i="60"/>
  <c r="I125" i="64"/>
  <c r="G125" i="64"/>
  <c r="D125" i="64"/>
  <c r="C251" i="60" l="1"/>
  <c r="E126" i="60"/>
  <c r="J126" i="60"/>
  <c r="H126" i="60"/>
  <c r="E125" i="64"/>
  <c r="J125" i="64"/>
  <c r="F125" i="64"/>
  <c r="H125" i="64" s="1"/>
  <c r="C126" i="64" s="1"/>
  <c r="K125" i="64"/>
  <c r="L125" i="64" s="1"/>
  <c r="L126" i="60" l="1"/>
  <c r="M126" i="60" s="1"/>
  <c r="F126" i="60"/>
  <c r="P126" i="60"/>
  <c r="Q126" i="60" s="1"/>
  <c r="K126" i="60"/>
  <c r="G126" i="60"/>
  <c r="I126" i="60" s="1"/>
  <c r="D127" i="60" s="1"/>
  <c r="C252" i="60"/>
  <c r="G126" i="64"/>
  <c r="I126" i="64"/>
  <c r="D126" i="64"/>
  <c r="C253" i="60" l="1"/>
  <c r="H127" i="60"/>
  <c r="E127" i="60"/>
  <c r="J127" i="60"/>
  <c r="F126" i="64"/>
  <c r="H126" i="64" s="1"/>
  <c r="C127" i="64" s="1"/>
  <c r="E126" i="64"/>
  <c r="J126" i="64"/>
  <c r="K126" i="64"/>
  <c r="L126" i="64" s="1"/>
  <c r="L127" i="60" l="1"/>
  <c r="M127" i="60" s="1"/>
  <c r="P127" i="60"/>
  <c r="Q127" i="60" s="1"/>
  <c r="G127" i="60"/>
  <c r="I127" i="60" s="1"/>
  <c r="D128" i="60" s="1"/>
  <c r="K127" i="60"/>
  <c r="F127" i="60"/>
  <c r="C254" i="60"/>
  <c r="I127" i="64"/>
  <c r="D127" i="64"/>
  <c r="G127" i="64"/>
  <c r="J128" i="60" l="1"/>
  <c r="E128" i="60"/>
  <c r="L128" i="60" s="1"/>
  <c r="M128" i="60" s="1"/>
  <c r="H128" i="60"/>
  <c r="C255" i="60"/>
  <c r="J127" i="64"/>
  <c r="F127" i="64"/>
  <c r="H127" i="64" s="1"/>
  <c r="C128" i="64" s="1"/>
  <c r="E127" i="64"/>
  <c r="K127" i="64"/>
  <c r="L127" i="64" s="1"/>
  <c r="G128" i="60" l="1"/>
  <c r="I128" i="60" s="1"/>
  <c r="D129" i="60" s="1"/>
  <c r="K128" i="60"/>
  <c r="F128" i="60"/>
  <c r="P128" i="60"/>
  <c r="Q128" i="60" s="1"/>
  <c r="C256" i="60"/>
  <c r="D128" i="64"/>
  <c r="K128" i="64" s="1"/>
  <c r="L128" i="64" s="1"/>
  <c r="G128" i="64"/>
  <c r="I128" i="64"/>
  <c r="J129" i="60" l="1"/>
  <c r="E129" i="60"/>
  <c r="H129" i="60"/>
  <c r="C257" i="60"/>
  <c r="E128" i="64"/>
  <c r="J128" i="64"/>
  <c r="F128" i="64"/>
  <c r="H128" i="64" s="1"/>
  <c r="C129" i="64" s="1"/>
  <c r="C258" i="60" l="1"/>
  <c r="L129" i="60"/>
  <c r="M129" i="60" s="1"/>
  <c r="G129" i="60"/>
  <c r="I129" i="60" s="1"/>
  <c r="D130" i="60" s="1"/>
  <c r="F129" i="60"/>
  <c r="K129" i="60"/>
  <c r="P129" i="60"/>
  <c r="Q129" i="60" s="1"/>
  <c r="D129" i="64"/>
  <c r="I129" i="64"/>
  <c r="G129" i="64"/>
  <c r="E130" i="60" l="1"/>
  <c r="J130" i="60"/>
  <c r="H130" i="60"/>
  <c r="C259" i="60"/>
  <c r="F129" i="64"/>
  <c r="H129" i="64" s="1"/>
  <c r="C130" i="64" s="1"/>
  <c r="J129" i="64"/>
  <c r="E129" i="64"/>
  <c r="K129" i="64"/>
  <c r="L129" i="64" s="1"/>
  <c r="L130" i="60" l="1"/>
  <c r="M130" i="60" s="1"/>
  <c r="P130" i="60"/>
  <c r="Q130" i="60" s="1"/>
  <c r="G130" i="60"/>
  <c r="I130" i="60" s="1"/>
  <c r="D131" i="60" s="1"/>
  <c r="K130" i="60"/>
  <c r="F130" i="60"/>
  <c r="C260" i="60"/>
  <c r="I130" i="64"/>
  <c r="G130" i="64"/>
  <c r="D130" i="64"/>
  <c r="E131" i="60" l="1"/>
  <c r="L131" i="60" s="1"/>
  <c r="M131" i="60" s="1"/>
  <c r="J131" i="60"/>
  <c r="H131" i="60"/>
  <c r="C261" i="60"/>
  <c r="E130" i="64"/>
  <c r="J130" i="64"/>
  <c r="F130" i="64"/>
  <c r="H130" i="64" s="1"/>
  <c r="C131" i="64" s="1"/>
  <c r="K130" i="64"/>
  <c r="L130" i="64" s="1"/>
  <c r="C262" i="60" l="1"/>
  <c r="P131" i="60"/>
  <c r="Q131" i="60" s="1"/>
  <c r="G131" i="60"/>
  <c r="I131" i="60" s="1"/>
  <c r="D132" i="60" s="1"/>
  <c r="K131" i="60"/>
  <c r="F131" i="60"/>
  <c r="I131" i="64"/>
  <c r="D131" i="64"/>
  <c r="G131" i="64"/>
  <c r="E132" i="60" l="1"/>
  <c r="H132" i="60"/>
  <c r="J132" i="60"/>
  <c r="C263" i="60"/>
  <c r="J131" i="64"/>
  <c r="E131" i="64"/>
  <c r="F131" i="64"/>
  <c r="H131" i="64" s="1"/>
  <c r="C132" i="64" s="1"/>
  <c r="K131" i="64"/>
  <c r="L131" i="64" s="1"/>
  <c r="C264" i="60" l="1"/>
  <c r="L132" i="60"/>
  <c r="M132" i="60" s="1"/>
  <c r="G132" i="60"/>
  <c r="I132" i="60" s="1"/>
  <c r="D133" i="60" s="1"/>
  <c r="F132" i="60"/>
  <c r="P132" i="60"/>
  <c r="Q132" i="60" s="1"/>
  <c r="K132" i="60"/>
  <c r="G132" i="64"/>
  <c r="D132" i="64"/>
  <c r="I132" i="64"/>
  <c r="J133" i="60" l="1"/>
  <c r="H133" i="60"/>
  <c r="E133" i="60"/>
  <c r="C265" i="60"/>
  <c r="E132" i="64"/>
  <c r="F132" i="64"/>
  <c r="H132" i="64" s="1"/>
  <c r="C133" i="64" s="1"/>
  <c r="J132" i="64"/>
  <c r="K132" i="64"/>
  <c r="L132" i="64" s="1"/>
  <c r="L133" i="60" l="1"/>
  <c r="M133" i="60" s="1"/>
  <c r="P133" i="60"/>
  <c r="Q133" i="60" s="1"/>
  <c r="G133" i="60"/>
  <c r="I133" i="60" s="1"/>
  <c r="D134" i="60" s="1"/>
  <c r="K133" i="60"/>
  <c r="F133" i="60"/>
  <c r="C266" i="60"/>
  <c r="D133" i="64"/>
  <c r="K133" i="64" s="1"/>
  <c r="L133" i="64" s="1"/>
  <c r="G133" i="64"/>
  <c r="I133" i="64"/>
  <c r="E134" i="60" l="1"/>
  <c r="H134" i="60"/>
  <c r="J134" i="60"/>
  <c r="C267" i="60"/>
  <c r="F133" i="64"/>
  <c r="H133" i="64" s="1"/>
  <c r="C134" i="64" s="1"/>
  <c r="J133" i="64"/>
  <c r="E133" i="64"/>
  <c r="C268" i="60" l="1"/>
  <c r="L134" i="60"/>
  <c r="M134" i="60" s="1"/>
  <c r="F134" i="60"/>
  <c r="K134" i="60"/>
  <c r="G134" i="60"/>
  <c r="I134" i="60" s="1"/>
  <c r="D135" i="60" s="1"/>
  <c r="P134" i="60"/>
  <c r="Q134" i="60" s="1"/>
  <c r="D134" i="64"/>
  <c r="K134" i="64" s="1"/>
  <c r="L134" i="64" s="1"/>
  <c r="G134" i="64"/>
  <c r="I134" i="64"/>
  <c r="J135" i="60" l="1"/>
  <c r="E135" i="60"/>
  <c r="H135" i="60"/>
  <c r="C269" i="60"/>
  <c r="E134" i="64"/>
  <c r="J134" i="64"/>
  <c r="F134" i="64"/>
  <c r="H134" i="64" s="1"/>
  <c r="C135" i="64" s="1"/>
  <c r="C270" i="60" l="1"/>
  <c r="L135" i="60"/>
  <c r="M135" i="60" s="1"/>
  <c r="P135" i="60"/>
  <c r="Q135" i="60" s="1"/>
  <c r="F135" i="60"/>
  <c r="G135" i="60"/>
  <c r="I135" i="60" s="1"/>
  <c r="D136" i="60" s="1"/>
  <c r="K135" i="60"/>
  <c r="G135" i="64"/>
  <c r="I135" i="64"/>
  <c r="D135" i="64"/>
  <c r="K135" i="64" s="1"/>
  <c r="L135" i="64" s="1"/>
  <c r="H136" i="60" l="1"/>
  <c r="J136" i="60"/>
  <c r="E136" i="60"/>
  <c r="C271" i="60"/>
  <c r="E135" i="64"/>
  <c r="J135" i="64"/>
  <c r="F135" i="64"/>
  <c r="H135" i="64" s="1"/>
  <c r="C136" i="64" s="1"/>
  <c r="L136" i="60" l="1"/>
  <c r="M136" i="60" s="1"/>
  <c r="P136" i="60"/>
  <c r="Q136" i="60" s="1"/>
  <c r="K136" i="60"/>
  <c r="F136" i="60"/>
  <c r="G136" i="60"/>
  <c r="I136" i="60" s="1"/>
  <c r="D137" i="60" s="1"/>
  <c r="C272" i="60"/>
  <c r="D136" i="64"/>
  <c r="I136" i="64"/>
  <c r="G136" i="64"/>
  <c r="C273" i="60" l="1"/>
  <c r="E137" i="60"/>
  <c r="J137" i="60"/>
  <c r="H137" i="60"/>
  <c r="F136" i="64"/>
  <c r="H136" i="64" s="1"/>
  <c r="C137" i="64" s="1"/>
  <c r="J136" i="64"/>
  <c r="E136" i="64"/>
  <c r="K136" i="64"/>
  <c r="L136" i="64" s="1"/>
  <c r="L137" i="60" l="1"/>
  <c r="M137" i="60" s="1"/>
  <c r="K137" i="60"/>
  <c r="G137" i="60"/>
  <c r="I137" i="60" s="1"/>
  <c r="D138" i="60" s="1"/>
  <c r="F137" i="60"/>
  <c r="P137" i="60"/>
  <c r="Q137" i="60" s="1"/>
  <c r="C274" i="60"/>
  <c r="D137" i="64"/>
  <c r="I137" i="64"/>
  <c r="G137" i="64"/>
  <c r="H138" i="60" l="1"/>
  <c r="J138" i="60"/>
  <c r="E138" i="60"/>
  <c r="C275" i="60"/>
  <c r="E137" i="64"/>
  <c r="F137" i="64"/>
  <c r="H137" i="64" s="1"/>
  <c r="C138" i="64" s="1"/>
  <c r="J137" i="64"/>
  <c r="K137" i="64"/>
  <c r="L137" i="64" s="1"/>
  <c r="L138" i="60" l="1"/>
  <c r="M138" i="60" s="1"/>
  <c r="K138" i="60"/>
  <c r="F138" i="60"/>
  <c r="G138" i="60"/>
  <c r="I138" i="60" s="1"/>
  <c r="D139" i="60" s="1"/>
  <c r="P138" i="60"/>
  <c r="Q138" i="60" s="1"/>
  <c r="C276" i="60"/>
  <c r="I138" i="64"/>
  <c r="G138" i="64"/>
  <c r="D138" i="64"/>
  <c r="K138" i="64" s="1"/>
  <c r="L138" i="64" s="1"/>
  <c r="J139" i="60" l="1"/>
  <c r="H139" i="60"/>
  <c r="E139" i="60"/>
  <c r="C277" i="60"/>
  <c r="F138" i="64"/>
  <c r="H138" i="64" s="1"/>
  <c r="C139" i="64" s="1"/>
  <c r="J138" i="64"/>
  <c r="E138" i="64"/>
  <c r="C278" i="60" l="1"/>
  <c r="L139" i="60"/>
  <c r="M139" i="60" s="1"/>
  <c r="G139" i="60"/>
  <c r="I139" i="60" s="1"/>
  <c r="D140" i="60" s="1"/>
  <c r="P139" i="60"/>
  <c r="Q139" i="60" s="1"/>
  <c r="K139" i="60"/>
  <c r="F139" i="60"/>
  <c r="I139" i="64"/>
  <c r="G139" i="64"/>
  <c r="D139" i="64"/>
  <c r="K139" i="64" s="1"/>
  <c r="L139" i="64" s="1"/>
  <c r="E140" i="60" l="1"/>
  <c r="H140" i="60"/>
  <c r="J140" i="60"/>
  <c r="C279" i="60"/>
  <c r="J139" i="64"/>
  <c r="F139" i="64"/>
  <c r="H139" i="64" s="1"/>
  <c r="C140" i="64" s="1"/>
  <c r="E139" i="64"/>
  <c r="C280" i="60" l="1"/>
  <c r="L140" i="60"/>
  <c r="M140" i="60" s="1"/>
  <c r="F140" i="60"/>
  <c r="K140" i="60"/>
  <c r="P140" i="60"/>
  <c r="Q140" i="60" s="1"/>
  <c r="G140" i="60"/>
  <c r="I140" i="60" s="1"/>
  <c r="D141" i="60" s="1"/>
  <c r="D140" i="64"/>
  <c r="K140" i="64" s="1"/>
  <c r="L140" i="64" s="1"/>
  <c r="G140" i="64"/>
  <c r="I140" i="64"/>
  <c r="J141" i="60" l="1"/>
  <c r="H141" i="60"/>
  <c r="E141" i="60"/>
  <c r="C281" i="60"/>
  <c r="J140" i="64"/>
  <c r="F140" i="64"/>
  <c r="H140" i="64" s="1"/>
  <c r="C141" i="64" s="1"/>
  <c r="E140" i="64"/>
  <c r="P141" i="60" l="1"/>
  <c r="Q141" i="60" s="1"/>
  <c r="G141" i="60"/>
  <c r="I141" i="60" s="1"/>
  <c r="D142" i="60" s="1"/>
  <c r="K141" i="60"/>
  <c r="F141" i="60"/>
  <c r="L141" i="60"/>
  <c r="M141" i="60" s="1"/>
  <c r="C282" i="60"/>
  <c r="D141" i="64"/>
  <c r="K141" i="64" s="1"/>
  <c r="L141" i="64" s="1"/>
  <c r="I141" i="64"/>
  <c r="G141" i="64"/>
  <c r="C283" i="60" l="1"/>
  <c r="H142" i="60"/>
  <c r="J142" i="60"/>
  <c r="E142" i="60"/>
  <c r="J141" i="64"/>
  <c r="E141" i="64"/>
  <c r="F141" i="64"/>
  <c r="H141" i="64" s="1"/>
  <c r="C142" i="64" s="1"/>
  <c r="L142" i="60" l="1"/>
  <c r="M142" i="60" s="1"/>
  <c r="K142" i="60"/>
  <c r="F142" i="60"/>
  <c r="P142" i="60"/>
  <c r="Q142" i="60" s="1"/>
  <c r="G142" i="60"/>
  <c r="I142" i="60" s="1"/>
  <c r="D143" i="60" s="1"/>
  <c r="C284" i="60"/>
  <c r="D142" i="64"/>
  <c r="G142" i="64"/>
  <c r="I142" i="64"/>
  <c r="J143" i="60" l="1"/>
  <c r="H143" i="60"/>
  <c r="E143" i="60"/>
  <c r="C285" i="60"/>
  <c r="F142" i="64"/>
  <c r="H142" i="64" s="1"/>
  <c r="C143" i="64" s="1"/>
  <c r="J142" i="64"/>
  <c r="E142" i="64"/>
  <c r="K142" i="64"/>
  <c r="L142" i="64" s="1"/>
  <c r="C286" i="60" l="1"/>
  <c r="L143" i="60"/>
  <c r="M143" i="60" s="1"/>
  <c r="G143" i="60"/>
  <c r="I143" i="60" s="1"/>
  <c r="D144" i="60" s="1"/>
  <c r="F143" i="60"/>
  <c r="K143" i="60"/>
  <c r="P143" i="60"/>
  <c r="Q143" i="60" s="1"/>
  <c r="G143" i="64"/>
  <c r="D143" i="64"/>
  <c r="I143" i="64"/>
  <c r="H144" i="60" l="1"/>
  <c r="E144" i="60"/>
  <c r="J144" i="60"/>
  <c r="C287" i="60"/>
  <c r="J143" i="64"/>
  <c r="E143" i="64"/>
  <c r="F143" i="64"/>
  <c r="H143" i="64" s="1"/>
  <c r="C144" i="64" s="1"/>
  <c r="K143" i="64"/>
  <c r="L143" i="64" s="1"/>
  <c r="C288" i="60" l="1"/>
  <c r="L144" i="60"/>
  <c r="M144" i="60" s="1"/>
  <c r="P144" i="60"/>
  <c r="Q144" i="60" s="1"/>
  <c r="G144" i="60"/>
  <c r="I144" i="60" s="1"/>
  <c r="D145" i="60" s="1"/>
  <c r="F144" i="60"/>
  <c r="K144" i="60"/>
  <c r="D144" i="64"/>
  <c r="K144" i="64" s="1"/>
  <c r="L144" i="64" s="1"/>
  <c r="I144" i="64"/>
  <c r="G144" i="64"/>
  <c r="J145" i="60" l="1"/>
  <c r="H145" i="60"/>
  <c r="E145" i="60"/>
  <c r="C289" i="60"/>
  <c r="E144" i="64"/>
  <c r="F144" i="64"/>
  <c r="H144" i="64" s="1"/>
  <c r="C145" i="64" s="1"/>
  <c r="J144" i="64"/>
  <c r="L145" i="60" l="1"/>
  <c r="M145" i="60" s="1"/>
  <c r="G145" i="60"/>
  <c r="I145" i="60" s="1"/>
  <c r="D146" i="60" s="1"/>
  <c r="P145" i="60"/>
  <c r="Q145" i="60" s="1"/>
  <c r="K145" i="60"/>
  <c r="F145" i="60"/>
  <c r="C290" i="60"/>
  <c r="I145" i="64"/>
  <c r="G145" i="64"/>
  <c r="D145" i="64"/>
  <c r="H146" i="60" l="1"/>
  <c r="J146" i="60"/>
  <c r="E146" i="60"/>
  <c r="L146" i="60" s="1"/>
  <c r="M146" i="60" s="1"/>
  <c r="C291" i="60"/>
  <c r="E145" i="64"/>
  <c r="J145" i="64"/>
  <c r="F145" i="64"/>
  <c r="H145" i="64" s="1"/>
  <c r="C146" i="64" s="1"/>
  <c r="K145" i="64"/>
  <c r="L145" i="64" s="1"/>
  <c r="C292" i="60" l="1"/>
  <c r="K146" i="60"/>
  <c r="P146" i="60"/>
  <c r="Q146" i="60" s="1"/>
  <c r="F146" i="60"/>
  <c r="G146" i="60"/>
  <c r="I146" i="60" s="1"/>
  <c r="D147" i="60" s="1"/>
  <c r="D146" i="64"/>
  <c r="K146" i="64" s="1"/>
  <c r="L146" i="64" s="1"/>
  <c r="G146" i="64"/>
  <c r="I146" i="64"/>
  <c r="J147" i="60" l="1"/>
  <c r="H147" i="60"/>
  <c r="E147" i="60"/>
  <c r="C293" i="60"/>
  <c r="E146" i="64"/>
  <c r="J146" i="64"/>
  <c r="F146" i="64"/>
  <c r="H146" i="64" s="1"/>
  <c r="C147" i="64" s="1"/>
  <c r="C294" i="60" l="1"/>
  <c r="L147" i="60"/>
  <c r="M147" i="60" s="1"/>
  <c r="G147" i="60"/>
  <c r="I147" i="60" s="1"/>
  <c r="D148" i="60" s="1"/>
  <c r="F147" i="60"/>
  <c r="P147" i="60"/>
  <c r="Q147" i="60" s="1"/>
  <c r="K147" i="60"/>
  <c r="I147" i="64"/>
  <c r="G147" i="64"/>
  <c r="D147" i="64"/>
  <c r="H148" i="60" l="1"/>
  <c r="J148" i="60"/>
  <c r="E148" i="60"/>
  <c r="C295" i="60"/>
  <c r="J147" i="64"/>
  <c r="E147" i="64"/>
  <c r="F147" i="64"/>
  <c r="H147" i="64" s="1"/>
  <c r="C148" i="64" s="1"/>
  <c r="K147" i="64"/>
  <c r="L147" i="64" s="1"/>
  <c r="C296" i="60" l="1"/>
  <c r="L148" i="60"/>
  <c r="M148" i="60" s="1"/>
  <c r="K148" i="60"/>
  <c r="F148" i="60"/>
  <c r="P148" i="60"/>
  <c r="Q148" i="60" s="1"/>
  <c r="G148" i="60"/>
  <c r="I148" i="60" s="1"/>
  <c r="D149" i="60" s="1"/>
  <c r="D148" i="64"/>
  <c r="G148" i="64"/>
  <c r="I148" i="64"/>
  <c r="J149" i="60" l="1"/>
  <c r="H149" i="60"/>
  <c r="E149" i="60"/>
  <c r="C297" i="60"/>
  <c r="E148" i="64"/>
  <c r="F148" i="64"/>
  <c r="H148" i="64" s="1"/>
  <c r="C149" i="64" s="1"/>
  <c r="J148" i="64"/>
  <c r="K148" i="64"/>
  <c r="L148" i="64" s="1"/>
  <c r="C298" i="60" l="1"/>
  <c r="L149" i="60"/>
  <c r="M149" i="60" s="1"/>
  <c r="P149" i="60"/>
  <c r="Q149" i="60" s="1"/>
  <c r="K149" i="60"/>
  <c r="G149" i="60"/>
  <c r="I149" i="60" s="1"/>
  <c r="D150" i="60" s="1"/>
  <c r="F149" i="60"/>
  <c r="D149" i="64"/>
  <c r="K149" i="64" s="1"/>
  <c r="L149" i="64" s="1"/>
  <c r="I149" i="64"/>
  <c r="G149" i="64"/>
  <c r="E150" i="60" l="1"/>
  <c r="H150" i="60"/>
  <c r="J150" i="60"/>
  <c r="C299" i="60"/>
  <c r="J149" i="64"/>
  <c r="F149" i="64"/>
  <c r="H149" i="64" s="1"/>
  <c r="C150" i="64" s="1"/>
  <c r="E149" i="64"/>
  <c r="C300" i="60" l="1"/>
  <c r="L150" i="60"/>
  <c r="M150" i="60" s="1"/>
  <c r="F150" i="60"/>
  <c r="P150" i="60"/>
  <c r="Q150" i="60" s="1"/>
  <c r="G150" i="60"/>
  <c r="I150" i="60" s="1"/>
  <c r="D151" i="60" s="1"/>
  <c r="K150" i="60"/>
  <c r="D150" i="64"/>
  <c r="K150" i="64" s="1"/>
  <c r="L150" i="64" s="1"/>
  <c r="I150" i="64"/>
  <c r="G150" i="64"/>
  <c r="E151" i="60" l="1"/>
  <c r="L151" i="60" s="1"/>
  <c r="M151" i="60" s="1"/>
  <c r="J151" i="60"/>
  <c r="H151" i="60"/>
  <c r="C301" i="60"/>
  <c r="J150" i="64"/>
  <c r="E150" i="64"/>
  <c r="F150" i="64"/>
  <c r="H150" i="64" s="1"/>
  <c r="C151" i="64" s="1"/>
  <c r="C302" i="60" l="1"/>
  <c r="G151" i="60"/>
  <c r="I151" i="60" s="1"/>
  <c r="D152" i="60" s="1"/>
  <c r="K151" i="60"/>
  <c r="P151" i="60"/>
  <c r="Q151" i="60" s="1"/>
  <c r="F151" i="60"/>
  <c r="D151" i="64"/>
  <c r="I151" i="64"/>
  <c r="G151" i="64"/>
  <c r="H152" i="60" l="1"/>
  <c r="E152" i="60"/>
  <c r="J152" i="60"/>
  <c r="C303" i="60"/>
  <c r="F151" i="64"/>
  <c r="H151" i="64" s="1"/>
  <c r="C152" i="64" s="1"/>
  <c r="J151" i="64"/>
  <c r="E151" i="64"/>
  <c r="K151" i="64"/>
  <c r="L151" i="64" s="1"/>
  <c r="C304" i="60" l="1"/>
  <c r="L152" i="60"/>
  <c r="M152" i="60" s="1"/>
  <c r="K152" i="60"/>
  <c r="P152" i="60"/>
  <c r="Q152" i="60" s="1"/>
  <c r="F152" i="60"/>
  <c r="G152" i="60"/>
  <c r="I152" i="60" s="1"/>
  <c r="D153" i="60" s="1"/>
  <c r="D152" i="64"/>
  <c r="K152" i="64" s="1"/>
  <c r="L152" i="64" s="1"/>
  <c r="G152" i="64"/>
  <c r="I152" i="64"/>
  <c r="J153" i="60" l="1"/>
  <c r="H153" i="60"/>
  <c r="E153" i="60"/>
  <c r="C305" i="60"/>
  <c r="E152" i="64"/>
  <c r="J152" i="64"/>
  <c r="F152" i="64"/>
  <c r="H152" i="64" s="1"/>
  <c r="C153" i="64" s="1"/>
  <c r="L153" i="60" l="1"/>
  <c r="M153" i="60" s="1"/>
  <c r="G153" i="60"/>
  <c r="I153" i="60" s="1"/>
  <c r="D154" i="60" s="1"/>
  <c r="F153" i="60"/>
  <c r="P153" i="60"/>
  <c r="Q153" i="60" s="1"/>
  <c r="K153" i="60"/>
  <c r="C306" i="60"/>
  <c r="G153" i="64"/>
  <c r="D153" i="64"/>
  <c r="I153" i="64"/>
  <c r="C307" i="60" l="1"/>
  <c r="H154" i="60"/>
  <c r="J154" i="60"/>
  <c r="E154" i="60"/>
  <c r="E153" i="64"/>
  <c r="J153" i="64"/>
  <c r="F153" i="64"/>
  <c r="H153" i="64" s="1"/>
  <c r="C154" i="64" s="1"/>
  <c r="K153" i="64"/>
  <c r="L153" i="64" s="1"/>
  <c r="L154" i="60" l="1"/>
  <c r="M154" i="60" s="1"/>
  <c r="K154" i="60"/>
  <c r="P154" i="60"/>
  <c r="Q154" i="60" s="1"/>
  <c r="F154" i="60"/>
  <c r="G154" i="60"/>
  <c r="I154" i="60" s="1"/>
  <c r="D155" i="60" s="1"/>
  <c r="C308" i="60"/>
  <c r="I154" i="64"/>
  <c r="G154" i="64"/>
  <c r="D154" i="64"/>
  <c r="K154" i="64" s="1"/>
  <c r="L154" i="64" s="1"/>
  <c r="C309" i="60" l="1"/>
  <c r="H155" i="60"/>
  <c r="E155" i="60"/>
  <c r="J155" i="60"/>
  <c r="J154" i="64"/>
  <c r="F154" i="64"/>
  <c r="H154" i="64" s="1"/>
  <c r="C155" i="64" s="1"/>
  <c r="E154" i="64"/>
  <c r="L155" i="60" l="1"/>
  <c r="M155" i="60" s="1"/>
  <c r="K155" i="60"/>
  <c r="P155" i="60"/>
  <c r="Q155" i="60" s="1"/>
  <c r="F155" i="60"/>
  <c r="G155" i="60"/>
  <c r="I155" i="60" s="1"/>
  <c r="D156" i="60" s="1"/>
  <c r="C310" i="60"/>
  <c r="D155" i="64"/>
  <c r="I155" i="64"/>
  <c r="G155" i="64"/>
  <c r="H156" i="60" l="1"/>
  <c r="E156" i="60"/>
  <c r="J156" i="60"/>
  <c r="C311" i="60"/>
  <c r="E155" i="64"/>
  <c r="F155" i="64"/>
  <c r="H155" i="64" s="1"/>
  <c r="C156" i="64" s="1"/>
  <c r="J155" i="64"/>
  <c r="K155" i="64"/>
  <c r="L155" i="64" s="1"/>
  <c r="C312" i="60" l="1"/>
  <c r="L156" i="60"/>
  <c r="M156" i="60" s="1"/>
  <c r="F156" i="60"/>
  <c r="G156" i="60"/>
  <c r="I156" i="60" s="1"/>
  <c r="D157" i="60" s="1"/>
  <c r="P156" i="60"/>
  <c r="Q156" i="60" s="1"/>
  <c r="K156" i="60"/>
  <c r="D156" i="64"/>
  <c r="G156" i="64"/>
  <c r="I156" i="64"/>
  <c r="J157" i="60" l="1"/>
  <c r="E157" i="60"/>
  <c r="H157" i="60"/>
  <c r="C313" i="60"/>
  <c r="J156" i="64"/>
  <c r="F156" i="64"/>
  <c r="H156" i="64" s="1"/>
  <c r="C157" i="64" s="1"/>
  <c r="E156" i="64"/>
  <c r="K156" i="64"/>
  <c r="L156" i="64" s="1"/>
  <c r="G157" i="60" l="1"/>
  <c r="I157" i="60" s="1"/>
  <c r="D158" i="60" s="1"/>
  <c r="K157" i="60"/>
  <c r="F157" i="60"/>
  <c r="P157" i="60"/>
  <c r="Q157" i="60" s="1"/>
  <c r="L157" i="60"/>
  <c r="M157" i="60" s="1"/>
  <c r="I157" i="64"/>
  <c r="G157" i="64"/>
  <c r="D157" i="64"/>
  <c r="K157" i="64" s="1"/>
  <c r="L157" i="64" s="1"/>
  <c r="H158" i="60" l="1"/>
  <c r="E158" i="60"/>
  <c r="J158" i="60"/>
  <c r="F157" i="64"/>
  <c r="H157" i="64" s="1"/>
  <c r="C158" i="64" s="1"/>
  <c r="J157" i="64"/>
  <c r="E157" i="64"/>
  <c r="L158" i="60" l="1"/>
  <c r="M158" i="60" s="1"/>
  <c r="K158" i="60"/>
  <c r="F158" i="60"/>
  <c r="G158" i="60"/>
  <c r="I158" i="60" s="1"/>
  <c r="D159" i="60" s="1"/>
  <c r="P158" i="60"/>
  <c r="Q158" i="60" s="1"/>
  <c r="I158" i="64"/>
  <c r="D158" i="64"/>
  <c r="G158" i="64"/>
  <c r="J159" i="60" l="1"/>
  <c r="H159" i="60"/>
  <c r="E159" i="60"/>
  <c r="F158" i="64"/>
  <c r="H158" i="64" s="1"/>
  <c r="C159" i="64" s="1"/>
  <c r="E158" i="64"/>
  <c r="J158" i="64"/>
  <c r="K158" i="64"/>
  <c r="L158" i="64" s="1"/>
  <c r="L159" i="60" l="1"/>
  <c r="M159" i="60" s="1"/>
  <c r="G159" i="60"/>
  <c r="I159" i="60" s="1"/>
  <c r="D160" i="60" s="1"/>
  <c r="F159" i="60"/>
  <c r="K159" i="60"/>
  <c r="P159" i="60"/>
  <c r="Q159" i="60" s="1"/>
  <c r="G159" i="64"/>
  <c r="D159" i="64"/>
  <c r="I159" i="64"/>
  <c r="E160" i="60" l="1"/>
  <c r="H160" i="60"/>
  <c r="J160" i="60"/>
  <c r="J159" i="64"/>
  <c r="F159" i="64"/>
  <c r="H159" i="64" s="1"/>
  <c r="C160" i="64" s="1"/>
  <c r="E159" i="64"/>
  <c r="K159" i="64"/>
  <c r="L159" i="64" s="1"/>
  <c r="L160" i="60" l="1"/>
  <c r="M160" i="60" s="1"/>
  <c r="P160" i="60"/>
  <c r="Q160" i="60" s="1"/>
  <c r="K160" i="60"/>
  <c r="G160" i="60"/>
  <c r="I160" i="60" s="1"/>
  <c r="D161" i="60" s="1"/>
  <c r="F160" i="60"/>
  <c r="D160" i="64"/>
  <c r="K160" i="64" s="1"/>
  <c r="L160" i="64" s="1"/>
  <c r="G160" i="64"/>
  <c r="I160" i="64"/>
  <c r="J161" i="60" l="1"/>
  <c r="H161" i="60"/>
  <c r="E161" i="60"/>
  <c r="F160" i="64"/>
  <c r="H160" i="64" s="1"/>
  <c r="C161" i="64" s="1"/>
  <c r="J160" i="64"/>
  <c r="E160" i="64"/>
  <c r="G161" i="60" l="1"/>
  <c r="I161" i="60" s="1"/>
  <c r="D162" i="60" s="1"/>
  <c r="K161" i="60"/>
  <c r="P161" i="60"/>
  <c r="Q161" i="60" s="1"/>
  <c r="F161" i="60"/>
  <c r="L161" i="60"/>
  <c r="M161" i="60" s="1"/>
  <c r="D161" i="64"/>
  <c r="K161" i="64" s="1"/>
  <c r="L161" i="64" s="1"/>
  <c r="G161" i="64"/>
  <c r="I161" i="64"/>
  <c r="H162" i="60" l="1"/>
  <c r="J162" i="60"/>
  <c r="E162" i="60"/>
  <c r="E161" i="64"/>
  <c r="F161" i="64"/>
  <c r="H161" i="64" s="1"/>
  <c r="C162" i="64" s="1"/>
  <c r="J161" i="64"/>
  <c r="L162" i="60" l="1"/>
  <c r="M162" i="60" s="1"/>
  <c r="F162" i="60"/>
  <c r="K162" i="60"/>
  <c r="P162" i="60"/>
  <c r="Q162" i="60" s="1"/>
  <c r="G162" i="60"/>
  <c r="I162" i="60" s="1"/>
  <c r="D163" i="60" s="1"/>
  <c r="I162" i="64"/>
  <c r="D162" i="64"/>
  <c r="K162" i="64" s="1"/>
  <c r="L162" i="64" s="1"/>
  <c r="G162" i="64"/>
  <c r="J163" i="60" l="1"/>
  <c r="E163" i="60"/>
  <c r="H163" i="60"/>
  <c r="J162" i="64"/>
  <c r="E162" i="64"/>
  <c r="F162" i="64"/>
  <c r="H162" i="64" s="1"/>
  <c r="C163" i="64" s="1"/>
  <c r="P163" i="60" l="1"/>
  <c r="Q163" i="60" s="1"/>
  <c r="G163" i="60"/>
  <c r="I163" i="60" s="1"/>
  <c r="D164" i="60" s="1"/>
  <c r="K163" i="60"/>
  <c r="F163" i="60"/>
  <c r="L163" i="60"/>
  <c r="M163" i="60" s="1"/>
  <c r="D163" i="64"/>
  <c r="K163" i="64" s="1"/>
  <c r="L163" i="64" s="1"/>
  <c r="G163" i="64"/>
  <c r="I163" i="64"/>
  <c r="H164" i="60" l="1"/>
  <c r="E164" i="60"/>
  <c r="J164" i="60"/>
  <c r="E163" i="64"/>
  <c r="J163" i="64"/>
  <c r="F163" i="64"/>
  <c r="H163" i="64" s="1"/>
  <c r="C164" i="64" s="1"/>
  <c r="L164" i="60" l="1"/>
  <c r="M164" i="60" s="1"/>
  <c r="K164" i="60"/>
  <c r="G164" i="60"/>
  <c r="I164" i="60" s="1"/>
  <c r="D165" i="60" s="1"/>
  <c r="P164" i="60"/>
  <c r="Q164" i="60" s="1"/>
  <c r="F164" i="60"/>
  <c r="I164" i="64"/>
  <c r="D164" i="64"/>
  <c r="K164" i="64" s="1"/>
  <c r="L164" i="64" s="1"/>
  <c r="G164" i="64"/>
  <c r="J165" i="60" l="1"/>
  <c r="H165" i="60"/>
  <c r="E165" i="60"/>
  <c r="J164" i="64"/>
  <c r="E164" i="64"/>
  <c r="F164" i="64"/>
  <c r="H164" i="64" s="1"/>
  <c r="C165" i="64" s="1"/>
  <c r="G165" i="60" l="1"/>
  <c r="I165" i="60" s="1"/>
  <c r="D166" i="60" s="1"/>
  <c r="F165" i="60"/>
  <c r="P165" i="60"/>
  <c r="Q165" i="60" s="1"/>
  <c r="K165" i="60"/>
  <c r="L165" i="60"/>
  <c r="M165" i="60" s="1"/>
  <c r="G165" i="64"/>
  <c r="D165" i="64"/>
  <c r="K165" i="64" s="1"/>
  <c r="L165" i="64" s="1"/>
  <c r="I165" i="64"/>
  <c r="J166" i="60" l="1"/>
  <c r="E166" i="60"/>
  <c r="H166" i="60"/>
  <c r="J165" i="64"/>
  <c r="E165" i="64"/>
  <c r="F165" i="64"/>
  <c r="H165" i="64" s="1"/>
  <c r="C166" i="64" s="1"/>
  <c r="L166" i="60" l="1"/>
  <c r="M166" i="60" s="1"/>
  <c r="P166" i="60"/>
  <c r="Q166" i="60" s="1"/>
  <c r="G166" i="60"/>
  <c r="I166" i="60" s="1"/>
  <c r="D167" i="60" s="1"/>
  <c r="K166" i="60"/>
  <c r="F166" i="60"/>
  <c r="D166" i="64"/>
  <c r="K166" i="64" s="1"/>
  <c r="L166" i="64" s="1"/>
  <c r="I166" i="64"/>
  <c r="G166" i="64"/>
  <c r="J167" i="60" l="1"/>
  <c r="H167" i="60"/>
  <c r="E167" i="60"/>
  <c r="F166" i="64"/>
  <c r="H166" i="64" s="1"/>
  <c r="C167" i="64" s="1"/>
  <c r="E166" i="64"/>
  <c r="J166" i="64"/>
  <c r="L167" i="60" l="1"/>
  <c r="M167" i="60" s="1"/>
  <c r="G167" i="60"/>
  <c r="I167" i="60" s="1"/>
  <c r="D168" i="60" s="1"/>
  <c r="K167" i="60"/>
  <c r="F167" i="60"/>
  <c r="P167" i="60"/>
  <c r="Q167" i="60" s="1"/>
  <c r="I167" i="64"/>
  <c r="G167" i="64"/>
  <c r="D167" i="64"/>
  <c r="H168" i="60" l="1"/>
  <c r="J168" i="60"/>
  <c r="E168" i="60"/>
  <c r="L168" i="60" s="1"/>
  <c r="M168" i="60" s="1"/>
  <c r="E167" i="64"/>
  <c r="J167" i="64"/>
  <c r="F167" i="64"/>
  <c r="H167" i="64" s="1"/>
  <c r="C168" i="64" s="1"/>
  <c r="K167" i="64"/>
  <c r="L167" i="64" s="1"/>
  <c r="K168" i="60" l="1"/>
  <c r="F168" i="60"/>
  <c r="P168" i="60"/>
  <c r="Q168" i="60" s="1"/>
  <c r="G168" i="60"/>
  <c r="I168" i="60" s="1"/>
  <c r="D169" i="60" s="1"/>
  <c r="I168" i="64"/>
  <c r="D168" i="64"/>
  <c r="K168" i="64" s="1"/>
  <c r="L168" i="64" s="1"/>
  <c r="G168" i="64"/>
  <c r="J169" i="60" l="1"/>
  <c r="H169" i="60"/>
  <c r="E169" i="60"/>
  <c r="E168" i="64"/>
  <c r="F168" i="64"/>
  <c r="H168" i="64" s="1"/>
  <c r="C169" i="64" s="1"/>
  <c r="J168" i="64"/>
  <c r="G169" i="60" l="1"/>
  <c r="I169" i="60" s="1"/>
  <c r="D170" i="60" s="1"/>
  <c r="F169" i="60"/>
  <c r="P169" i="60"/>
  <c r="Q169" i="60" s="1"/>
  <c r="K169" i="60"/>
  <c r="L169" i="60"/>
  <c r="M169" i="60" s="1"/>
  <c r="D169" i="64"/>
  <c r="K169" i="64" s="1"/>
  <c r="L169" i="64" s="1"/>
  <c r="I169" i="64"/>
  <c r="G169" i="64"/>
  <c r="E170" i="60" l="1"/>
  <c r="H170" i="60"/>
  <c r="J170" i="60"/>
  <c r="J169" i="64"/>
  <c r="F169" i="64"/>
  <c r="H169" i="64" s="1"/>
  <c r="C170" i="64" s="1"/>
  <c r="E169" i="64"/>
  <c r="L170" i="60" l="1"/>
  <c r="M170" i="60" s="1"/>
  <c r="P170" i="60"/>
  <c r="Q170" i="60" s="1"/>
  <c r="K170" i="60"/>
  <c r="F170" i="60"/>
  <c r="G170" i="60"/>
  <c r="I170" i="60" s="1"/>
  <c r="D171" i="60" s="1"/>
  <c r="G170" i="64"/>
  <c r="I170" i="64"/>
  <c r="D170" i="64"/>
  <c r="J171" i="60" l="1"/>
  <c r="H171" i="60"/>
  <c r="E171" i="60"/>
  <c r="E170" i="64"/>
  <c r="F170" i="64"/>
  <c r="H170" i="64" s="1"/>
  <c r="C171" i="64" s="1"/>
  <c r="J170" i="64"/>
  <c r="K170" i="64"/>
  <c r="L170" i="64" s="1"/>
  <c r="L171" i="60" l="1"/>
  <c r="M171" i="60" s="1"/>
  <c r="K171" i="60"/>
  <c r="G171" i="60"/>
  <c r="I171" i="60" s="1"/>
  <c r="D172" i="60" s="1"/>
  <c r="F171" i="60"/>
  <c r="P171" i="60"/>
  <c r="Q171" i="60" s="1"/>
  <c r="I171" i="64"/>
  <c r="D171" i="64"/>
  <c r="K171" i="64" s="1"/>
  <c r="L171" i="64" s="1"/>
  <c r="G171" i="64"/>
  <c r="J172" i="60" l="1"/>
  <c r="H172" i="60"/>
  <c r="E172" i="60"/>
  <c r="J171" i="64"/>
  <c r="E171" i="64"/>
  <c r="F171" i="64"/>
  <c r="H171" i="64" s="1"/>
  <c r="C172" i="64" s="1"/>
  <c r="L172" i="60" l="1"/>
  <c r="M172" i="60" s="1"/>
  <c r="G172" i="60"/>
  <c r="I172" i="60" s="1"/>
  <c r="D173" i="60" s="1"/>
  <c r="K172" i="60"/>
  <c r="F172" i="60"/>
  <c r="P172" i="60"/>
  <c r="Q172" i="60" s="1"/>
  <c r="G172" i="64"/>
  <c r="I172" i="64"/>
  <c r="D172" i="64"/>
  <c r="H173" i="60" l="1"/>
  <c r="E173" i="60"/>
  <c r="L173" i="60" s="1"/>
  <c r="M173" i="60" s="1"/>
  <c r="J173" i="60"/>
  <c r="F172" i="64"/>
  <c r="H172" i="64" s="1"/>
  <c r="C173" i="64" s="1"/>
  <c r="E172" i="64"/>
  <c r="J172" i="64"/>
  <c r="K172" i="64"/>
  <c r="L172" i="64" s="1"/>
  <c r="F173" i="60" l="1"/>
  <c r="G173" i="60"/>
  <c r="I173" i="60" s="1"/>
  <c r="D174" i="60" s="1"/>
  <c r="P173" i="60"/>
  <c r="Q173" i="60" s="1"/>
  <c r="K173" i="60"/>
  <c r="I173" i="64"/>
  <c r="G173" i="64"/>
  <c r="D173" i="64"/>
  <c r="K173" i="64" s="1"/>
  <c r="L173" i="64" s="1"/>
  <c r="H174" i="60" l="1"/>
  <c r="E174" i="60"/>
  <c r="J174" i="60"/>
  <c r="E173" i="64"/>
  <c r="J173" i="64"/>
  <c r="F173" i="64"/>
  <c r="H173" i="64" s="1"/>
  <c r="C174" i="64" s="1"/>
  <c r="K174" i="60" l="1"/>
  <c r="F174" i="60"/>
  <c r="P174" i="60"/>
  <c r="Q174" i="60" s="1"/>
  <c r="G174" i="60"/>
  <c r="I174" i="60" s="1"/>
  <c r="D175" i="60" s="1"/>
  <c r="L174" i="60"/>
  <c r="M174" i="60" s="1"/>
  <c r="I174" i="64"/>
  <c r="D174" i="64"/>
  <c r="K174" i="64" s="1"/>
  <c r="L174" i="64" s="1"/>
  <c r="G174" i="64"/>
  <c r="J175" i="60" l="1"/>
  <c r="H175" i="60"/>
  <c r="E175" i="60"/>
  <c r="J174" i="64"/>
  <c r="F174" i="64"/>
  <c r="H174" i="64" s="1"/>
  <c r="C175" i="64" s="1"/>
  <c r="E174" i="64"/>
  <c r="F175" i="60" l="1"/>
  <c r="P175" i="60"/>
  <c r="Q175" i="60" s="1"/>
  <c r="G175" i="60"/>
  <c r="I175" i="60" s="1"/>
  <c r="D176" i="60" s="1"/>
  <c r="K175" i="60"/>
  <c r="L175" i="60"/>
  <c r="M175" i="60" s="1"/>
  <c r="I175" i="64"/>
  <c r="D175" i="64"/>
  <c r="G175" i="64"/>
  <c r="J176" i="60" l="1"/>
  <c r="E176" i="60"/>
  <c r="H176" i="60"/>
  <c r="E175" i="64"/>
  <c r="F175" i="64"/>
  <c r="H175" i="64" s="1"/>
  <c r="C176" i="64" s="1"/>
  <c r="J175" i="64"/>
  <c r="K175" i="64"/>
  <c r="L175" i="64" s="1"/>
  <c r="L176" i="60" l="1"/>
  <c r="M176" i="60" s="1"/>
  <c r="G176" i="60"/>
  <c r="I176" i="60" s="1"/>
  <c r="D177" i="60" s="1"/>
  <c r="F176" i="60"/>
  <c r="P176" i="60"/>
  <c r="Q176" i="60" s="1"/>
  <c r="K176" i="60"/>
  <c r="I176" i="64"/>
  <c r="G176" i="64"/>
  <c r="D176" i="64"/>
  <c r="K176" i="64" s="1"/>
  <c r="L176" i="64" s="1"/>
  <c r="J177" i="60" l="1"/>
  <c r="H177" i="60"/>
  <c r="E177" i="60"/>
  <c r="J176" i="64"/>
  <c r="F176" i="64"/>
  <c r="H176" i="64" s="1"/>
  <c r="C177" i="64" s="1"/>
  <c r="E176" i="64"/>
  <c r="L177" i="60" l="1"/>
  <c r="M177" i="60" s="1"/>
  <c r="F177" i="60"/>
  <c r="P177" i="60"/>
  <c r="Q177" i="60" s="1"/>
  <c r="G177" i="60"/>
  <c r="I177" i="60" s="1"/>
  <c r="D178" i="60" s="1"/>
  <c r="K177" i="60"/>
  <c r="G177" i="64"/>
  <c r="I177" i="64"/>
  <c r="D177" i="64"/>
  <c r="H178" i="60" l="1"/>
  <c r="J178" i="60"/>
  <c r="E178" i="60"/>
  <c r="J177" i="64"/>
  <c r="F177" i="64"/>
  <c r="H177" i="64" s="1"/>
  <c r="C178" i="64" s="1"/>
  <c r="E177" i="64"/>
  <c r="K177" i="64"/>
  <c r="L177" i="64" s="1"/>
  <c r="L178" i="60" l="1"/>
  <c r="M178" i="60" s="1"/>
  <c r="G178" i="60"/>
  <c r="I178" i="60" s="1"/>
  <c r="D179" i="60" s="1"/>
  <c r="K178" i="60"/>
  <c r="F178" i="60"/>
  <c r="P178" i="60"/>
  <c r="Q178" i="60" s="1"/>
  <c r="D178" i="64"/>
  <c r="K178" i="64" s="1"/>
  <c r="L178" i="64" s="1"/>
  <c r="G178" i="64"/>
  <c r="I178" i="64"/>
  <c r="H179" i="60" l="1"/>
  <c r="J179" i="60"/>
  <c r="E179" i="60"/>
  <c r="F178" i="64"/>
  <c r="H178" i="64" s="1"/>
  <c r="C179" i="64" s="1"/>
  <c r="E178" i="64"/>
  <c r="J178" i="64"/>
  <c r="K179" i="60" l="1"/>
  <c r="P179" i="60"/>
  <c r="Q179" i="60" s="1"/>
  <c r="G179" i="60"/>
  <c r="I179" i="60" s="1"/>
  <c r="D180" i="60" s="1"/>
  <c r="F179" i="60"/>
  <c r="L179" i="60"/>
  <c r="M179" i="60" s="1"/>
  <c r="I179" i="64"/>
  <c r="D179" i="64"/>
  <c r="K179" i="64" s="1"/>
  <c r="L179" i="64" s="1"/>
  <c r="G179" i="64"/>
  <c r="J180" i="60" l="1"/>
  <c r="E180" i="60"/>
  <c r="H180" i="60"/>
  <c r="E179" i="64"/>
  <c r="F179" i="64"/>
  <c r="H179" i="64" s="1"/>
  <c r="C180" i="64" s="1"/>
  <c r="J179" i="64"/>
  <c r="P180" i="60" l="1"/>
  <c r="Q180" i="60" s="1"/>
  <c r="G180" i="60"/>
  <c r="I180" i="60" s="1"/>
  <c r="D181" i="60" s="1"/>
  <c r="F180" i="60"/>
  <c r="K180" i="60"/>
  <c r="L180" i="60"/>
  <c r="M180" i="60" s="1"/>
  <c r="G180" i="64"/>
  <c r="I180" i="64"/>
  <c r="D180" i="64"/>
  <c r="H181" i="60" l="1"/>
  <c r="E181" i="60"/>
  <c r="J181" i="60"/>
  <c r="E180" i="64"/>
  <c r="F180" i="64"/>
  <c r="H180" i="64" s="1"/>
  <c r="C181" i="64" s="1"/>
  <c r="J180" i="64"/>
  <c r="K180" i="64"/>
  <c r="L180" i="64" s="1"/>
  <c r="L181" i="60" l="1"/>
  <c r="M181" i="60" s="1"/>
  <c r="K181" i="60"/>
  <c r="G181" i="60"/>
  <c r="I181" i="60" s="1"/>
  <c r="D182" i="60" s="1"/>
  <c r="F181" i="60"/>
  <c r="P181" i="60"/>
  <c r="Q181" i="60" s="1"/>
  <c r="I181" i="64"/>
  <c r="G181" i="64"/>
  <c r="D181" i="64"/>
  <c r="H182" i="60" l="1"/>
  <c r="J182" i="60"/>
  <c r="E182" i="60"/>
  <c r="E181" i="64"/>
  <c r="J181" i="64"/>
  <c r="F181" i="64"/>
  <c r="H181" i="64" s="1"/>
  <c r="C182" i="64" s="1"/>
  <c r="K181" i="64"/>
  <c r="L181" i="64" s="1"/>
  <c r="L182" i="60" l="1"/>
  <c r="M182" i="60" s="1"/>
  <c r="K182" i="60"/>
  <c r="F182" i="60"/>
  <c r="P182" i="60"/>
  <c r="Q182" i="60" s="1"/>
  <c r="G182" i="60"/>
  <c r="I182" i="60" s="1"/>
  <c r="D183" i="60" s="1"/>
  <c r="I182" i="64"/>
  <c r="G182" i="64"/>
  <c r="D182" i="64"/>
  <c r="J183" i="60" l="1"/>
  <c r="H183" i="60"/>
  <c r="E183" i="60"/>
  <c r="J182" i="64"/>
  <c r="F182" i="64"/>
  <c r="H182" i="64" s="1"/>
  <c r="C183" i="64" s="1"/>
  <c r="E182" i="64"/>
  <c r="K182" i="64"/>
  <c r="L182" i="64" s="1"/>
  <c r="L183" i="60" l="1"/>
  <c r="M183" i="60" s="1"/>
  <c r="K183" i="60"/>
  <c r="F183" i="60"/>
  <c r="P183" i="60"/>
  <c r="Q183" i="60" s="1"/>
  <c r="G183" i="60"/>
  <c r="I183" i="60" s="1"/>
  <c r="D184" i="60" s="1"/>
  <c r="I183" i="64"/>
  <c r="D183" i="64"/>
  <c r="K183" i="64" s="1"/>
  <c r="L183" i="64" s="1"/>
  <c r="G183" i="64"/>
  <c r="H184" i="60" l="1"/>
  <c r="E184" i="60"/>
  <c r="J184" i="60"/>
  <c r="E183" i="64"/>
  <c r="J183" i="64"/>
  <c r="F183" i="64"/>
  <c r="H183" i="64" s="1"/>
  <c r="C184" i="64" s="1"/>
  <c r="L184" i="60" l="1"/>
  <c r="M184" i="60" s="1"/>
  <c r="F184" i="60"/>
  <c r="G184" i="60"/>
  <c r="I184" i="60" s="1"/>
  <c r="D185" i="60" s="1"/>
  <c r="P184" i="60"/>
  <c r="Q184" i="60" s="1"/>
  <c r="K184" i="60"/>
  <c r="I184" i="64"/>
  <c r="D184" i="64"/>
  <c r="K184" i="64" s="1"/>
  <c r="L184" i="64" s="1"/>
  <c r="G184" i="64"/>
  <c r="H185" i="60" l="1"/>
  <c r="E185" i="60"/>
  <c r="J185" i="60"/>
  <c r="E184" i="64"/>
  <c r="F184" i="64"/>
  <c r="H184" i="64" s="1"/>
  <c r="C185" i="64" s="1"/>
  <c r="J184" i="64"/>
  <c r="L185" i="60" l="1"/>
  <c r="M185" i="60" s="1"/>
  <c r="K185" i="60"/>
  <c r="F185" i="60"/>
  <c r="P185" i="60"/>
  <c r="Q185" i="60" s="1"/>
  <c r="G185" i="60"/>
  <c r="I185" i="60" s="1"/>
  <c r="D186" i="60" s="1"/>
  <c r="G185" i="64"/>
  <c r="I185" i="64"/>
  <c r="D185" i="64"/>
  <c r="J186" i="60" l="1"/>
  <c r="E186" i="60"/>
  <c r="H186" i="60"/>
  <c r="J185" i="64"/>
  <c r="E185" i="64"/>
  <c r="F185" i="64"/>
  <c r="H185" i="64" s="1"/>
  <c r="C186" i="64" s="1"/>
  <c r="K185" i="64"/>
  <c r="L185" i="64" s="1"/>
  <c r="L186" i="60" l="1"/>
  <c r="M186" i="60" s="1"/>
  <c r="G186" i="60"/>
  <c r="I186" i="60" s="1"/>
  <c r="D187" i="60" s="1"/>
  <c r="F186" i="60"/>
  <c r="K186" i="60"/>
  <c r="P186" i="60"/>
  <c r="Q186" i="60" s="1"/>
  <c r="G186" i="64"/>
  <c r="I186" i="64"/>
  <c r="D186" i="64"/>
  <c r="K186" i="64" s="1"/>
  <c r="L186" i="64" s="1"/>
  <c r="H187" i="60" l="1"/>
  <c r="E187" i="60"/>
  <c r="J187" i="60"/>
  <c r="J186" i="64"/>
  <c r="E186" i="64"/>
  <c r="F186" i="64"/>
  <c r="H186" i="64" s="1"/>
  <c r="C187" i="64" s="1"/>
  <c r="L187" i="60" l="1"/>
  <c r="M187" i="60" s="1"/>
  <c r="K187" i="60"/>
  <c r="F187" i="60"/>
  <c r="P187" i="60"/>
  <c r="Q187" i="60" s="1"/>
  <c r="G187" i="60"/>
  <c r="I187" i="60" s="1"/>
  <c r="D188" i="60" s="1"/>
  <c r="G187" i="64"/>
  <c r="I187" i="64"/>
  <c r="D187" i="64"/>
  <c r="H188" i="60" l="1"/>
  <c r="J188" i="60"/>
  <c r="E188" i="60"/>
  <c r="E187" i="64"/>
  <c r="F187" i="64"/>
  <c r="H187" i="64" s="1"/>
  <c r="C188" i="64" s="1"/>
  <c r="J187" i="64"/>
  <c r="K187" i="64"/>
  <c r="L187" i="64" s="1"/>
  <c r="L188" i="60" l="1"/>
  <c r="M188" i="60" s="1"/>
  <c r="K188" i="60"/>
  <c r="F188" i="60"/>
  <c r="G188" i="60"/>
  <c r="I188" i="60" s="1"/>
  <c r="D189" i="60" s="1"/>
  <c r="P188" i="60"/>
  <c r="Q188" i="60" s="1"/>
  <c r="I188" i="64"/>
  <c r="D188" i="64"/>
  <c r="G188" i="64"/>
  <c r="J189" i="60" l="1"/>
  <c r="H189" i="60"/>
  <c r="E189" i="60"/>
  <c r="F188" i="64"/>
  <c r="H188" i="64" s="1"/>
  <c r="C189" i="64" s="1"/>
  <c r="J188" i="64"/>
  <c r="E188" i="64"/>
  <c r="K188" i="64"/>
  <c r="L188" i="64" s="1"/>
  <c r="L189" i="60" l="1"/>
  <c r="M189" i="60" s="1"/>
  <c r="K189" i="60"/>
  <c r="F189" i="60"/>
  <c r="G189" i="60"/>
  <c r="I189" i="60" s="1"/>
  <c r="D190" i="60" s="1"/>
  <c r="P189" i="60"/>
  <c r="Q189" i="60" s="1"/>
  <c r="D189" i="64"/>
  <c r="K189" i="64" s="1"/>
  <c r="L189" i="64" s="1"/>
  <c r="G189" i="64"/>
  <c r="I189" i="64"/>
  <c r="J190" i="60" l="1"/>
  <c r="E190" i="60"/>
  <c r="H190" i="60"/>
  <c r="J189" i="64"/>
  <c r="F189" i="64"/>
  <c r="H189" i="64" s="1"/>
  <c r="C190" i="64" s="1"/>
  <c r="E189" i="64"/>
  <c r="L190" i="60" l="1"/>
  <c r="M190" i="60" s="1"/>
  <c r="G190" i="60"/>
  <c r="I190" i="60" s="1"/>
  <c r="D191" i="60" s="1"/>
  <c r="P190" i="60"/>
  <c r="Q190" i="60" s="1"/>
  <c r="K190" i="60"/>
  <c r="F190" i="60"/>
  <c r="D190" i="64"/>
  <c r="K190" i="64" s="1"/>
  <c r="L190" i="64" s="1"/>
  <c r="I190" i="64"/>
  <c r="G190" i="64"/>
  <c r="H191" i="60" l="1"/>
  <c r="E191" i="60"/>
  <c r="J191" i="60"/>
  <c r="J190" i="64"/>
  <c r="F190" i="64"/>
  <c r="H190" i="64" s="1"/>
  <c r="C191" i="64" s="1"/>
  <c r="E190" i="64"/>
  <c r="L191" i="60" l="1"/>
  <c r="M191" i="60" s="1"/>
  <c r="K191" i="60"/>
  <c r="P191" i="60"/>
  <c r="Q191" i="60" s="1"/>
  <c r="F191" i="60"/>
  <c r="G191" i="60"/>
  <c r="I191" i="60" s="1"/>
  <c r="D192" i="60" s="1"/>
  <c r="I191" i="64"/>
  <c r="G191" i="64"/>
  <c r="D191" i="64"/>
  <c r="J192" i="60" l="1"/>
  <c r="E192" i="60"/>
  <c r="H192" i="60"/>
  <c r="J191" i="64"/>
  <c r="F191" i="64"/>
  <c r="H191" i="64" s="1"/>
  <c r="C192" i="64" s="1"/>
  <c r="E191" i="64"/>
  <c r="K191" i="64"/>
  <c r="L191" i="64" s="1"/>
  <c r="K192" i="60" l="1"/>
  <c r="F192" i="60"/>
  <c r="P192" i="60"/>
  <c r="Q192" i="60" s="1"/>
  <c r="G192" i="60"/>
  <c r="I192" i="60" s="1"/>
  <c r="D193" i="60" s="1"/>
  <c r="L192" i="60"/>
  <c r="M192" i="60" s="1"/>
  <c r="I192" i="64"/>
  <c r="G192" i="64"/>
  <c r="D192" i="64"/>
  <c r="H193" i="60" l="1"/>
  <c r="J193" i="60"/>
  <c r="E193" i="60"/>
  <c r="L193" i="60" s="1"/>
  <c r="M193" i="60" s="1"/>
  <c r="E192" i="64"/>
  <c r="J192" i="64"/>
  <c r="F192" i="64"/>
  <c r="H192" i="64" s="1"/>
  <c r="C193" i="64" s="1"/>
  <c r="K192" i="64"/>
  <c r="L192" i="64" s="1"/>
  <c r="P193" i="60" l="1"/>
  <c r="Q193" i="60" s="1"/>
  <c r="G193" i="60"/>
  <c r="I193" i="60" s="1"/>
  <c r="D194" i="60" s="1"/>
  <c r="K193" i="60"/>
  <c r="F193" i="60"/>
  <c r="G193" i="64"/>
  <c r="D193" i="64"/>
  <c r="I193" i="64"/>
  <c r="J194" i="60" l="1"/>
  <c r="H194" i="60"/>
  <c r="E194" i="60"/>
  <c r="E193" i="64"/>
  <c r="F193" i="64"/>
  <c r="H193" i="64" s="1"/>
  <c r="C194" i="64" s="1"/>
  <c r="J193" i="64"/>
  <c r="K193" i="64"/>
  <c r="L193" i="64" s="1"/>
  <c r="P194" i="60" l="1"/>
  <c r="Q194" i="60" s="1"/>
  <c r="F194" i="60"/>
  <c r="K194" i="60"/>
  <c r="G194" i="60"/>
  <c r="I194" i="60" s="1"/>
  <c r="D195" i="60" s="1"/>
  <c r="L194" i="60"/>
  <c r="M194" i="60" s="1"/>
  <c r="D194" i="64"/>
  <c r="K194" i="64" s="1"/>
  <c r="L194" i="64" s="1"/>
  <c r="I194" i="64"/>
  <c r="G194" i="64"/>
  <c r="H195" i="60" l="1"/>
  <c r="J195" i="60"/>
  <c r="E195" i="60"/>
  <c r="J194" i="64"/>
  <c r="E194" i="64"/>
  <c r="F194" i="64"/>
  <c r="H194" i="64" s="1"/>
  <c r="C195" i="64" s="1"/>
  <c r="F195" i="60" l="1"/>
  <c r="P195" i="60"/>
  <c r="Q195" i="60" s="1"/>
  <c r="G195" i="60"/>
  <c r="I195" i="60" s="1"/>
  <c r="D196" i="60" s="1"/>
  <c r="K195" i="60"/>
  <c r="L195" i="60"/>
  <c r="M195" i="60" s="1"/>
  <c r="I195" i="64"/>
  <c r="G195" i="64"/>
  <c r="D195" i="64"/>
  <c r="H196" i="60" l="1"/>
  <c r="J196" i="60"/>
  <c r="E196" i="60"/>
  <c r="J195" i="64"/>
  <c r="F195" i="64"/>
  <c r="H195" i="64" s="1"/>
  <c r="C196" i="64" s="1"/>
  <c r="E195" i="64"/>
  <c r="K195" i="64"/>
  <c r="L195" i="64" s="1"/>
  <c r="P196" i="60" l="1"/>
  <c r="Q196" i="60" s="1"/>
  <c r="G196" i="60"/>
  <c r="I196" i="60" s="1"/>
  <c r="D197" i="60" s="1"/>
  <c r="K196" i="60"/>
  <c r="F196" i="60"/>
  <c r="L196" i="60"/>
  <c r="M196" i="60" s="1"/>
  <c r="I196" i="64"/>
  <c r="D196" i="64"/>
  <c r="K196" i="64" s="1"/>
  <c r="L196" i="64" s="1"/>
  <c r="G196" i="64"/>
  <c r="J197" i="60" l="1"/>
  <c r="H197" i="60"/>
  <c r="E197" i="60"/>
  <c r="E196" i="64"/>
  <c r="F196" i="64"/>
  <c r="H196" i="64" s="1"/>
  <c r="C197" i="64" s="1"/>
  <c r="J196" i="64"/>
  <c r="G197" i="60" l="1"/>
  <c r="I197" i="60" s="1"/>
  <c r="D198" i="60" s="1"/>
  <c r="K197" i="60"/>
  <c r="F197" i="60"/>
  <c r="P197" i="60"/>
  <c r="Q197" i="60" s="1"/>
  <c r="L197" i="60"/>
  <c r="M197" i="60" s="1"/>
  <c r="I197" i="64"/>
  <c r="G197" i="64"/>
  <c r="D197" i="64"/>
  <c r="H198" i="60" l="1"/>
  <c r="J198" i="60"/>
  <c r="E198" i="60"/>
  <c r="J197" i="64"/>
  <c r="E197" i="64"/>
  <c r="F197" i="64"/>
  <c r="H197" i="64" s="1"/>
  <c r="C198" i="64" s="1"/>
  <c r="K197" i="64"/>
  <c r="L197" i="64" s="1"/>
  <c r="L198" i="60" l="1"/>
  <c r="M198" i="60" s="1"/>
  <c r="F198" i="60"/>
  <c r="G198" i="60"/>
  <c r="I198" i="60" s="1"/>
  <c r="D199" i="60" s="1"/>
  <c r="K198" i="60"/>
  <c r="P198" i="60"/>
  <c r="Q198" i="60" s="1"/>
  <c r="D198" i="64"/>
  <c r="K198" i="64" s="1"/>
  <c r="L198" i="64" s="1"/>
  <c r="G198" i="64"/>
  <c r="I198" i="64"/>
  <c r="J199" i="60" l="1"/>
  <c r="H199" i="60"/>
  <c r="E199" i="60"/>
  <c r="F198" i="64"/>
  <c r="H198" i="64" s="1"/>
  <c r="C199" i="64" s="1"/>
  <c r="J198" i="64"/>
  <c r="E198" i="64"/>
  <c r="P199" i="60" l="1"/>
  <c r="Q199" i="60" s="1"/>
  <c r="G199" i="60"/>
  <c r="I199" i="60" s="1"/>
  <c r="D200" i="60" s="1"/>
  <c r="K199" i="60"/>
  <c r="F199" i="60"/>
  <c r="L199" i="60"/>
  <c r="M199" i="60" s="1"/>
  <c r="I199" i="64"/>
  <c r="G199" i="64"/>
  <c r="D199" i="64"/>
  <c r="K199" i="64" s="1"/>
  <c r="L199" i="64" s="1"/>
  <c r="H200" i="60" l="1"/>
  <c r="J200" i="60"/>
  <c r="E200" i="60"/>
  <c r="E199" i="64"/>
  <c r="J199" i="64"/>
  <c r="F199" i="64"/>
  <c r="H199" i="64" s="1"/>
  <c r="C200" i="64" s="1"/>
  <c r="L200" i="60" l="1"/>
  <c r="M200" i="60" s="1"/>
  <c r="G200" i="60"/>
  <c r="I200" i="60" s="1"/>
  <c r="D201" i="60" s="1"/>
  <c r="K200" i="60"/>
  <c r="F200" i="60"/>
  <c r="P200" i="60"/>
  <c r="Q200" i="60" s="1"/>
  <c r="I200" i="64"/>
  <c r="G200" i="64"/>
  <c r="D200" i="64"/>
  <c r="J201" i="60" l="1"/>
  <c r="H201" i="60"/>
  <c r="E201" i="60"/>
  <c r="E200" i="64"/>
  <c r="F200" i="64"/>
  <c r="H200" i="64" s="1"/>
  <c r="C201" i="64" s="1"/>
  <c r="J200" i="64"/>
  <c r="K200" i="64"/>
  <c r="L200" i="64" s="1"/>
  <c r="G201" i="60" l="1"/>
  <c r="I201" i="60" s="1"/>
  <c r="D202" i="60" s="1"/>
  <c r="K201" i="60"/>
  <c r="F201" i="60"/>
  <c r="P201" i="60"/>
  <c r="Q201" i="60" s="1"/>
  <c r="L201" i="60"/>
  <c r="M201" i="60" s="1"/>
  <c r="I201" i="64"/>
  <c r="G201" i="64"/>
  <c r="D201" i="64"/>
  <c r="H202" i="60" l="1"/>
  <c r="J202" i="60"/>
  <c r="E202" i="60"/>
  <c r="F201" i="64"/>
  <c r="H201" i="64" s="1"/>
  <c r="C202" i="64" s="1"/>
  <c r="J201" i="64"/>
  <c r="E201" i="64"/>
  <c r="K201" i="64"/>
  <c r="L201" i="64" s="1"/>
  <c r="L202" i="60" l="1"/>
  <c r="M202" i="60" s="1"/>
  <c r="K202" i="60"/>
  <c r="F202" i="60"/>
  <c r="P202" i="60"/>
  <c r="Q202" i="60" s="1"/>
  <c r="G202" i="60"/>
  <c r="I202" i="60" s="1"/>
  <c r="D203" i="60" s="1"/>
  <c r="D202" i="64"/>
  <c r="K202" i="64" s="1"/>
  <c r="L202" i="64" s="1"/>
  <c r="I202" i="64"/>
  <c r="G202" i="64"/>
  <c r="J203" i="60" l="1"/>
  <c r="H203" i="60"/>
  <c r="E203" i="60"/>
  <c r="F202" i="64"/>
  <c r="H202" i="64" s="1"/>
  <c r="C203" i="64" s="1"/>
  <c r="E202" i="64"/>
  <c r="J202" i="64"/>
  <c r="G203" i="60" l="1"/>
  <c r="I203" i="60" s="1"/>
  <c r="D204" i="60" s="1"/>
  <c r="F203" i="60"/>
  <c r="P203" i="60"/>
  <c r="Q203" i="60" s="1"/>
  <c r="K203" i="60"/>
  <c r="L203" i="60"/>
  <c r="M203" i="60" s="1"/>
  <c r="I203" i="64"/>
  <c r="G203" i="64"/>
  <c r="D203" i="64"/>
  <c r="H204" i="60" l="1"/>
  <c r="J204" i="60"/>
  <c r="E204" i="60"/>
  <c r="J203" i="64"/>
  <c r="F203" i="64"/>
  <c r="H203" i="64" s="1"/>
  <c r="C204" i="64" s="1"/>
  <c r="E203" i="64"/>
  <c r="K203" i="64"/>
  <c r="L203" i="64" s="1"/>
  <c r="L204" i="60" l="1"/>
  <c r="M204" i="60" s="1"/>
  <c r="K204" i="60"/>
  <c r="F204" i="60"/>
  <c r="G204" i="60"/>
  <c r="I204" i="60" s="1"/>
  <c r="D205" i="60" s="1"/>
  <c r="P204" i="60"/>
  <c r="Q204" i="60" s="1"/>
  <c r="D204" i="64"/>
  <c r="K204" i="64" s="1"/>
  <c r="L204" i="64" s="1"/>
  <c r="I204" i="64"/>
  <c r="G204" i="64"/>
  <c r="J205" i="60" l="1"/>
  <c r="H205" i="60"/>
  <c r="E205" i="60"/>
  <c r="J204" i="64"/>
  <c r="E204" i="64"/>
  <c r="F204" i="64"/>
  <c r="H204" i="64" s="1"/>
  <c r="C205" i="64" s="1"/>
  <c r="G205" i="60" l="1"/>
  <c r="I205" i="60" s="1"/>
  <c r="D206" i="60" s="1"/>
  <c r="K205" i="60"/>
  <c r="P205" i="60"/>
  <c r="Q205" i="60" s="1"/>
  <c r="F205" i="60"/>
  <c r="L205" i="60"/>
  <c r="M205" i="60" s="1"/>
  <c r="I205" i="64"/>
  <c r="G205" i="64"/>
  <c r="D205" i="64"/>
  <c r="J206" i="60" l="1"/>
  <c r="H206" i="60"/>
  <c r="E206" i="60"/>
  <c r="F205" i="64"/>
  <c r="H205" i="64" s="1"/>
  <c r="C206" i="64" s="1"/>
  <c r="J205" i="64"/>
  <c r="E205" i="64"/>
  <c r="K205" i="64"/>
  <c r="L205" i="64" s="1"/>
  <c r="L206" i="60" l="1"/>
  <c r="M206" i="60" s="1"/>
  <c r="G206" i="60"/>
  <c r="I206" i="60" s="1"/>
  <c r="D207" i="60" s="1"/>
  <c r="K206" i="60"/>
  <c r="F206" i="60"/>
  <c r="P206" i="60"/>
  <c r="Q206" i="60" s="1"/>
  <c r="G206" i="64"/>
  <c r="I206" i="64"/>
  <c r="D206" i="64"/>
  <c r="J207" i="60" l="1"/>
  <c r="H207" i="60"/>
  <c r="E207" i="60"/>
  <c r="L207" i="60" s="1"/>
  <c r="M207" i="60" s="1"/>
  <c r="E206" i="64"/>
  <c r="F206" i="64"/>
  <c r="H206" i="64" s="1"/>
  <c r="C207" i="64" s="1"/>
  <c r="J206" i="64"/>
  <c r="K206" i="64"/>
  <c r="L206" i="64" s="1"/>
  <c r="P207" i="60" l="1"/>
  <c r="Q207" i="60" s="1"/>
  <c r="F207" i="60"/>
  <c r="G207" i="60"/>
  <c r="I207" i="60" s="1"/>
  <c r="D208" i="60" s="1"/>
  <c r="K207" i="60"/>
  <c r="D207" i="64"/>
  <c r="K207" i="64" s="1"/>
  <c r="L207" i="64" s="1"/>
  <c r="I207" i="64"/>
  <c r="G207" i="64"/>
  <c r="H208" i="60" l="1"/>
  <c r="J208" i="60"/>
  <c r="E208" i="60"/>
  <c r="L208" i="60" s="1"/>
  <c r="M208" i="60" s="1"/>
  <c r="E207" i="64"/>
  <c r="F207" i="64"/>
  <c r="H207" i="64" s="1"/>
  <c r="C208" i="64" s="1"/>
  <c r="J207" i="64"/>
  <c r="P208" i="60" l="1"/>
  <c r="Q208" i="60" s="1"/>
  <c r="G208" i="60"/>
  <c r="I208" i="60" s="1"/>
  <c r="D209" i="60" s="1"/>
  <c r="K208" i="60"/>
  <c r="F208" i="60"/>
  <c r="G208" i="64"/>
  <c r="I208" i="64"/>
  <c r="D208" i="64"/>
  <c r="K208" i="64" s="1"/>
  <c r="L208" i="64" s="1"/>
  <c r="J209" i="60" l="1"/>
  <c r="H209" i="60"/>
  <c r="E209" i="60"/>
  <c r="E208" i="64"/>
  <c r="F208" i="64"/>
  <c r="H208" i="64" s="1"/>
  <c r="C209" i="64" s="1"/>
  <c r="J208" i="64"/>
  <c r="F209" i="60" l="1"/>
  <c r="K209" i="60"/>
  <c r="P209" i="60"/>
  <c r="Q209" i="60" s="1"/>
  <c r="G209" i="60"/>
  <c r="I209" i="60" s="1"/>
  <c r="D210" i="60" s="1"/>
  <c r="L209" i="60"/>
  <c r="M209" i="60" s="1"/>
  <c r="I209" i="64"/>
  <c r="D209" i="64"/>
  <c r="G209" i="64"/>
  <c r="H210" i="60" l="1"/>
  <c r="J210" i="60"/>
  <c r="E210" i="60"/>
  <c r="E209" i="64"/>
  <c r="F209" i="64"/>
  <c r="H209" i="64" s="1"/>
  <c r="C210" i="64" s="1"/>
  <c r="J209" i="64"/>
  <c r="K209" i="64"/>
  <c r="L209" i="64" s="1"/>
  <c r="L210" i="60" l="1"/>
  <c r="M210" i="60" s="1"/>
  <c r="F210" i="60"/>
  <c r="K210" i="60"/>
  <c r="P210" i="60"/>
  <c r="Q210" i="60" s="1"/>
  <c r="G210" i="60"/>
  <c r="I210" i="60" s="1"/>
  <c r="D211" i="60" s="1"/>
  <c r="D210" i="64"/>
  <c r="K210" i="64" s="1"/>
  <c r="L210" i="64" s="1"/>
  <c r="I210" i="64"/>
  <c r="G210" i="64"/>
  <c r="H211" i="60" l="1"/>
  <c r="J211" i="60"/>
  <c r="E211" i="60"/>
  <c r="J210" i="64"/>
  <c r="F210" i="64"/>
  <c r="H210" i="64" s="1"/>
  <c r="C211" i="64" s="1"/>
  <c r="E210" i="64"/>
  <c r="G211" i="60" l="1"/>
  <c r="I211" i="60" s="1"/>
  <c r="D212" i="60" s="1"/>
  <c r="K211" i="60"/>
  <c r="F211" i="60"/>
  <c r="P211" i="60"/>
  <c r="Q211" i="60" s="1"/>
  <c r="L211" i="60"/>
  <c r="M211" i="60" s="1"/>
  <c r="D211" i="64"/>
  <c r="K211" i="64" s="1"/>
  <c r="L211" i="64" s="1"/>
  <c r="G211" i="64"/>
  <c r="I211" i="64"/>
  <c r="H212" i="60" l="1"/>
  <c r="J212" i="60"/>
  <c r="E212" i="60"/>
  <c r="E211" i="64"/>
  <c r="J211" i="64"/>
  <c r="F211" i="64"/>
  <c r="H211" i="64" s="1"/>
  <c r="C212" i="64" s="1"/>
  <c r="G212" i="60" l="1"/>
  <c r="I212" i="60" s="1"/>
  <c r="D213" i="60" s="1"/>
  <c r="K212" i="60"/>
  <c r="F212" i="60"/>
  <c r="P212" i="60"/>
  <c r="Q212" i="60" s="1"/>
  <c r="L212" i="60"/>
  <c r="M212" i="60" s="1"/>
  <c r="I212" i="64"/>
  <c r="G212" i="64"/>
  <c r="D212" i="64"/>
  <c r="J213" i="60" l="1"/>
  <c r="H213" i="60"/>
  <c r="E213" i="60"/>
  <c r="E212" i="64"/>
  <c r="J212" i="64"/>
  <c r="F212" i="64"/>
  <c r="H212" i="64" s="1"/>
  <c r="C213" i="64" s="1"/>
  <c r="K212" i="64"/>
  <c r="L212" i="64" s="1"/>
  <c r="F213" i="60" l="1"/>
  <c r="K213" i="60"/>
  <c r="P213" i="60"/>
  <c r="Q213" i="60" s="1"/>
  <c r="G213" i="60"/>
  <c r="I213" i="60" s="1"/>
  <c r="D214" i="60" s="1"/>
  <c r="L213" i="60"/>
  <c r="M213" i="60" s="1"/>
  <c r="I213" i="64"/>
  <c r="D213" i="64"/>
  <c r="G213" i="64"/>
  <c r="J214" i="60" l="1"/>
  <c r="H214" i="60"/>
  <c r="E214" i="60"/>
  <c r="F213" i="64"/>
  <c r="H213" i="64" s="1"/>
  <c r="C214" i="64" s="1"/>
  <c r="J213" i="64"/>
  <c r="E213" i="64"/>
  <c r="K213" i="64"/>
  <c r="L213" i="64" s="1"/>
  <c r="F214" i="60" l="1"/>
  <c r="K214" i="60"/>
  <c r="P214" i="60"/>
  <c r="Q214" i="60" s="1"/>
  <c r="G214" i="60"/>
  <c r="I214" i="60" s="1"/>
  <c r="D215" i="60" s="1"/>
  <c r="L214" i="60"/>
  <c r="M214" i="60" s="1"/>
  <c r="D214" i="64"/>
  <c r="K214" i="64" s="1"/>
  <c r="I214" i="64"/>
  <c r="G214" i="64"/>
  <c r="H215" i="60" l="1"/>
  <c r="J215" i="60"/>
  <c r="E215" i="60"/>
  <c r="L214" i="64"/>
  <c r="M214" i="64"/>
  <c r="F214" i="64"/>
  <c r="H214" i="64" s="1"/>
  <c r="J214" i="64"/>
  <c r="E214" i="64"/>
  <c r="K215" i="60" l="1"/>
  <c r="P215" i="60"/>
  <c r="Q215" i="60" s="1"/>
  <c r="G215" i="60"/>
  <c r="I215" i="60" s="1"/>
  <c r="D216" i="60" s="1"/>
  <c r="F215" i="60"/>
  <c r="L215" i="60"/>
  <c r="M215" i="60" s="1"/>
  <c r="J216" i="60" l="1"/>
  <c r="H216" i="60"/>
  <c r="E216" i="60"/>
  <c r="G216" i="60" l="1"/>
  <c r="I216" i="60" s="1"/>
  <c r="D217" i="60" s="1"/>
  <c r="P216" i="60"/>
  <c r="Q216" i="60" s="1"/>
  <c r="K216" i="60"/>
  <c r="F216" i="60"/>
  <c r="L216" i="60"/>
  <c r="M216" i="60" s="1"/>
  <c r="J217" i="60" l="1"/>
  <c r="H217" i="60"/>
  <c r="E217" i="60"/>
  <c r="P217" i="60" l="1"/>
  <c r="Q217" i="60" s="1"/>
  <c r="K217" i="60"/>
  <c r="G217" i="60"/>
  <c r="I217" i="60" s="1"/>
  <c r="D218" i="60" s="1"/>
  <c r="F217" i="60"/>
  <c r="L217" i="60"/>
  <c r="M217" i="60" s="1"/>
  <c r="H218" i="60" l="1"/>
  <c r="J218" i="60"/>
  <c r="E218" i="60"/>
  <c r="K218" i="60" l="1"/>
  <c r="G218" i="60"/>
  <c r="I218" i="60" s="1"/>
  <c r="D219" i="60" s="1"/>
  <c r="P218" i="60"/>
  <c r="Q218" i="60" s="1"/>
  <c r="F218" i="60"/>
  <c r="L218" i="60"/>
  <c r="M218" i="60" s="1"/>
  <c r="H219" i="60" l="1"/>
  <c r="J219" i="60"/>
  <c r="E219" i="60"/>
  <c r="G219" i="60" l="1"/>
  <c r="I219" i="60" s="1"/>
  <c r="D220" i="60" s="1"/>
  <c r="K219" i="60"/>
  <c r="P219" i="60"/>
  <c r="Q219" i="60" s="1"/>
  <c r="F219" i="60"/>
  <c r="L219" i="60"/>
  <c r="M219" i="60" s="1"/>
  <c r="H220" i="60" l="1"/>
  <c r="J220" i="60"/>
  <c r="E220" i="60"/>
  <c r="F220" i="60" l="1"/>
  <c r="K220" i="60"/>
  <c r="P220" i="60"/>
  <c r="Q220" i="60" s="1"/>
  <c r="G220" i="60"/>
  <c r="I220" i="60" s="1"/>
  <c r="D221" i="60" s="1"/>
  <c r="L220" i="60"/>
  <c r="M220" i="60" s="1"/>
  <c r="H221" i="60" l="1"/>
  <c r="J221" i="60"/>
  <c r="E221" i="60"/>
  <c r="P221" i="60" l="1"/>
  <c r="Q221" i="60" s="1"/>
  <c r="K221" i="60"/>
  <c r="F221" i="60"/>
  <c r="G221" i="60"/>
  <c r="I221" i="60" s="1"/>
  <c r="D222" i="60" s="1"/>
  <c r="L221" i="60"/>
  <c r="M221" i="60" s="1"/>
  <c r="J222" i="60" l="1"/>
  <c r="H222" i="60"/>
  <c r="E222" i="60"/>
  <c r="P222" i="60" l="1"/>
  <c r="Q222" i="60" s="1"/>
  <c r="G222" i="60"/>
  <c r="I222" i="60" s="1"/>
  <c r="D223" i="60" s="1"/>
  <c r="K222" i="60"/>
  <c r="F222" i="60"/>
  <c r="L222" i="60"/>
  <c r="M222" i="60" s="1"/>
  <c r="J223" i="60" l="1"/>
  <c r="H223" i="60"/>
  <c r="E223" i="60"/>
  <c r="G223" i="60" l="1"/>
  <c r="I223" i="60" s="1"/>
  <c r="D224" i="60" s="1"/>
  <c r="P223" i="60"/>
  <c r="Q223" i="60" s="1"/>
  <c r="K223" i="60"/>
  <c r="F223" i="60"/>
  <c r="L223" i="60"/>
  <c r="M223" i="60" s="1"/>
  <c r="H224" i="60" l="1"/>
  <c r="J224" i="60"/>
  <c r="E224" i="60"/>
  <c r="G224" i="60" l="1"/>
  <c r="I224" i="60" s="1"/>
  <c r="D225" i="60" s="1"/>
  <c r="P224" i="60"/>
  <c r="Q224" i="60" s="1"/>
  <c r="F224" i="60"/>
  <c r="K224" i="60"/>
  <c r="L224" i="60"/>
  <c r="M224" i="60" s="1"/>
  <c r="H225" i="60" l="1"/>
  <c r="J225" i="60"/>
  <c r="E225" i="60"/>
  <c r="G225" i="60" l="1"/>
  <c r="I225" i="60" s="1"/>
  <c r="D226" i="60" s="1"/>
  <c r="K225" i="60"/>
  <c r="P225" i="60"/>
  <c r="Q225" i="60" s="1"/>
  <c r="F225" i="60"/>
  <c r="L225" i="60"/>
  <c r="M225" i="60" s="1"/>
  <c r="H226" i="60" l="1"/>
  <c r="J226" i="60"/>
  <c r="E226" i="60"/>
  <c r="K226" i="60" l="1"/>
  <c r="F226" i="60"/>
  <c r="G226" i="60"/>
  <c r="I226" i="60" s="1"/>
  <c r="D227" i="60" s="1"/>
  <c r="P226" i="60"/>
  <c r="Q226" i="60" s="1"/>
  <c r="L226" i="60"/>
  <c r="M226" i="60" s="1"/>
  <c r="J227" i="60" l="1"/>
  <c r="H227" i="60"/>
  <c r="E227" i="60"/>
  <c r="L227" i="60" s="1"/>
  <c r="M227" i="60" s="1"/>
  <c r="P227" i="60" l="1"/>
  <c r="Q227" i="60" s="1"/>
  <c r="G227" i="60"/>
  <c r="I227" i="60" s="1"/>
  <c r="D228" i="60" s="1"/>
  <c r="K227" i="60"/>
  <c r="F227" i="60"/>
  <c r="J228" i="60" l="1"/>
  <c r="H228" i="60"/>
  <c r="E228" i="60"/>
  <c r="L228" i="60" l="1"/>
  <c r="M228" i="60" s="1"/>
  <c r="F228" i="60"/>
  <c r="P228" i="60"/>
  <c r="Q228" i="60" s="1"/>
  <c r="K228" i="60"/>
  <c r="G228" i="60"/>
  <c r="I228" i="60" s="1"/>
  <c r="D229" i="60" s="1"/>
  <c r="H229" i="60" l="1"/>
  <c r="J229" i="60"/>
  <c r="E229" i="60"/>
  <c r="P229" i="60" l="1"/>
  <c r="Q229" i="60" s="1"/>
  <c r="G229" i="60"/>
  <c r="I229" i="60" s="1"/>
  <c r="D230" i="60" s="1"/>
  <c r="K229" i="60"/>
  <c r="F229" i="60"/>
  <c r="L229" i="60"/>
  <c r="M229" i="60" s="1"/>
  <c r="J230" i="60" l="1"/>
  <c r="H230" i="60"/>
  <c r="E230" i="60"/>
  <c r="L230" i="60" l="1"/>
  <c r="M230" i="60" s="1"/>
  <c r="P230" i="60"/>
  <c r="Q230" i="60" s="1"/>
  <c r="G230" i="60"/>
  <c r="I230" i="60" s="1"/>
  <c r="D231" i="60" s="1"/>
  <c r="F230" i="60"/>
  <c r="K230" i="60"/>
  <c r="J231" i="60" l="1"/>
  <c r="H231" i="60"/>
  <c r="E231" i="60"/>
  <c r="L231" i="60" l="1"/>
  <c r="M231" i="60" s="1"/>
  <c r="P231" i="60"/>
  <c r="Q231" i="60" s="1"/>
  <c r="F231" i="60"/>
  <c r="K231" i="60"/>
  <c r="G231" i="60"/>
  <c r="I231" i="60" s="1"/>
  <c r="D232" i="60" s="1"/>
  <c r="J232" i="60" l="1"/>
  <c r="H232" i="60"/>
  <c r="E232" i="60"/>
  <c r="F232" i="60" l="1"/>
  <c r="P232" i="60"/>
  <c r="Q232" i="60" s="1"/>
  <c r="K232" i="60"/>
  <c r="G232" i="60"/>
  <c r="I232" i="60" s="1"/>
  <c r="D233" i="60" s="1"/>
  <c r="L232" i="60"/>
  <c r="M232" i="60" s="1"/>
  <c r="J233" i="60" l="1"/>
  <c r="H233" i="60"/>
  <c r="E233" i="60"/>
  <c r="P233" i="60" l="1"/>
  <c r="Q233" i="60" s="1"/>
  <c r="G233" i="60"/>
  <c r="I233" i="60" s="1"/>
  <c r="D234" i="60" s="1"/>
  <c r="F233" i="60"/>
  <c r="K233" i="60"/>
  <c r="L233" i="60"/>
  <c r="M233" i="60" s="1"/>
  <c r="J234" i="60" l="1"/>
  <c r="H234" i="60"/>
  <c r="E234" i="60"/>
  <c r="K234" i="60" l="1"/>
  <c r="G234" i="60"/>
  <c r="I234" i="60" s="1"/>
  <c r="D235" i="60" s="1"/>
  <c r="F234" i="60"/>
  <c r="P234" i="60"/>
  <c r="Q234" i="60" s="1"/>
  <c r="L234" i="60"/>
  <c r="M234" i="60" s="1"/>
  <c r="J235" i="60" l="1"/>
  <c r="H235" i="60"/>
  <c r="E235" i="60"/>
  <c r="L235" i="60" l="1"/>
  <c r="M235" i="60" s="1"/>
  <c r="G235" i="60"/>
  <c r="I235" i="60" s="1"/>
  <c r="D236" i="60" s="1"/>
  <c r="P235" i="60"/>
  <c r="Q235" i="60" s="1"/>
  <c r="K235" i="60"/>
  <c r="F235" i="60"/>
  <c r="J236" i="60" l="1"/>
  <c r="H236" i="60"/>
  <c r="E236" i="60"/>
  <c r="G236" i="60" l="1"/>
  <c r="I236" i="60" s="1"/>
  <c r="D237" i="60" s="1"/>
  <c r="F236" i="60"/>
  <c r="P236" i="60"/>
  <c r="Q236" i="60" s="1"/>
  <c r="K236" i="60"/>
  <c r="L236" i="60"/>
  <c r="M236" i="60" s="1"/>
  <c r="H237" i="60" l="1"/>
  <c r="J237" i="60"/>
  <c r="E237" i="60"/>
  <c r="K237" i="60" l="1"/>
  <c r="G237" i="60"/>
  <c r="I237" i="60" s="1"/>
  <c r="D238" i="60" s="1"/>
  <c r="P237" i="60"/>
  <c r="Q237" i="60" s="1"/>
  <c r="F237" i="60"/>
  <c r="L237" i="60"/>
  <c r="M237" i="60" s="1"/>
  <c r="J238" i="60" l="1"/>
  <c r="H238" i="60"/>
  <c r="E238" i="60"/>
  <c r="F238" i="60" l="1"/>
  <c r="K238" i="60"/>
  <c r="P238" i="60"/>
  <c r="Q238" i="60" s="1"/>
  <c r="G238" i="60"/>
  <c r="I238" i="60" s="1"/>
  <c r="D239" i="60" s="1"/>
  <c r="L238" i="60"/>
  <c r="M238" i="60" s="1"/>
  <c r="J239" i="60" l="1"/>
  <c r="H239" i="60"/>
  <c r="E239" i="60"/>
  <c r="P239" i="60" l="1"/>
  <c r="Q239" i="60" s="1"/>
  <c r="G239" i="60"/>
  <c r="I239" i="60" s="1"/>
  <c r="D240" i="60" s="1"/>
  <c r="F239" i="60"/>
  <c r="K239" i="60"/>
  <c r="L239" i="60"/>
  <c r="M239" i="60" s="1"/>
  <c r="J240" i="60" l="1"/>
  <c r="H240" i="60"/>
  <c r="E240" i="60"/>
  <c r="G240" i="60" l="1"/>
  <c r="I240" i="60" s="1"/>
  <c r="D241" i="60" s="1"/>
  <c r="K240" i="60"/>
  <c r="F240" i="60"/>
  <c r="P240" i="60"/>
  <c r="Q240" i="60" s="1"/>
  <c r="L240" i="60"/>
  <c r="M240" i="60" s="1"/>
  <c r="H241" i="60" l="1"/>
  <c r="J241" i="60"/>
  <c r="E241" i="60"/>
  <c r="P241" i="60" l="1"/>
  <c r="Q241" i="60" s="1"/>
  <c r="K241" i="60"/>
  <c r="G241" i="60"/>
  <c r="I241" i="60" s="1"/>
  <c r="D242" i="60" s="1"/>
  <c r="F241" i="60"/>
  <c r="L241" i="60"/>
  <c r="M241" i="60" s="1"/>
  <c r="J242" i="60" l="1"/>
  <c r="H242" i="60"/>
  <c r="E242" i="60"/>
  <c r="F242" i="60" l="1"/>
  <c r="P242" i="60"/>
  <c r="Q242" i="60" s="1"/>
  <c r="K242" i="60"/>
  <c r="G242" i="60"/>
  <c r="I242" i="60" s="1"/>
  <c r="D243" i="60" s="1"/>
  <c r="L242" i="60"/>
  <c r="M242" i="60" s="1"/>
  <c r="H243" i="60" l="1"/>
  <c r="J243" i="60"/>
  <c r="E243" i="60"/>
  <c r="G243" i="60" l="1"/>
  <c r="I243" i="60" s="1"/>
  <c r="D244" i="60" s="1"/>
  <c r="P243" i="60"/>
  <c r="Q243" i="60" s="1"/>
  <c r="F243" i="60"/>
  <c r="K243" i="60"/>
  <c r="L243" i="60"/>
  <c r="M243" i="60" s="1"/>
  <c r="H244" i="60" l="1"/>
  <c r="J244" i="60"/>
  <c r="E244" i="60"/>
  <c r="L244" i="60" s="1"/>
  <c r="M244" i="60" s="1"/>
  <c r="G244" i="60" l="1"/>
  <c r="I244" i="60" s="1"/>
  <c r="D245" i="60" s="1"/>
  <c r="P244" i="60"/>
  <c r="Q244" i="60" s="1"/>
  <c r="F244" i="60"/>
  <c r="K244" i="60"/>
  <c r="H245" i="60" l="1"/>
  <c r="J245" i="60"/>
  <c r="E245" i="60"/>
  <c r="L245" i="60" s="1"/>
  <c r="M245" i="60" s="1"/>
  <c r="G245" i="60" l="1"/>
  <c r="I245" i="60" s="1"/>
  <c r="D246" i="60" s="1"/>
  <c r="K245" i="60"/>
  <c r="F245" i="60"/>
  <c r="P245" i="60"/>
  <c r="Q245" i="60" s="1"/>
  <c r="J246" i="60" l="1"/>
  <c r="H246" i="60"/>
  <c r="E246" i="60"/>
  <c r="K246" i="60" l="1"/>
  <c r="F246" i="60"/>
  <c r="P246" i="60"/>
  <c r="Q246" i="60" s="1"/>
  <c r="G246" i="60"/>
  <c r="I246" i="60" s="1"/>
  <c r="D247" i="60" s="1"/>
  <c r="L246" i="60"/>
  <c r="M246" i="60" s="1"/>
  <c r="H247" i="60" l="1"/>
  <c r="J247" i="60"/>
  <c r="E247" i="60"/>
  <c r="P247" i="60" l="1"/>
  <c r="Q247" i="60" s="1"/>
  <c r="G247" i="60"/>
  <c r="I247" i="60" s="1"/>
  <c r="D248" i="60" s="1"/>
  <c r="K247" i="60"/>
  <c r="F247" i="60"/>
  <c r="L247" i="60"/>
  <c r="M247" i="60" s="1"/>
  <c r="J248" i="60" l="1"/>
  <c r="H248" i="60"/>
  <c r="E248" i="60"/>
  <c r="F248" i="60" l="1"/>
  <c r="P248" i="60"/>
  <c r="Q248" i="60" s="1"/>
  <c r="K248" i="60"/>
  <c r="G248" i="60"/>
  <c r="I248" i="60" s="1"/>
  <c r="D249" i="60" s="1"/>
  <c r="L248" i="60"/>
  <c r="M248" i="60" s="1"/>
  <c r="J249" i="60" l="1"/>
  <c r="H249" i="60"/>
  <c r="E249" i="60"/>
  <c r="K249" i="60" l="1"/>
  <c r="F249" i="60"/>
  <c r="P249" i="60"/>
  <c r="Q249" i="60" s="1"/>
  <c r="G249" i="60"/>
  <c r="I249" i="60" s="1"/>
  <c r="D250" i="60" s="1"/>
  <c r="L249" i="60"/>
  <c r="M249" i="60" s="1"/>
  <c r="H250" i="60" l="1"/>
  <c r="J250" i="60"/>
  <c r="E250" i="60"/>
  <c r="F250" i="60" l="1"/>
  <c r="P250" i="60"/>
  <c r="Q250" i="60" s="1"/>
  <c r="G250" i="60"/>
  <c r="I250" i="60" s="1"/>
  <c r="D251" i="60" s="1"/>
  <c r="K250" i="60"/>
  <c r="L250" i="60"/>
  <c r="M250" i="60" s="1"/>
  <c r="J251" i="60" l="1"/>
  <c r="H251" i="60"/>
  <c r="E251" i="60"/>
  <c r="F251" i="60" l="1"/>
  <c r="P251" i="60"/>
  <c r="Q251" i="60" s="1"/>
  <c r="G251" i="60"/>
  <c r="I251" i="60" s="1"/>
  <c r="D252" i="60" s="1"/>
  <c r="K251" i="60"/>
  <c r="L251" i="60"/>
  <c r="M251" i="60" s="1"/>
  <c r="H252" i="60" l="1"/>
  <c r="J252" i="60"/>
  <c r="E252" i="60"/>
  <c r="F252" i="60" l="1"/>
  <c r="P252" i="60"/>
  <c r="Q252" i="60" s="1"/>
  <c r="K252" i="60"/>
  <c r="G252" i="60"/>
  <c r="I252" i="60" s="1"/>
  <c r="D253" i="60" s="1"/>
  <c r="L252" i="60"/>
  <c r="M252" i="60" s="1"/>
  <c r="J253" i="60" l="1"/>
  <c r="H253" i="60"/>
  <c r="E253" i="60"/>
  <c r="L253" i="60" s="1"/>
  <c r="M253" i="60" s="1"/>
  <c r="K253" i="60" l="1"/>
  <c r="F253" i="60"/>
  <c r="P253" i="60"/>
  <c r="Q253" i="60" s="1"/>
  <c r="G253" i="60"/>
  <c r="I253" i="60" s="1"/>
  <c r="D254" i="60" s="1"/>
  <c r="H254" i="60" l="1"/>
  <c r="J254" i="60"/>
  <c r="E254" i="60"/>
  <c r="P254" i="60" l="1"/>
  <c r="Q254" i="60" s="1"/>
  <c r="G254" i="60"/>
  <c r="I254" i="60" s="1"/>
  <c r="D255" i="60" s="1"/>
  <c r="F254" i="60"/>
  <c r="K254" i="60"/>
  <c r="L254" i="60"/>
  <c r="M254" i="60" s="1"/>
  <c r="H255" i="60" l="1"/>
  <c r="J255" i="60"/>
  <c r="E255" i="60"/>
  <c r="L255" i="60" l="1"/>
  <c r="M255" i="60" s="1"/>
  <c r="F255" i="60"/>
  <c r="P255" i="60"/>
  <c r="Q255" i="60" s="1"/>
  <c r="G255" i="60"/>
  <c r="I255" i="60" s="1"/>
  <c r="D256" i="60" s="1"/>
  <c r="K255" i="60"/>
  <c r="H256" i="60" l="1"/>
  <c r="J256" i="60"/>
  <c r="E256" i="60"/>
  <c r="F256" i="60" l="1"/>
  <c r="K256" i="60"/>
  <c r="P256" i="60"/>
  <c r="Q256" i="60" s="1"/>
  <c r="G256" i="60"/>
  <c r="I256" i="60" s="1"/>
  <c r="D257" i="60" s="1"/>
  <c r="L256" i="60"/>
  <c r="M256" i="60" s="1"/>
  <c r="J257" i="60" l="1"/>
  <c r="H257" i="60"/>
  <c r="E257" i="60"/>
  <c r="L257" i="60" l="1"/>
  <c r="M257" i="60" s="1"/>
  <c r="G257" i="60"/>
  <c r="I257" i="60" s="1"/>
  <c r="D258" i="60" s="1"/>
  <c r="K257" i="60"/>
  <c r="F257" i="60"/>
  <c r="P257" i="60"/>
  <c r="Q257" i="60" s="1"/>
  <c r="H258" i="60" l="1"/>
  <c r="J258" i="60"/>
  <c r="E258" i="60"/>
  <c r="P258" i="60" l="1"/>
  <c r="Q258" i="60" s="1"/>
  <c r="F258" i="60"/>
  <c r="K258" i="60"/>
  <c r="G258" i="60"/>
  <c r="I258" i="60" s="1"/>
  <c r="D259" i="60" s="1"/>
  <c r="L258" i="60"/>
  <c r="M258" i="60" s="1"/>
  <c r="J259" i="60" l="1"/>
  <c r="H259" i="60"/>
  <c r="E259" i="60"/>
  <c r="L259" i="60" s="1"/>
  <c r="M259" i="60" s="1"/>
  <c r="K259" i="60" l="1"/>
  <c r="F259" i="60"/>
  <c r="P259" i="60"/>
  <c r="Q259" i="60" s="1"/>
  <c r="G259" i="60"/>
  <c r="I259" i="60" s="1"/>
  <c r="D260" i="60" s="1"/>
  <c r="H260" i="60" l="1"/>
  <c r="J260" i="60"/>
  <c r="E260" i="60"/>
  <c r="G260" i="60" l="1"/>
  <c r="I260" i="60" s="1"/>
  <c r="D261" i="60" s="1"/>
  <c r="F260" i="60"/>
  <c r="K260" i="60"/>
  <c r="P260" i="60"/>
  <c r="Q260" i="60" s="1"/>
  <c r="L260" i="60"/>
  <c r="M260" i="60" s="1"/>
  <c r="J261" i="60" l="1"/>
  <c r="H261" i="60"/>
  <c r="E261" i="60"/>
  <c r="G261" i="60" l="1"/>
  <c r="I261" i="60" s="1"/>
  <c r="D262" i="60" s="1"/>
  <c r="P261" i="60"/>
  <c r="Q261" i="60" s="1"/>
  <c r="K261" i="60"/>
  <c r="F261" i="60"/>
  <c r="L261" i="60"/>
  <c r="M261" i="60" s="1"/>
  <c r="J262" i="60" l="1"/>
  <c r="H262" i="60"/>
  <c r="E262" i="60"/>
  <c r="G262" i="60" l="1"/>
  <c r="I262" i="60" s="1"/>
  <c r="D263" i="60" s="1"/>
  <c r="F262" i="60"/>
  <c r="P262" i="60"/>
  <c r="Q262" i="60" s="1"/>
  <c r="K262" i="60"/>
  <c r="L262" i="60"/>
  <c r="M262" i="60" s="1"/>
  <c r="H263" i="60" l="1"/>
  <c r="J263" i="60"/>
  <c r="E263" i="60"/>
  <c r="L263" i="60" s="1"/>
  <c r="M263" i="60" s="1"/>
  <c r="G263" i="60" l="1"/>
  <c r="I263" i="60" s="1"/>
  <c r="D264" i="60" s="1"/>
  <c r="F263" i="60"/>
  <c r="P263" i="60"/>
  <c r="Q263" i="60" s="1"/>
  <c r="K263" i="60"/>
  <c r="H264" i="60" l="1"/>
  <c r="J264" i="60"/>
  <c r="E264" i="60"/>
  <c r="L264" i="60" l="1"/>
  <c r="M264" i="60" s="1"/>
  <c r="P264" i="60"/>
  <c r="Q264" i="60" s="1"/>
  <c r="G264" i="60"/>
  <c r="I264" i="60" s="1"/>
  <c r="D265" i="60" s="1"/>
  <c r="K264" i="60"/>
  <c r="F264" i="60"/>
  <c r="H265" i="60" l="1"/>
  <c r="J265" i="60"/>
  <c r="E265" i="60"/>
  <c r="F265" i="60" l="1"/>
  <c r="G265" i="60"/>
  <c r="I265" i="60" s="1"/>
  <c r="D266" i="60" s="1"/>
  <c r="K265" i="60"/>
  <c r="P265" i="60"/>
  <c r="Q265" i="60" s="1"/>
  <c r="L265" i="60"/>
  <c r="M265" i="60" s="1"/>
  <c r="H266" i="60" l="1"/>
  <c r="J266" i="60"/>
  <c r="E266" i="60"/>
  <c r="L266" i="60" l="1"/>
  <c r="M266" i="60" s="1"/>
  <c r="K266" i="60"/>
  <c r="F266" i="60"/>
  <c r="G266" i="60"/>
  <c r="I266" i="60" s="1"/>
  <c r="D267" i="60" s="1"/>
  <c r="P266" i="60"/>
  <c r="Q266" i="60" s="1"/>
  <c r="H267" i="60" l="1"/>
  <c r="J267" i="60"/>
  <c r="E267" i="60"/>
  <c r="F267" i="60" l="1"/>
  <c r="G267" i="60"/>
  <c r="I267" i="60" s="1"/>
  <c r="D268" i="60" s="1"/>
  <c r="P267" i="60"/>
  <c r="Q267" i="60" s="1"/>
  <c r="K267" i="60"/>
  <c r="L267" i="60"/>
  <c r="M267" i="60" s="1"/>
  <c r="H268" i="60" l="1"/>
  <c r="J268" i="60"/>
  <c r="E268" i="60"/>
  <c r="P268" i="60" l="1"/>
  <c r="Q268" i="60" s="1"/>
  <c r="F268" i="60"/>
  <c r="G268" i="60"/>
  <c r="I268" i="60" s="1"/>
  <c r="D269" i="60" s="1"/>
  <c r="K268" i="60"/>
  <c r="L268" i="60"/>
  <c r="M268" i="60" s="1"/>
  <c r="J269" i="60" l="1"/>
  <c r="H269" i="60"/>
  <c r="E269" i="60"/>
  <c r="L269" i="60" s="1"/>
  <c r="M269" i="60" s="1"/>
  <c r="F269" i="60" l="1"/>
  <c r="P269" i="60"/>
  <c r="Q269" i="60" s="1"/>
  <c r="G269" i="60"/>
  <c r="I269" i="60" s="1"/>
  <c r="D270" i="60" s="1"/>
  <c r="K269" i="60"/>
  <c r="J270" i="60" l="1"/>
  <c r="H270" i="60"/>
  <c r="E270" i="60"/>
  <c r="L270" i="60" s="1"/>
  <c r="M270" i="60" s="1"/>
  <c r="F270" i="60" l="1"/>
  <c r="P270" i="60"/>
  <c r="Q270" i="60" s="1"/>
  <c r="G270" i="60"/>
  <c r="I270" i="60" s="1"/>
  <c r="D271" i="60" s="1"/>
  <c r="K270" i="60"/>
  <c r="H271" i="60" l="1"/>
  <c r="J271" i="60"/>
  <c r="E271" i="60"/>
  <c r="L271" i="60" l="1"/>
  <c r="M271" i="60" s="1"/>
  <c r="F271" i="60"/>
  <c r="G271" i="60"/>
  <c r="I271" i="60" s="1"/>
  <c r="D272" i="60" s="1"/>
  <c r="P271" i="60"/>
  <c r="Q271" i="60" s="1"/>
  <c r="K271" i="60"/>
  <c r="J272" i="60" l="1"/>
  <c r="H272" i="60"/>
  <c r="E272" i="60"/>
  <c r="P272" i="60" l="1"/>
  <c r="Q272" i="60" s="1"/>
  <c r="G272" i="60"/>
  <c r="I272" i="60" s="1"/>
  <c r="D273" i="60" s="1"/>
  <c r="F272" i="60"/>
  <c r="K272" i="60"/>
  <c r="L272" i="60"/>
  <c r="M272" i="60" s="1"/>
  <c r="J273" i="60" l="1"/>
  <c r="H273" i="60"/>
  <c r="E273" i="60"/>
  <c r="L273" i="60" l="1"/>
  <c r="M273" i="60" s="1"/>
  <c r="F273" i="60"/>
  <c r="P273" i="60"/>
  <c r="Q273" i="60" s="1"/>
  <c r="K273" i="60"/>
  <c r="G273" i="60"/>
  <c r="I273" i="60" s="1"/>
  <c r="D274" i="60" s="1"/>
  <c r="J274" i="60" l="1"/>
  <c r="H274" i="60"/>
  <c r="E274" i="60"/>
  <c r="P274" i="60" l="1"/>
  <c r="Q274" i="60" s="1"/>
  <c r="K274" i="60"/>
  <c r="G274" i="60"/>
  <c r="I274" i="60" s="1"/>
  <c r="D275" i="60" s="1"/>
  <c r="F274" i="60"/>
  <c r="L274" i="60"/>
  <c r="M274" i="60" s="1"/>
  <c r="H275" i="60" l="1"/>
  <c r="J275" i="60"/>
  <c r="E275" i="60"/>
  <c r="L275" i="60" l="1"/>
  <c r="M275" i="60" s="1"/>
  <c r="F275" i="60"/>
  <c r="G275" i="60"/>
  <c r="I275" i="60" s="1"/>
  <c r="D276" i="60" s="1"/>
  <c r="K275" i="60"/>
  <c r="P275" i="60"/>
  <c r="Q275" i="60" s="1"/>
  <c r="J276" i="60" l="1"/>
  <c r="H276" i="60"/>
  <c r="E276" i="60"/>
  <c r="L276" i="60" s="1"/>
  <c r="M276" i="60" s="1"/>
  <c r="F276" i="60" l="1"/>
  <c r="P276" i="60"/>
  <c r="Q276" i="60" s="1"/>
  <c r="G276" i="60"/>
  <c r="I276" i="60" s="1"/>
  <c r="D277" i="60" s="1"/>
  <c r="K276" i="60"/>
  <c r="H277" i="60" l="1"/>
  <c r="J277" i="60"/>
  <c r="E277" i="60"/>
  <c r="F277" i="60" l="1"/>
  <c r="G277" i="60"/>
  <c r="I277" i="60" s="1"/>
  <c r="D278" i="60" s="1"/>
  <c r="K277" i="60"/>
  <c r="P277" i="60"/>
  <c r="Q277" i="60" s="1"/>
  <c r="L277" i="60"/>
  <c r="M277" i="60" s="1"/>
  <c r="J278" i="60" l="1"/>
  <c r="H278" i="60"/>
  <c r="E278" i="60"/>
  <c r="L278" i="60" s="1"/>
  <c r="M278" i="60" s="1"/>
  <c r="F278" i="60" l="1"/>
  <c r="P278" i="60"/>
  <c r="Q278" i="60" s="1"/>
  <c r="G278" i="60"/>
  <c r="I278" i="60" s="1"/>
  <c r="D279" i="60" s="1"/>
  <c r="K278" i="60"/>
  <c r="H279" i="60" l="1"/>
  <c r="J279" i="60"/>
  <c r="E279" i="60"/>
  <c r="L279" i="60" l="1"/>
  <c r="M279" i="60" s="1"/>
  <c r="K279" i="60"/>
  <c r="G279" i="60"/>
  <c r="I279" i="60" s="1"/>
  <c r="D280" i="60" s="1"/>
  <c r="F279" i="60"/>
  <c r="P279" i="60"/>
  <c r="Q279" i="60" s="1"/>
  <c r="J280" i="60" l="1"/>
  <c r="H280" i="60"/>
  <c r="E280" i="60"/>
  <c r="L280" i="60" s="1"/>
  <c r="M280" i="60" s="1"/>
  <c r="F280" i="60" l="1"/>
  <c r="G280" i="60"/>
  <c r="I280" i="60" s="1"/>
  <c r="D281" i="60" s="1"/>
  <c r="P280" i="60"/>
  <c r="Q280" i="60" s="1"/>
  <c r="K280" i="60"/>
  <c r="H281" i="60" l="1"/>
  <c r="J281" i="60"/>
  <c r="E281" i="60"/>
  <c r="G281" i="60" l="1"/>
  <c r="I281" i="60" s="1"/>
  <c r="D282" i="60" s="1"/>
  <c r="P281" i="60"/>
  <c r="Q281" i="60" s="1"/>
  <c r="K281" i="60"/>
  <c r="F281" i="60"/>
  <c r="L281" i="60"/>
  <c r="M281" i="60" s="1"/>
  <c r="H282" i="60" l="1"/>
  <c r="J282" i="60"/>
  <c r="E282" i="60"/>
  <c r="L282" i="60" s="1"/>
  <c r="M282" i="60" s="1"/>
  <c r="F282" i="60" l="1"/>
  <c r="K282" i="60"/>
  <c r="P282" i="60"/>
  <c r="Q282" i="60" s="1"/>
  <c r="G282" i="60"/>
  <c r="I282" i="60" s="1"/>
  <c r="D283" i="60" s="1"/>
  <c r="H283" i="60" l="1"/>
  <c r="J283" i="60"/>
  <c r="E283" i="60"/>
  <c r="L283" i="60" l="1"/>
  <c r="M283" i="60" s="1"/>
  <c r="P283" i="60"/>
  <c r="Q283" i="60" s="1"/>
  <c r="G283" i="60"/>
  <c r="I283" i="60" s="1"/>
  <c r="D284" i="60" s="1"/>
  <c r="K283" i="60"/>
  <c r="F283" i="60"/>
  <c r="J284" i="60" l="1"/>
  <c r="H284" i="60"/>
  <c r="E284" i="60"/>
  <c r="F284" i="60" l="1"/>
  <c r="G284" i="60"/>
  <c r="I284" i="60" s="1"/>
  <c r="D285" i="60" s="1"/>
  <c r="K284" i="60"/>
  <c r="P284" i="60"/>
  <c r="Q284" i="60" s="1"/>
  <c r="L284" i="60"/>
  <c r="M284" i="60" s="1"/>
  <c r="J285" i="60" l="1"/>
  <c r="H285" i="60"/>
  <c r="E285" i="60"/>
  <c r="F285" i="60" l="1"/>
  <c r="P285" i="60"/>
  <c r="Q285" i="60" s="1"/>
  <c r="G285" i="60"/>
  <c r="I285" i="60" s="1"/>
  <c r="D286" i="60" s="1"/>
  <c r="K285" i="60"/>
  <c r="L285" i="60"/>
  <c r="M285" i="60" s="1"/>
  <c r="H286" i="60" l="1"/>
  <c r="J286" i="60"/>
  <c r="E286" i="60"/>
  <c r="L286" i="60" s="1"/>
  <c r="M286" i="60" s="1"/>
  <c r="G286" i="60" l="1"/>
  <c r="I286" i="60" s="1"/>
  <c r="D287" i="60" s="1"/>
  <c r="K286" i="60"/>
  <c r="F286" i="60"/>
  <c r="P286" i="60"/>
  <c r="Q286" i="60" s="1"/>
  <c r="J287" i="60" l="1"/>
  <c r="H287" i="60"/>
  <c r="E287" i="60"/>
  <c r="L287" i="60" s="1"/>
  <c r="M287" i="60" s="1"/>
  <c r="G287" i="60" l="1"/>
  <c r="I287" i="60" s="1"/>
  <c r="D288" i="60" s="1"/>
  <c r="K287" i="60"/>
  <c r="F287" i="60"/>
  <c r="P287" i="60"/>
  <c r="Q287" i="60" s="1"/>
  <c r="H288" i="60" l="1"/>
  <c r="J288" i="60"/>
  <c r="E288" i="60"/>
  <c r="F288" i="60" l="1"/>
  <c r="P288" i="60"/>
  <c r="Q288" i="60" s="1"/>
  <c r="G288" i="60"/>
  <c r="I288" i="60" s="1"/>
  <c r="D289" i="60" s="1"/>
  <c r="K288" i="60"/>
  <c r="L288" i="60"/>
  <c r="M288" i="60" s="1"/>
  <c r="H289" i="60" l="1"/>
  <c r="J289" i="60"/>
  <c r="E289" i="60"/>
  <c r="L289" i="60" s="1"/>
  <c r="M289" i="60" s="1"/>
  <c r="F289" i="60" l="1"/>
  <c r="P289" i="60"/>
  <c r="Q289" i="60" s="1"/>
  <c r="G289" i="60"/>
  <c r="I289" i="60" s="1"/>
  <c r="D290" i="60" s="1"/>
  <c r="K289" i="60"/>
  <c r="H290" i="60" l="1"/>
  <c r="J290" i="60"/>
  <c r="E290" i="60"/>
  <c r="P290" i="60" l="1"/>
  <c r="Q290" i="60" s="1"/>
  <c r="F290" i="60"/>
  <c r="G290" i="60"/>
  <c r="I290" i="60" s="1"/>
  <c r="D291" i="60" s="1"/>
  <c r="K290" i="60"/>
  <c r="L290" i="60"/>
  <c r="M290" i="60" s="1"/>
  <c r="H291" i="60" l="1"/>
  <c r="J291" i="60"/>
  <c r="E291" i="60"/>
  <c r="K291" i="60" l="1"/>
  <c r="F291" i="60"/>
  <c r="P291" i="60"/>
  <c r="Q291" i="60" s="1"/>
  <c r="G291" i="60"/>
  <c r="I291" i="60" s="1"/>
  <c r="D292" i="60" s="1"/>
  <c r="L291" i="60"/>
  <c r="M291" i="60" s="1"/>
  <c r="H292" i="60" l="1"/>
  <c r="J292" i="60"/>
  <c r="E292" i="60"/>
  <c r="L292" i="60" s="1"/>
  <c r="M292" i="60" s="1"/>
  <c r="P292" i="60" l="1"/>
  <c r="Q292" i="60" s="1"/>
  <c r="G292" i="60"/>
  <c r="I292" i="60" s="1"/>
  <c r="D293" i="60" s="1"/>
  <c r="K292" i="60"/>
  <c r="F292" i="60"/>
  <c r="H293" i="60" l="1"/>
  <c r="J293" i="60"/>
  <c r="E293" i="60"/>
  <c r="F293" i="60" l="1"/>
  <c r="P293" i="60"/>
  <c r="Q293" i="60" s="1"/>
  <c r="G293" i="60"/>
  <c r="I293" i="60" s="1"/>
  <c r="D294" i="60" s="1"/>
  <c r="K293" i="60"/>
  <c r="L293" i="60"/>
  <c r="M293" i="60" s="1"/>
  <c r="H294" i="60" l="1"/>
  <c r="J294" i="60"/>
  <c r="E294" i="60"/>
  <c r="L294" i="60" s="1"/>
  <c r="M294" i="60" s="1"/>
  <c r="K294" i="60" l="1"/>
  <c r="F294" i="60"/>
  <c r="G294" i="60"/>
  <c r="I294" i="60" s="1"/>
  <c r="D295" i="60" s="1"/>
  <c r="P294" i="60"/>
  <c r="Q294" i="60" s="1"/>
  <c r="H295" i="60" l="1"/>
  <c r="J295" i="60"/>
  <c r="E295" i="60"/>
  <c r="F295" i="60" l="1"/>
  <c r="G295" i="60"/>
  <c r="I295" i="60" s="1"/>
  <c r="D296" i="60" s="1"/>
  <c r="K295" i="60"/>
  <c r="P295" i="60"/>
  <c r="Q295" i="60" s="1"/>
  <c r="L295" i="60"/>
  <c r="M295" i="60" s="1"/>
  <c r="J296" i="60" l="1"/>
  <c r="H296" i="60"/>
  <c r="E296" i="60"/>
  <c r="F296" i="60" l="1"/>
  <c r="P296" i="60"/>
  <c r="Q296" i="60" s="1"/>
  <c r="G296" i="60"/>
  <c r="I296" i="60" s="1"/>
  <c r="D297" i="60" s="1"/>
  <c r="K296" i="60"/>
  <c r="L296" i="60"/>
  <c r="M296" i="60" s="1"/>
  <c r="J297" i="60" l="1"/>
  <c r="H297" i="60"/>
  <c r="E297" i="60"/>
  <c r="L297" i="60" s="1"/>
  <c r="M297" i="60" s="1"/>
  <c r="K297" i="60" l="1"/>
  <c r="F297" i="60"/>
  <c r="G297" i="60"/>
  <c r="I297" i="60" s="1"/>
  <c r="D298" i="60" s="1"/>
  <c r="P297" i="60"/>
  <c r="Q297" i="60" s="1"/>
  <c r="H298" i="60" l="1"/>
  <c r="J298" i="60"/>
  <c r="E298" i="60"/>
  <c r="F298" i="60" l="1"/>
  <c r="K298" i="60"/>
  <c r="G298" i="60"/>
  <c r="I298" i="60" s="1"/>
  <c r="D299" i="60" s="1"/>
  <c r="P298" i="60"/>
  <c r="Q298" i="60" s="1"/>
  <c r="L298" i="60"/>
  <c r="M298" i="60" s="1"/>
  <c r="J299" i="60" l="1"/>
  <c r="H299" i="60"/>
  <c r="E299" i="60"/>
  <c r="L299" i="60" s="1"/>
  <c r="M299" i="60" s="1"/>
  <c r="K299" i="60" l="1"/>
  <c r="P299" i="60"/>
  <c r="Q299" i="60" s="1"/>
  <c r="F299" i="60"/>
  <c r="G299" i="60"/>
  <c r="I299" i="60" s="1"/>
  <c r="D300" i="60" s="1"/>
  <c r="H300" i="60" l="1"/>
  <c r="J300" i="60"/>
  <c r="E300" i="60"/>
  <c r="L300" i="60" s="1"/>
  <c r="M300" i="60" s="1"/>
  <c r="G300" i="60" l="1"/>
  <c r="I300" i="60" s="1"/>
  <c r="D301" i="60" s="1"/>
  <c r="K300" i="60"/>
  <c r="F300" i="60"/>
  <c r="P300" i="60"/>
  <c r="Q300" i="60" s="1"/>
  <c r="J301" i="60" l="1"/>
  <c r="H301" i="60"/>
  <c r="E301" i="60"/>
  <c r="L301" i="60" s="1"/>
  <c r="M301" i="60" s="1"/>
  <c r="G301" i="60" l="1"/>
  <c r="I301" i="60" s="1"/>
  <c r="D302" i="60" s="1"/>
  <c r="F301" i="60"/>
  <c r="P301" i="60"/>
  <c r="Q301" i="60" s="1"/>
  <c r="K301" i="60"/>
  <c r="J302" i="60" l="1"/>
  <c r="H302" i="60"/>
  <c r="E302" i="60"/>
  <c r="P302" i="60" l="1"/>
  <c r="Q302" i="60" s="1"/>
  <c r="K302" i="60"/>
  <c r="F302" i="60"/>
  <c r="G302" i="60"/>
  <c r="I302" i="60" s="1"/>
  <c r="D303" i="60" s="1"/>
  <c r="L302" i="60"/>
  <c r="M302" i="60" s="1"/>
  <c r="J303" i="60" l="1"/>
  <c r="H303" i="60"/>
  <c r="E303" i="60"/>
  <c r="L303" i="60" s="1"/>
  <c r="M303" i="60" s="1"/>
  <c r="K303" i="60" l="1"/>
  <c r="F303" i="60"/>
  <c r="P303" i="60"/>
  <c r="Q303" i="60" s="1"/>
  <c r="G303" i="60"/>
  <c r="I303" i="60" s="1"/>
  <c r="D304" i="60" s="1"/>
  <c r="H304" i="60" l="1"/>
  <c r="J304" i="60"/>
  <c r="E304" i="60"/>
  <c r="K304" i="60" l="1"/>
  <c r="P304" i="60"/>
  <c r="Q304" i="60" s="1"/>
  <c r="F304" i="60"/>
  <c r="G304" i="60"/>
  <c r="I304" i="60" s="1"/>
  <c r="D305" i="60" s="1"/>
  <c r="L304" i="60"/>
  <c r="M304" i="60" s="1"/>
  <c r="J305" i="60" l="1"/>
  <c r="H305" i="60"/>
  <c r="E305" i="60"/>
  <c r="L305" i="60" s="1"/>
  <c r="M305" i="60" s="1"/>
  <c r="F305" i="60" l="1"/>
  <c r="G305" i="60"/>
  <c r="I305" i="60" s="1"/>
  <c r="D306" i="60" s="1"/>
  <c r="K305" i="60"/>
  <c r="P305" i="60"/>
  <c r="Q305" i="60" s="1"/>
  <c r="J306" i="60" l="1"/>
  <c r="H306" i="60"/>
  <c r="E306" i="60"/>
  <c r="G306" i="60" l="1"/>
  <c r="I306" i="60" s="1"/>
  <c r="D307" i="60" s="1"/>
  <c r="P306" i="60"/>
  <c r="Q306" i="60" s="1"/>
  <c r="K306" i="60"/>
  <c r="F306" i="60"/>
  <c r="L306" i="60"/>
  <c r="M306" i="60" s="1"/>
  <c r="J307" i="60" l="1"/>
  <c r="H307" i="60"/>
  <c r="E307" i="60"/>
  <c r="F307" i="60" l="1"/>
  <c r="G307" i="60"/>
  <c r="I307" i="60" s="1"/>
  <c r="D308" i="60" s="1"/>
  <c r="K307" i="60"/>
  <c r="P307" i="60"/>
  <c r="Q307" i="60" s="1"/>
  <c r="L307" i="60"/>
  <c r="M307" i="60" s="1"/>
  <c r="J308" i="60" l="1"/>
  <c r="H308" i="60"/>
  <c r="E308" i="60"/>
  <c r="K308" i="60" l="1"/>
  <c r="P308" i="60"/>
  <c r="Q308" i="60" s="1"/>
  <c r="G308" i="60"/>
  <c r="I308" i="60" s="1"/>
  <c r="D309" i="60" s="1"/>
  <c r="F308" i="60"/>
  <c r="L308" i="60"/>
  <c r="M308" i="60" s="1"/>
  <c r="H309" i="60" l="1"/>
  <c r="J309" i="60"/>
  <c r="E309" i="60"/>
  <c r="F309" i="60" l="1"/>
  <c r="P309" i="60"/>
  <c r="Q309" i="60" s="1"/>
  <c r="K309" i="60"/>
  <c r="G309" i="60"/>
  <c r="I309" i="60" s="1"/>
  <c r="D310" i="60" s="1"/>
  <c r="L309" i="60"/>
  <c r="M309" i="60" s="1"/>
  <c r="J310" i="60" l="1"/>
  <c r="H310" i="60"/>
  <c r="E310" i="60"/>
  <c r="L310" i="60" s="1"/>
  <c r="M310" i="60" s="1"/>
  <c r="F310" i="60" l="1"/>
  <c r="P310" i="60"/>
  <c r="Q310" i="60" s="1"/>
  <c r="G310" i="60"/>
  <c r="I310" i="60" s="1"/>
  <c r="D311" i="60" s="1"/>
  <c r="K310" i="60"/>
  <c r="H311" i="60" l="1"/>
  <c r="J311" i="60"/>
  <c r="E311" i="60"/>
  <c r="L311" i="60" s="1"/>
  <c r="M311" i="60" s="1"/>
  <c r="F311" i="60" l="1"/>
  <c r="P311" i="60"/>
  <c r="Q311" i="60" s="1"/>
  <c r="G311" i="60"/>
  <c r="I311" i="60" s="1"/>
  <c r="D312" i="60" s="1"/>
  <c r="K311" i="60"/>
  <c r="H312" i="60" l="1"/>
  <c r="J312" i="60"/>
  <c r="E312" i="60"/>
  <c r="K312" i="60" l="1"/>
  <c r="F312" i="60"/>
  <c r="P312" i="60"/>
  <c r="Q312" i="60" s="1"/>
  <c r="G312" i="60"/>
  <c r="I312" i="60" s="1"/>
  <c r="D313" i="60" s="1"/>
  <c r="L312" i="60"/>
  <c r="M312" i="60" s="1"/>
  <c r="H313" i="60" l="1"/>
  <c r="J313" i="60"/>
  <c r="E313" i="60"/>
  <c r="G313" i="60" l="1"/>
  <c r="I313" i="60" s="1"/>
  <c r="K313" i="60"/>
  <c r="F313" i="60"/>
  <c r="P313" i="60"/>
  <c r="Q313" i="60" s="1"/>
  <c r="L313" i="60"/>
  <c r="M313" i="60" s="1"/>
</calcChain>
</file>

<file path=xl/sharedStrings.xml><?xml version="1.0" encoding="utf-8"?>
<sst xmlns="http://schemas.openxmlformats.org/spreadsheetml/2006/main" count="513" uniqueCount="441">
  <si>
    <t>Y</t>
  </si>
  <si>
    <t>Year</t>
  </si>
  <si>
    <t>g</t>
  </si>
  <si>
    <t>n</t>
  </si>
  <si>
    <t>d</t>
  </si>
  <si>
    <t>s</t>
  </si>
  <si>
    <t>productivity of capital</t>
  </si>
  <si>
    <t>a</t>
  </si>
  <si>
    <r>
      <t>%</t>
    </r>
    <r>
      <rPr>
        <b/>
        <sz val="9"/>
        <color indexed="17"/>
        <rFont val="Symbol"/>
        <family val="1"/>
        <charset val="2"/>
      </rPr>
      <t xml:space="preserve">D </t>
    </r>
    <r>
      <rPr>
        <b/>
        <sz val="9"/>
        <color indexed="17"/>
        <rFont val="Geneva"/>
        <family val="2"/>
      </rPr>
      <t>population</t>
    </r>
  </si>
  <si>
    <t>Exogenous Variables</t>
  </si>
  <si>
    <t>K</t>
  </si>
  <si>
    <t>I</t>
  </si>
  <si>
    <t>C</t>
  </si>
  <si>
    <t>initial k</t>
  </si>
  <si>
    <t>Initial Conditions</t>
  </si>
  <si>
    <t>technology parameter</t>
  </si>
  <si>
    <t>A</t>
  </si>
  <si>
    <r>
      <t>labor-augmenting tech</t>
    </r>
    <r>
      <rPr>
        <b/>
        <sz val="9"/>
        <color indexed="17"/>
        <rFont val="Symbol"/>
        <family val="1"/>
        <charset val="2"/>
      </rPr>
      <t>D</t>
    </r>
  </si>
  <si>
    <t>saving rate</t>
  </si>
  <si>
    <t xml:space="preserve">depreciation </t>
  </si>
  <si>
    <t>K/Y</t>
  </si>
  <si>
    <t>r</t>
  </si>
  <si>
    <t>L</t>
  </si>
  <si>
    <t>The Solow Model with Technological Progress with L and K</t>
  </si>
  <si>
    <t>productivity of labor</t>
  </si>
  <si>
    <t>a1</t>
  </si>
  <si>
    <t>initial L</t>
  </si>
  <si>
    <t>depK</t>
  </si>
  <si>
    <r>
      <rPr>
        <sz val="10"/>
        <rFont val="Symbol"/>
        <family val="1"/>
        <charset val="2"/>
      </rPr>
      <t>D</t>
    </r>
    <r>
      <rPr>
        <sz val="10"/>
        <rFont val="Arial"/>
        <family val="2"/>
      </rPr>
      <t>K</t>
    </r>
  </si>
  <si>
    <r>
      <t>%</t>
    </r>
    <r>
      <rPr>
        <sz val="10"/>
        <rFont val="Symbol"/>
        <family val="1"/>
        <charset val="2"/>
      </rPr>
      <t>D</t>
    </r>
    <r>
      <rPr>
        <sz val="10"/>
        <rFont val="Arial"/>
        <family val="2"/>
      </rPr>
      <t>K</t>
    </r>
  </si>
  <si>
    <r>
      <t>%</t>
    </r>
    <r>
      <rPr>
        <sz val="10"/>
        <rFont val="Symbol"/>
        <family val="1"/>
        <charset val="2"/>
      </rPr>
      <t>D</t>
    </r>
    <r>
      <rPr>
        <sz val="10"/>
        <rFont val="Arial"/>
        <family val="2"/>
      </rPr>
      <t>Y</t>
    </r>
  </si>
  <si>
    <t>In steady state (long run equilibrium) when K/Y constant (this is balanced growth).</t>
  </si>
  <si>
    <t>Run Solver to find steady state.</t>
  </si>
  <si>
    <t>Not using any efficiency workers or other clever solution tricks, just brute force simulation.</t>
  </si>
  <si>
    <r>
      <rPr>
        <b/>
        <sz val="9"/>
        <color indexed="17"/>
        <rFont val="Symbol"/>
        <family val="1"/>
        <charset val="2"/>
      </rPr>
      <t>a</t>
    </r>
    <r>
      <rPr>
        <b/>
        <sz val="9"/>
        <color indexed="17"/>
        <rFont val="Geneva"/>
        <family val="2"/>
      </rPr>
      <t>2</t>
    </r>
  </si>
  <si>
    <t>elasticity of subsitution</t>
  </si>
  <si>
    <r>
      <rPr>
        <sz val="10"/>
        <rFont val="Symbol"/>
        <family val="1"/>
        <charset val="2"/>
      </rPr>
      <t>r</t>
    </r>
    <r>
      <rPr>
        <sz val="10"/>
        <rFont val="Arial"/>
        <family val="2"/>
      </rPr>
      <t xml:space="preserve"> --&gt; 0 is Cobb Douglas; </t>
    </r>
    <r>
      <rPr>
        <sz val="10"/>
        <rFont val="Symbol"/>
        <family val="1"/>
        <charset val="2"/>
      </rPr>
      <t>r</t>
    </r>
    <r>
      <rPr>
        <sz val="10"/>
        <rFont val="Arial"/>
        <family val="2"/>
      </rPr>
      <t xml:space="preserve"> = 1 is perfect substitutes (linear isoquants); </t>
    </r>
    <r>
      <rPr>
        <sz val="10"/>
        <rFont val="Symbol"/>
        <family val="1"/>
        <charset val="2"/>
      </rPr>
      <t>r</t>
    </r>
    <r>
      <rPr>
        <sz val="10"/>
        <rFont val="Arial"/>
        <family val="2"/>
      </rPr>
      <t xml:space="preserve"> --&gt; - inf is perfect complements (L isoquants)</t>
    </r>
  </si>
  <si>
    <t>steady state condition</t>
  </si>
  <si>
    <t>Capital includes all real estate, financial, and industrial assets and, if slavery is legal, the value of the slaves.</t>
  </si>
  <si>
    <t>Capital can be measured by directly valuing the asset or by computing the capitalized value of the income stream.</t>
  </si>
  <si>
    <t>Piketty does not like the phrase "human capital" because labor as an asset cannot be traded or passed on (since slavery is everywhere now illegal).</t>
  </si>
  <si>
    <t>1) Labor income is becoming much more unequal, with a few earning superstar amounts and everyone else's earnings stagnant.</t>
  </si>
  <si>
    <t>Piketty says diffusion of knowledge and education for all tends to reduce inequality, but there are two key, different forces of divergence:</t>
  </si>
  <si>
    <t>Piketty says both of these forces are syncing up and driving massive inequality.</t>
  </si>
  <si>
    <t>b</t>
  </si>
  <si>
    <t>y = Y/L</t>
  </si>
  <si>
    <t>Per person</t>
  </si>
  <si>
    <t>Lesson:</t>
  </si>
  <si>
    <t>USA</t>
  </si>
  <si>
    <t>Germany</t>
  </si>
  <si>
    <t>France</t>
  </si>
  <si>
    <t>UK</t>
  </si>
  <si>
    <t>Europe</t>
  </si>
  <si>
    <t>Top 10% wage share</t>
  </si>
  <si>
    <t>Top 1% wage share</t>
  </si>
  <si>
    <t xml:space="preserve">Top 10% income share </t>
  </si>
  <si>
    <t xml:space="preserve">Top 1% income share </t>
  </si>
  <si>
    <t xml:space="preserve">Top 0,1% income share </t>
  </si>
  <si>
    <t>Piketty, Table S8.1, France</t>
  </si>
  <si>
    <t xml:space="preserve">Top 10%-5% income share </t>
  </si>
  <si>
    <t xml:space="preserve">Top 5%-1% income share </t>
  </si>
  <si>
    <t>Top 10% income share (excl. capital gains)</t>
  </si>
  <si>
    <t>Top 1% income share (excl. capital gains)</t>
  </si>
  <si>
    <t>Top 0,1% income share (excl. capital gains)</t>
  </si>
  <si>
    <t>Piketty, Table S8.2, USA</t>
  </si>
  <si>
    <t>Top 10%</t>
  </si>
  <si>
    <t>Top 1%</t>
  </si>
  <si>
    <t>Top 0,1%</t>
  </si>
  <si>
    <t>Piketty, Table S9.2, UK</t>
  </si>
  <si>
    <t>This direct measure of income inequality tracks the K/Y ratio story pretty well.</t>
  </si>
  <si>
    <t>High, then falling, but more recently rising again.</t>
  </si>
  <si>
    <t>Added #N/A to pretty up chart</t>
  </si>
  <si>
    <t>Humberto Barreto</t>
  </si>
  <si>
    <t>hbarreto@depauw,edu</t>
  </si>
  <si>
    <t>Software Requirements:</t>
  </si>
  <si>
    <t xml:space="preserve">The file can be opened with Mac Excel, but it uses Visual Basic code that may not be fully supported on a Mac. </t>
  </si>
  <si>
    <t>Search "enable macros" in Excel's Help for more information on how to do this.</t>
  </si>
  <si>
    <t>www.amazon.com/Capital-Twenty-First-Century-Thomas-Piketty/dp/1491591617</t>
  </si>
  <si>
    <r>
      <t xml:space="preserve">You need </t>
    </r>
    <r>
      <rPr>
        <b/>
        <sz val="11"/>
        <color rgb="FFC00000"/>
        <rFont val="Calibri"/>
        <family val="2"/>
        <scheme val="minor"/>
      </rPr>
      <t>Microsoft Excel, Windows</t>
    </r>
    <r>
      <rPr>
        <sz val="11"/>
        <rFont val="Calibri"/>
        <family val="2"/>
        <scheme val="minor"/>
      </rPr>
      <t xml:space="preserve"> version 2007 or greater to get full functionality from this file.</t>
    </r>
  </si>
  <si>
    <t>by</t>
  </si>
  <si>
    <t>http://www.depauw.edu/learn/econexcel/</t>
  </si>
  <si>
    <t>For Piketty, wealth and capital are the exact same thing (he should have said this in the first sentence instead of p. 47).</t>
  </si>
  <si>
    <t>Capital includes ALL non-human assets that can be exchanged (bought and sold or given away, including inheritance)</t>
  </si>
  <si>
    <t>Capital income ($/yr) = rate of return (%/yr) x capital ($) so if we divide both sides by the rate of return, we get: capital = capital income/rate of return.</t>
  </si>
  <si>
    <r>
      <t xml:space="preserve">Capital (K) is a </t>
    </r>
    <r>
      <rPr>
        <b/>
        <i/>
        <sz val="11"/>
        <rFont val="Calibri"/>
        <family val="2"/>
        <scheme val="minor"/>
      </rPr>
      <t>stock</t>
    </r>
    <r>
      <rPr>
        <sz val="11"/>
        <rFont val="Calibri"/>
        <family val="2"/>
        <scheme val="minor"/>
      </rPr>
      <t xml:space="preserve"> ($ at a point in time) and income (Y) a </t>
    </r>
    <r>
      <rPr>
        <b/>
        <i/>
        <sz val="11"/>
        <rFont val="Calibri"/>
        <family val="2"/>
        <scheme val="minor"/>
      </rPr>
      <t>flow</t>
    </r>
    <r>
      <rPr>
        <sz val="11"/>
        <rFont val="Calibri"/>
        <family val="2"/>
        <scheme val="minor"/>
      </rPr>
      <t xml:space="preserve"> ($ over a period of time, say a year). </t>
    </r>
  </si>
  <si>
    <t>Click</t>
  </si>
  <si>
    <t>We are often interested in individual income inequality, but the functional distribution gives us another view -- if K is large, then income inequality is high.</t>
  </si>
  <si>
    <t>This is a critical connection and we will return to it.</t>
  </si>
  <si>
    <t>Let's start with the definition of capital, which is absolutely essential, and consider also exactly what income means.</t>
  </si>
  <si>
    <t>Unlike capital, income is a flow and it can come from labor (L) as a payment for work.</t>
  </si>
  <si>
    <t>So income is all of the forms of payments received by owners of productive inputs, which we group into two types: labor income and capital (or non-labor) income.</t>
  </si>
  <si>
    <t>Income (Y) is a flow of all payments received by owners of inputs during a period of time (usually a year).</t>
  </si>
  <si>
    <t>They are a lot of different names for labor income, such as wages, salaries, tips, stipends, and so on.</t>
  </si>
  <si>
    <t>But, confusingly, capital can also produce a flow of payments: rents, interest, dividends, and other forms of unearned income.</t>
  </si>
  <si>
    <t>Remember that house that you rented out? It's $200,000 value is part of the capital stock, but that annual return of $10,000 is capital income.</t>
  </si>
  <si>
    <t>Steady-state:</t>
  </si>
  <si>
    <t>Piketty's brute force compilation of numbers gives us a view we did not have before.</t>
  </si>
  <si>
    <r>
      <t xml:space="preserve">He wrote </t>
    </r>
    <r>
      <rPr>
        <i/>
        <sz val="11"/>
        <rFont val="Calibri"/>
        <family val="2"/>
        <scheme val="minor"/>
      </rPr>
      <t>Capital</t>
    </r>
    <r>
      <rPr>
        <sz val="11"/>
        <rFont val="Calibri"/>
        <family val="2"/>
        <scheme val="minor"/>
      </rPr>
      <t xml:space="preserve"> a few years ago and it was translated to English in 2014, from which it became a publishing sensation.</t>
    </r>
  </si>
  <si>
    <t>http://www.cc.com/video-clips/e301vf/the-colbert-report-thomas-piketty</t>
  </si>
  <si>
    <r>
      <t xml:space="preserve">K/Y of 6 or 7 years of national income is high (think </t>
    </r>
    <r>
      <rPr>
        <i/>
        <sz val="11"/>
        <rFont val="Calibri"/>
        <family val="2"/>
        <scheme val="minor"/>
      </rPr>
      <t>Downton Abbey</t>
    </r>
    <r>
      <rPr>
        <sz val="11"/>
        <rFont val="Calibri"/>
        <family val="2"/>
        <scheme val="minor"/>
      </rPr>
      <t>).</t>
    </r>
  </si>
  <si>
    <t>You can control what is displayed in the chart by selecting the country.</t>
  </si>
  <si>
    <t>Change</t>
  </si>
  <si>
    <t>It sounds a little weird to say it that way, as years of income, but K/Y tells you how intensely capitalized an economy is and, as we will see, this offers a window into inequality.</t>
  </si>
  <si>
    <t>Enjoy!</t>
  </si>
  <si>
    <t>You can modify charts or create new ones -- there is nothing special about this workbook, nothing is password protected or otherwise blocked.</t>
  </si>
  <si>
    <t>If you know Visual Basic, go ahead and look at the code. It is freely available for you to inspect and alter as you wish.</t>
  </si>
  <si>
    <t>This says that the entire country's stock of wealth can buy 4 years of national income.</t>
  </si>
  <si>
    <t>Below is a graph of the the UK's beta since 1870 and there is a table to the right with the data.</t>
  </si>
  <si>
    <t>http://piketty.pse.ens.fr/en/capital21c2</t>
  </si>
  <si>
    <t>Source:</t>
  </si>
  <si>
    <r>
      <t xml:space="preserve">Piketty, </t>
    </r>
    <r>
      <rPr>
        <i/>
        <sz val="11"/>
        <rFont val="Calibri"/>
        <family val="2"/>
        <scheme val="minor"/>
      </rPr>
      <t>Capital</t>
    </r>
    <r>
      <rPr>
        <sz val="11"/>
        <rFont val="Calibri"/>
        <family val="2"/>
        <scheme val="minor"/>
      </rPr>
      <t>, Table S4.5, Private Capital as a % of National of Income</t>
    </r>
  </si>
  <si>
    <t>Notice how the UK had a high K/Y of almost 7 years of national income until 1910 and then it dropped rapidly during World War I.</t>
  </si>
  <si>
    <t>It was low, roughly 3 years of national income, from post-WWI to the 1960s.</t>
  </si>
  <si>
    <t>But since the 1960s, K/Y has been rising pretty steadily.</t>
  </si>
  <si>
    <t>So, before we move on, this is the takeaway:</t>
  </si>
  <si>
    <r>
      <t xml:space="preserve">Before we see what the data show, there is an important new variable to consider: </t>
    </r>
    <r>
      <rPr>
        <sz val="11"/>
        <rFont val="Symbol"/>
        <family val="1"/>
        <charset val="2"/>
      </rPr>
      <t>b</t>
    </r>
    <r>
      <rPr>
        <sz val="11"/>
        <rFont val="Calibri"/>
        <family val="2"/>
        <scheme val="minor"/>
      </rPr>
      <t xml:space="preserve"> (beta).</t>
    </r>
  </si>
  <si>
    <r>
      <t xml:space="preserve">While we can track K and Y separately over time, a really clever trick is to divide K by Y. This ratio is </t>
    </r>
    <r>
      <rPr>
        <sz val="11"/>
        <rFont val="Symbol"/>
        <family val="1"/>
        <charset val="2"/>
      </rPr>
      <t>b</t>
    </r>
    <r>
      <rPr>
        <sz val="11"/>
        <rFont val="Calibri"/>
        <family val="2"/>
        <scheme val="minor"/>
      </rPr>
      <t xml:space="preserve">. </t>
    </r>
  </si>
  <si>
    <t>You can also express K/Y in percentage terms, so K/Y = 4 is equal to 400%. We would say that capital is 400% of national income.</t>
  </si>
  <si>
    <t>But he had been working for years on this project, producing papers and working with others to create the data which enabled the inequality argument to move forward.</t>
  </si>
  <si>
    <t>Part I:</t>
  </si>
  <si>
    <r>
      <t xml:space="preserve">K/Y = </t>
    </r>
    <r>
      <rPr>
        <sz val="11"/>
        <rFont val="Symbol"/>
        <family val="1"/>
        <charset val="2"/>
      </rPr>
      <t>b</t>
    </r>
  </si>
  <si>
    <t>In addition to detailed compilations of data on capital stocks and income flows, Piketty also collects data on income and wealth inequality.</t>
  </si>
  <si>
    <t>1) K/Y was pretty high up to 1914, then 2) it dropped like a stone and stayed low during the WWI-Great Depression-WWII, and, finally, 3) K/Y has been rising ever since.</t>
  </si>
  <si>
    <t>Having covered K/Y, we are ready to discuss income inequality.</t>
  </si>
  <si>
    <t>The chart below plots the share of income going to the Top 10% (or top decile) of the income distribution in the UK.</t>
  </si>
  <si>
    <t>It shows that, in 1900, the richest 10% got almost half of national income. This is a pretty unequal.</t>
  </si>
  <si>
    <t>He uses tax returns to get data on the very rich -- a substantial improvement on survey data (such as the Current Population Survey) which cannot capture the highest tail of the distribution.</t>
  </si>
  <si>
    <t>Income equality (at least as measured by what the Top 10% get) improved over the 20th century and by the late 1970s, the Top 10% got just over a quarter of all income.</t>
  </si>
  <si>
    <t>But since then, inequality has steadily risen.</t>
  </si>
  <si>
    <t>Not used in macro for chart, but left here to keep table intact</t>
  </si>
  <si>
    <t>Select combinations of countries and percentiles to display.</t>
  </si>
  <si>
    <t>Data are to the right.</t>
  </si>
  <si>
    <t>For more inequality data (more countries, more years, more variables), visit</t>
  </si>
  <si>
    <t>http://wid.world/</t>
  </si>
  <si>
    <t>Part III:</t>
  </si>
  <si>
    <t>Part II:</t>
  </si>
  <si>
    <t>Transition:</t>
  </si>
  <si>
    <t>Having explored the historical record of K/Y (Part I) and the Top 10% (Part II), we are poised to make a critical connection.</t>
  </si>
  <si>
    <r>
      <rPr>
        <sz val="11"/>
        <rFont val="Symbol"/>
        <family val="1"/>
        <charset val="2"/>
      </rPr>
      <t>b</t>
    </r>
    <r>
      <rPr>
        <sz val="11"/>
        <rFont val="Calibri"/>
        <family val="2"/>
        <scheme val="minor"/>
      </rPr>
      <t>&lt;-&gt;Top 10%</t>
    </r>
  </si>
  <si>
    <t>New Data</t>
  </si>
  <si>
    <t xml:space="preserve">As you proceed, the workbook will unfold, displaying new sheets, and I will ask you to click buttons and change things. </t>
  </si>
  <si>
    <t>You are free to take notes on the sheets or change cells as you desire.</t>
  </si>
  <si>
    <r>
      <t xml:space="preserve">You cannot really hurt anything -- if something does break, just close the workbook and re-open it. You can also </t>
    </r>
    <r>
      <rPr>
        <i/>
        <sz val="11"/>
        <rFont val="Calibri"/>
        <family val="2"/>
        <scheme val="minor"/>
      </rPr>
      <t>Save As</t>
    </r>
    <r>
      <rPr>
        <sz val="11"/>
        <rFont val="Calibri"/>
        <family val="2"/>
        <scheme val="minor"/>
      </rPr>
      <t xml:space="preserve"> if you want to be extra careful and have an original copy available.</t>
    </r>
  </si>
  <si>
    <t>Summary:</t>
  </si>
  <si>
    <t>Defining</t>
  </si>
  <si>
    <t>K and Y</t>
  </si>
  <si>
    <t>Notice how high K/Y at the beginning and end of the 20the century is associated with high income inequality.</t>
  </si>
  <si>
    <t>Piketty never draws a double-Y chart like the one below, but it clearly connects K/Y and income inequality.</t>
  </si>
  <si>
    <t>This is no coincidence.</t>
  </si>
  <si>
    <t>Piketty knows that capital is much more unequally distributed than income so</t>
  </si>
  <si>
    <t>economies with high K/Y ratios are likely to also exhibit high income inequality.</t>
  </si>
  <si>
    <t>matches up to the Top 10% share of income (on the right y axis).</t>
  </si>
  <si>
    <t>In fact, Piketty even has a name for societies with high K/Y:</t>
  </si>
  <si>
    <t>PATRIMONIAL CAPITALISM</t>
  </si>
  <si>
    <t>This is a pretty good name: patrimony means inheritance and a society with high K/Y is one with a high capital stock relative to national income.</t>
  </si>
  <si>
    <t>This capital will be passed on and inherited and Piketty goes on another data-gathering binge to show how wealth is incredibly unequally distributed.</t>
  </si>
  <si>
    <t>We do not have an economic theory that directly explains the distribution of income. There are too many contributing factors.</t>
  </si>
  <si>
    <t>Here's the point: a lot of things affect how income is distributed: politics (tax brackets and deductions), CEO pay, where we are in the business cycle, the stock market's performance, and on and on.</t>
  </si>
  <si>
    <t>Flow</t>
  </si>
  <si>
    <t>After all, B's economy is Investing, that is, adding new plant and equipment, which can be used to make MORE output next year.</t>
  </si>
  <si>
    <t xml:space="preserve">Isn't it obvious that A's economy will remain stagnant (or decline if there is depreciation of capital) while B's will grow?   </t>
  </si>
  <si>
    <t>What do you think will happen over time?</t>
  </si>
  <si>
    <t xml:space="preserve">K (capital), L (labor), Y (output), C (consumption), and I (investment) are tracked each time period. </t>
  </si>
  <si>
    <t>This magic stuff can transform itself into consumption goods (such as an apple or clothing) or become machinery.</t>
  </si>
  <si>
    <t>INITIAL</t>
  </si>
  <si>
    <t>Output is produced by labor and capital according to this function:</t>
  </si>
  <si>
    <t xml:space="preserve">But we do have a model that explains the K/Y ratio. </t>
  </si>
  <si>
    <t>The workers (of which there are many, many more of than the idle rich) have only their labor income.</t>
  </si>
  <si>
    <t>The gap between rich and poor, upstairs and downstairs is a chasm.</t>
  </si>
  <si>
    <r>
      <t xml:space="preserve">Think </t>
    </r>
    <r>
      <rPr>
        <i/>
        <sz val="11"/>
        <rFont val="Calibri"/>
        <family val="2"/>
        <scheme val="minor"/>
      </rPr>
      <t>Downton Abbey</t>
    </r>
    <r>
      <rPr>
        <sz val="11"/>
        <rFont val="Calibri"/>
        <family val="2"/>
        <scheme val="minor"/>
      </rPr>
      <t xml:space="preserve"> when you see values of K/Y of 7 or 8 years of national income.</t>
    </r>
  </si>
  <si>
    <t>Capital (K) is wealth, a stock of all tradeable asset values at a point in time.</t>
  </si>
  <si>
    <r>
      <t xml:space="preserve">So, with respect to </t>
    </r>
    <r>
      <rPr>
        <sz val="11"/>
        <rFont val="Symbol"/>
        <family val="1"/>
        <charset val="2"/>
      </rPr>
      <t>b</t>
    </r>
    <r>
      <rPr>
        <sz val="11"/>
        <rFont val="Calibri"/>
        <family val="2"/>
        <scheme val="minor"/>
      </rPr>
      <t>, the historical record for the UK shows that there are three parts:</t>
    </r>
  </si>
  <si>
    <r>
      <t xml:space="preserve">Piketty is not a fan of the Gini coefficient (see p. 266 of </t>
    </r>
    <r>
      <rPr>
        <i/>
        <sz val="11"/>
        <rFont val="Calibri"/>
        <family val="2"/>
        <scheme val="minor"/>
      </rPr>
      <t>Capital</t>
    </r>
    <r>
      <rPr>
        <sz val="11"/>
        <rFont val="Calibri"/>
        <family val="2"/>
        <scheme val="minor"/>
      </rPr>
      <t>), preferring instead a simpler percentile measure: the share going to the top-most percentage in the distribution.</t>
    </r>
  </si>
  <si>
    <t>If we adjust the y axis of the chart when plotting the UK's Top 10% share, we can make the visual message louder -- and connect it to beta!</t>
  </si>
  <si>
    <t>The chart below plots the same data as the one above (when set to UK Top 10%), but  the min and max of the y axis have been set to 0.25 and 0.5, respectively.</t>
  </si>
  <si>
    <t>Now we see three parts:</t>
  </si>
  <si>
    <t>1) High inequality in the early years of the 20th century.</t>
  </si>
  <si>
    <t>2) Falling and low inequality in the middle of the century.</t>
  </si>
  <si>
    <t>3) Rising inequality at the end.</t>
  </si>
  <si>
    <t>Key Point --&gt;</t>
  </si>
  <si>
    <t>And we know that when K/Y is high, we are likely to see high income inequality.</t>
  </si>
  <si>
    <t>Select the countries above to see how well the K/Y ratio (on the left y axis)</t>
  </si>
  <si>
    <t>This sheet explains Piketty's data contribution.</t>
  </si>
  <si>
    <r>
      <rPr>
        <sz val="11"/>
        <rFont val="Symbol"/>
        <family val="1"/>
        <charset val="2"/>
      </rPr>
      <t>b</t>
    </r>
    <r>
      <rPr>
        <sz val="11"/>
        <rFont val="Calibri"/>
        <family val="2"/>
        <scheme val="minor"/>
      </rPr>
      <t xml:space="preserve"> of 7 or 8 are extremely high, while 2 or 3 are quite low.</t>
    </r>
  </si>
  <si>
    <t>He and his colleagues amassed very long series of K and Y for several countries.</t>
  </si>
  <si>
    <t>They also created data sets on income that include the ultra-rich, using tax records and other sources.</t>
  </si>
  <si>
    <t>There are three parts to the story here:</t>
  </si>
  <si>
    <r>
      <t xml:space="preserve">The K/Y ratio, more simply known as </t>
    </r>
    <r>
      <rPr>
        <sz val="11"/>
        <rFont val="Symbol"/>
        <family val="1"/>
        <charset val="2"/>
      </rPr>
      <t>b</t>
    </r>
    <r>
      <rPr>
        <sz val="11"/>
        <rFont val="Calibri"/>
        <family val="2"/>
        <scheme val="minor"/>
      </rPr>
      <t>, is a key variable. It expresses the intensity of the presence of capital in terms of the number of years of national income.</t>
    </r>
  </si>
  <si>
    <t>The data for the UK and other European countries show a U-shape: K/Y was high, then fell, but has been rising again.</t>
  </si>
  <si>
    <t>Instead of using synthetic measures like the Gini Coefficient, Piketty likes the simple Top 10% income share.</t>
  </si>
  <si>
    <t>Using his high-quality data, he finds the same U-shape: worse at the beginning of the 20th century, then better, and now worse again.</t>
  </si>
  <si>
    <t>This is the crucial logic of Piketty's argument:</t>
  </si>
  <si>
    <r>
      <t xml:space="preserve">While we don't know the drivers of income inequality, we do know how </t>
    </r>
    <r>
      <rPr>
        <sz val="11"/>
        <rFont val="Symbol"/>
        <family val="1"/>
        <charset val="2"/>
      </rPr>
      <t>b</t>
    </r>
    <r>
      <rPr>
        <sz val="11"/>
        <rFont val="Calibri"/>
        <family val="2"/>
        <scheme val="minor"/>
      </rPr>
      <t xml:space="preserve"> is generated.</t>
    </r>
  </si>
  <si>
    <r>
      <t xml:space="preserve">Since there is a connection between K/Y and Top 10% income inequality, by knowing where </t>
    </r>
    <r>
      <rPr>
        <sz val="11"/>
        <rFont val="Symbol"/>
        <family val="1"/>
        <charset val="2"/>
      </rPr>
      <t>b</t>
    </r>
    <r>
      <rPr>
        <sz val="11"/>
        <rFont val="Calibri"/>
        <family val="2"/>
        <scheme val="minor"/>
      </rPr>
      <t xml:space="preserve"> is headed, we know where inequality is going.</t>
    </r>
  </si>
  <si>
    <r>
      <t xml:space="preserve">Piketty is worried about the future because he thinks we could return to a </t>
    </r>
    <r>
      <rPr>
        <i/>
        <sz val="11"/>
        <rFont val="Calibri"/>
        <family val="2"/>
        <scheme val="minor"/>
      </rPr>
      <t>Downton Abbey</t>
    </r>
    <r>
      <rPr>
        <sz val="11"/>
        <rFont val="Calibri"/>
        <family val="2"/>
        <scheme val="minor"/>
      </rPr>
      <t xml:space="preserve">-like society, with </t>
    </r>
    <r>
      <rPr>
        <sz val="11"/>
        <rFont val="Symbol"/>
        <family val="1"/>
        <charset val="2"/>
      </rPr>
      <t>b</t>
    </r>
    <r>
      <rPr>
        <sz val="11"/>
        <rFont val="Calibri"/>
        <family val="2"/>
        <scheme val="minor"/>
      </rPr>
      <t xml:space="preserve"> values of 7 or 8 years of national income.</t>
    </r>
  </si>
  <si>
    <t>So that's a perfectly respectable K/Y and everything is fine, right?</t>
  </si>
  <si>
    <t>Not so fast. What if we knew K/Y was going to rise?</t>
  </si>
  <si>
    <t>This, of course, begs questions like these:</t>
  </si>
  <si>
    <t>Where does K/Y come from? How is it determined? What influences it and where is headed?</t>
  </si>
  <si>
    <t>This is super-interesting. Let's find out.</t>
  </si>
  <si>
    <t>Total income = labor income + capital income</t>
  </si>
  <si>
    <r>
      <t xml:space="preserve">In 2010, the USA had a </t>
    </r>
    <r>
      <rPr>
        <sz val="11"/>
        <rFont val="Symbol"/>
        <family val="1"/>
        <charset val="2"/>
      </rPr>
      <t>b</t>
    </r>
    <r>
      <rPr>
        <sz val="11"/>
        <rFont val="Calibri"/>
        <family val="2"/>
        <scheme val="minor"/>
      </rPr>
      <t xml:space="preserve"> of 4.3 years of national income (see cell M38).</t>
    </r>
  </si>
  <si>
    <r>
      <t xml:space="preserve">Investment is special because it is </t>
    </r>
    <r>
      <rPr>
        <i/>
        <sz val="11"/>
        <rFont val="Calibri"/>
        <family val="2"/>
        <scheme val="minor"/>
      </rPr>
      <t>tools, plant, and equipment that are used to make other goods.</t>
    </r>
  </si>
  <si>
    <r>
      <t xml:space="preserve">Investment is a </t>
    </r>
    <r>
      <rPr>
        <i/>
        <sz val="11"/>
        <rFont val="Calibri"/>
        <family val="2"/>
        <scheme val="minor"/>
      </rPr>
      <t>flow</t>
    </r>
    <r>
      <rPr>
        <sz val="11"/>
        <rFont val="Calibri"/>
        <family val="2"/>
        <scheme val="minor"/>
      </rPr>
      <t xml:space="preserve"> (these goods are produced over a period of time) that is added to the existing K </t>
    </r>
    <r>
      <rPr>
        <i/>
        <sz val="11"/>
        <rFont val="Calibri"/>
        <family val="2"/>
        <scheme val="minor"/>
      </rPr>
      <t>stock</t>
    </r>
    <r>
      <rPr>
        <sz val="11"/>
        <rFont val="Calibri"/>
        <family val="2"/>
        <scheme val="minor"/>
      </rPr>
      <t xml:space="preserve"> at the end of the year.</t>
    </r>
  </si>
  <si>
    <t>Look at it and mentally walk through it. The repetitive behavior, the loop back to the start point, is the key.</t>
  </si>
  <si>
    <t>This model was first published in 1956 by Robert Solow and it won him a Nobel Prize in Economics.</t>
  </si>
  <si>
    <t>Solow assumed a single composite good that can be consumed or used to make other goods (capital).</t>
  </si>
  <si>
    <t>Solow measured everything in units of the composite good. We will assume that the composite good sells for $1/unit.</t>
  </si>
  <si>
    <t>We can then interpret output, consumption, investment, and capital in value (or monetary) terms.</t>
  </si>
  <si>
    <t>https://www.nobelprize.org/nobel_prizes/economic-sciences/laureates/1987/solow-bio.html</t>
  </si>
  <si>
    <t>This is the model Piketty and macroeconomists use to understand economic growth.</t>
  </si>
  <si>
    <t>History</t>
  </si>
  <si>
    <t>Diagram</t>
  </si>
  <si>
    <t>The picture above may be worth a thousand words -- it expresses the cycle-logic of the Solow Model.</t>
  </si>
  <si>
    <t>The Solow Model determines a steady-state (equilibrium) K/Y ratio.</t>
  </si>
  <si>
    <t>Solow solved the model with math, but there is a steep learning curve along that route.</t>
  </si>
  <si>
    <t>There are time subscripts on the variables and it becomes complicated pretty quickly.</t>
  </si>
  <si>
    <t>Welcome (for the last time!) to the Algebra of the Solow Model</t>
  </si>
  <si>
    <t>As was the case when population growth was added to the model, incorporating technological progress is neither easy nor particularly fun, but it does help you understand the model</t>
  </si>
  <si>
    <r>
      <t xml:space="preserve">and how it is implemented in the </t>
    </r>
    <r>
      <rPr>
        <i/>
        <sz val="12"/>
        <rFont val="Times"/>
        <family val="1"/>
      </rPr>
      <t>EqPath</t>
    </r>
    <r>
      <rPr>
        <sz val="12"/>
        <rFont val="Times"/>
        <family val="1"/>
      </rPr>
      <t xml:space="preserve"> sheet.</t>
    </r>
  </si>
  <si>
    <t>Each step will be carefully described in this sheet.</t>
  </si>
  <si>
    <r>
      <t xml:space="preserve">We get a different result than that obtained from incorporating </t>
    </r>
    <r>
      <rPr>
        <i/>
        <sz val="12"/>
        <rFont val="Times"/>
        <family val="1"/>
      </rPr>
      <t>n</t>
    </r>
    <r>
      <rPr>
        <sz val="12"/>
        <rFont val="Times"/>
        <family val="1"/>
      </rPr>
      <t xml:space="preserve"> -- when we add </t>
    </r>
    <r>
      <rPr>
        <i/>
        <sz val="12"/>
        <rFont val="Times"/>
      </rPr>
      <t>g</t>
    </r>
    <r>
      <rPr>
        <sz val="12"/>
        <rFont val="Times"/>
        <family val="1"/>
      </rPr>
      <t xml:space="preserve">, we simply cannot get the standard </t>
    </r>
    <r>
      <rPr>
        <i/>
        <sz val="12"/>
        <rFont val="Symbol"/>
        <family val="1"/>
        <charset val="2"/>
      </rPr>
      <t>D</t>
    </r>
    <r>
      <rPr>
        <i/>
        <sz val="12"/>
        <rFont val="Times"/>
        <family val="1"/>
      </rPr>
      <t>k</t>
    </r>
    <r>
      <rPr>
        <sz val="12"/>
        <rFont val="Times"/>
        <family val="1"/>
      </rPr>
      <t xml:space="preserve"> equation, it is an approximation.</t>
    </r>
  </si>
  <si>
    <t>If you are one of those people who need to know exactly what is going on, then read on.</t>
  </si>
  <si>
    <t>The Basic Idea</t>
  </si>
  <si>
    <r>
      <t xml:space="preserve">Over time, the number of workers grows at a constant rate, </t>
    </r>
    <r>
      <rPr>
        <i/>
        <sz val="12"/>
        <rFont val="Times"/>
        <family val="1"/>
      </rPr>
      <t>n</t>
    </r>
    <r>
      <rPr>
        <sz val="12"/>
        <rFont val="Times"/>
        <family val="1"/>
      </rPr>
      <t xml:space="preserve">, and technology improves at a constant rate, </t>
    </r>
    <r>
      <rPr>
        <i/>
        <sz val="12"/>
        <rFont val="Times"/>
        <family val="1"/>
      </rPr>
      <t>g</t>
    </r>
    <r>
      <rPr>
        <sz val="12"/>
        <rFont val="Times"/>
        <family val="1"/>
      </rPr>
      <t>.</t>
    </r>
  </si>
  <si>
    <r>
      <t xml:space="preserve">Therefore, this year’s </t>
    </r>
    <r>
      <rPr>
        <i/>
        <sz val="12"/>
        <rFont val="Times"/>
        <family val="1"/>
      </rPr>
      <t>k</t>
    </r>
    <r>
      <rPr>
        <sz val="12"/>
        <rFont val="Times"/>
        <family val="1"/>
      </rPr>
      <t>, the stock of capital per worker, will change due to FOUR effects:</t>
    </r>
  </si>
  <si>
    <r>
      <t xml:space="preserve">1) investment – </t>
    </r>
    <r>
      <rPr>
        <i/>
        <sz val="12"/>
        <rFont val="Times"/>
        <family val="1"/>
      </rPr>
      <t>k</t>
    </r>
    <r>
      <rPr>
        <sz val="12"/>
        <rFont val="Times"/>
        <family val="1"/>
      </rPr>
      <t xml:space="preserve"> will grow as more machines are added (from the share of output, </t>
    </r>
    <r>
      <rPr>
        <i/>
        <sz val="12"/>
        <rFont val="Times"/>
        <family val="1"/>
      </rPr>
      <t>s</t>
    </r>
    <r>
      <rPr>
        <sz val="12"/>
        <rFont val="Times"/>
        <family val="1"/>
      </rPr>
      <t>, devoted to making capital goods)</t>
    </r>
  </si>
  <si>
    <r>
      <t xml:space="preserve">2) depreciation – </t>
    </r>
    <r>
      <rPr>
        <i/>
        <sz val="12"/>
        <rFont val="Times"/>
        <family val="1"/>
      </rPr>
      <t>k</t>
    </r>
    <r>
      <rPr>
        <sz val="12"/>
        <rFont val="Times"/>
        <family val="1"/>
      </rPr>
      <t xml:space="preserve"> will fall as machines wear out and are thrown away (based on </t>
    </r>
    <r>
      <rPr>
        <i/>
        <sz val="12"/>
        <rFont val="Symbol"/>
        <family val="1"/>
        <charset val="2"/>
      </rPr>
      <t>d</t>
    </r>
    <r>
      <rPr>
        <sz val="12"/>
        <rFont val="Times"/>
        <family val="1"/>
      </rPr>
      <t>, the rate of depreciation)</t>
    </r>
  </si>
  <si>
    <r>
      <t xml:space="preserve">3) population growth – </t>
    </r>
    <r>
      <rPr>
        <i/>
        <sz val="12"/>
        <rFont val="Times"/>
        <family val="1"/>
      </rPr>
      <t>k</t>
    </r>
    <r>
      <rPr>
        <sz val="12"/>
        <rFont val="Times"/>
        <family val="1"/>
      </rPr>
      <t xml:space="preserve"> will fall as there are more workers upon which to spread machines around; </t>
    </r>
    <r>
      <rPr>
        <i/>
        <sz val="12"/>
        <rFont val="Times"/>
        <family val="1"/>
      </rPr>
      <t>L</t>
    </r>
    <r>
      <rPr>
        <sz val="12"/>
        <rFont val="Times"/>
        <family val="1"/>
      </rPr>
      <t xml:space="preserve"> grows at constant rate </t>
    </r>
    <r>
      <rPr>
        <i/>
        <sz val="12"/>
        <rFont val="Times"/>
        <family val="1"/>
      </rPr>
      <t>n</t>
    </r>
  </si>
  <si>
    <t>4) technological progress – k will fall as improved technology makes it seem that there are (but there aren't, it's imaginary) more workers upon which to spread machines around</t>
  </si>
  <si>
    <t>This is what we are adding to this model and we are doing it as imaginary workers because we know how to solve models with increasing population.</t>
  </si>
  <si>
    <r>
      <t xml:space="preserve">The number of imaginary workers grows at rate </t>
    </r>
    <r>
      <rPr>
        <i/>
        <sz val="12"/>
        <rFont val="Times"/>
        <family val="1"/>
      </rPr>
      <t>g</t>
    </r>
    <r>
      <rPr>
        <sz val="12"/>
        <rFont val="Times"/>
        <family val="1"/>
      </rPr>
      <t>.</t>
    </r>
  </si>
  <si>
    <r>
      <t xml:space="preserve">The standard </t>
    </r>
    <r>
      <rPr>
        <i/>
        <sz val="12"/>
        <rFont val="Symbol"/>
        <family val="1"/>
        <charset val="2"/>
      </rPr>
      <t>D</t>
    </r>
    <r>
      <rPr>
        <i/>
        <sz val="12"/>
        <rFont val="Times"/>
        <family val="1"/>
      </rPr>
      <t>k</t>
    </r>
    <r>
      <rPr>
        <sz val="12"/>
        <rFont val="Times"/>
        <family val="1"/>
      </rPr>
      <t xml:space="preserve"> equation captures the four influences on changes in capital per worker in one single equation that, when set equal to zero, becomes the steady-state (equilibrium) condition for the model:</t>
    </r>
  </si>
  <si>
    <t>Equation Editor used throughout; double click an equation to edit it.</t>
  </si>
  <si>
    <t>How does the math work? How is this equation derived?</t>
  </si>
  <si>
    <r>
      <t xml:space="preserve">The algebra below presumes you are familiar with the algebra from the </t>
    </r>
    <r>
      <rPr>
        <i/>
        <sz val="12"/>
        <rFont val="Times"/>
        <family val="1"/>
      </rPr>
      <t xml:space="preserve">Population.xls </t>
    </r>
    <r>
      <rPr>
        <sz val="12"/>
        <rFont val="Times"/>
        <family val="1"/>
      </rPr>
      <t>workbook.</t>
    </r>
  </si>
  <si>
    <t>The Solow Model with Constant Technological Progress</t>
  </si>
  <si>
    <r>
      <t xml:space="preserve">What happens to the model when </t>
    </r>
    <r>
      <rPr>
        <i/>
        <sz val="12"/>
        <rFont val="Times"/>
        <family val="1"/>
      </rPr>
      <t>L</t>
    </r>
    <r>
      <rPr>
        <sz val="12"/>
        <rFont val="Times"/>
        <family val="1"/>
      </rPr>
      <t xml:space="preserve"> is growing at a constant rate, </t>
    </r>
    <r>
      <rPr>
        <i/>
        <sz val="12"/>
        <rFont val="Times"/>
        <family val="1"/>
      </rPr>
      <t>n</t>
    </r>
    <r>
      <rPr>
        <sz val="12"/>
        <rFont val="Times"/>
        <family val="1"/>
      </rPr>
      <t>, and we add labor-augmenting technological progress?</t>
    </r>
  </si>
  <si>
    <t>We return to the starting point:</t>
  </si>
  <si>
    <r>
      <t xml:space="preserve">We divide both sides of the equation by the number of effective workers in time period </t>
    </r>
    <r>
      <rPr>
        <i/>
        <sz val="12"/>
        <rFont val="Times"/>
        <family val="1"/>
      </rPr>
      <t>t+1</t>
    </r>
    <r>
      <rPr>
        <sz val="12"/>
        <rFont val="Times"/>
        <family val="1"/>
      </rPr>
      <t>:</t>
    </r>
  </si>
  <si>
    <r>
      <t xml:space="preserve">We assume constant population growth (which equals constant labor force growth since all people are workers), thus, we have, </t>
    </r>
    <r>
      <rPr>
        <i/>
        <sz val="12"/>
        <rFont val="Times"/>
        <family val="1"/>
      </rPr>
      <t>L</t>
    </r>
    <r>
      <rPr>
        <i/>
        <vertAlign val="subscript"/>
        <sz val="12"/>
        <rFont val="Times"/>
        <family val="1"/>
      </rPr>
      <t>t+1</t>
    </r>
    <r>
      <rPr>
        <vertAlign val="subscript"/>
        <sz val="12"/>
        <rFont val="Times"/>
        <family val="1"/>
      </rPr>
      <t xml:space="preserve"> </t>
    </r>
    <r>
      <rPr>
        <sz val="12"/>
        <rFont val="Times"/>
        <family val="1"/>
      </rPr>
      <t xml:space="preserve">= </t>
    </r>
    <r>
      <rPr>
        <i/>
        <sz val="12"/>
        <rFont val="Times"/>
        <family val="1"/>
      </rPr>
      <t>(1+n)L</t>
    </r>
    <r>
      <rPr>
        <i/>
        <vertAlign val="subscript"/>
        <sz val="12"/>
        <rFont val="Times"/>
        <family val="1"/>
      </rPr>
      <t>t</t>
    </r>
    <r>
      <rPr>
        <sz val="12"/>
        <rFont val="Times"/>
        <family val="1"/>
      </rPr>
      <t xml:space="preserve">.  </t>
    </r>
  </si>
  <si>
    <r>
      <t xml:space="preserve">We assume constant technological progress, thus, we have, </t>
    </r>
    <r>
      <rPr>
        <i/>
        <sz val="12"/>
        <rFont val="Times"/>
        <family val="1"/>
      </rPr>
      <t>A</t>
    </r>
    <r>
      <rPr>
        <i/>
        <vertAlign val="subscript"/>
        <sz val="12"/>
        <rFont val="Times"/>
        <family val="1"/>
      </rPr>
      <t>t+1</t>
    </r>
    <r>
      <rPr>
        <vertAlign val="subscript"/>
        <sz val="12"/>
        <rFont val="Times"/>
        <family val="1"/>
      </rPr>
      <t xml:space="preserve"> </t>
    </r>
    <r>
      <rPr>
        <sz val="12"/>
        <rFont val="Times"/>
        <family val="1"/>
      </rPr>
      <t xml:space="preserve">= </t>
    </r>
    <r>
      <rPr>
        <i/>
        <sz val="12"/>
        <rFont val="Times"/>
        <family val="1"/>
      </rPr>
      <t>(1+g)A</t>
    </r>
    <r>
      <rPr>
        <i/>
        <vertAlign val="subscript"/>
        <sz val="12"/>
        <rFont val="Times"/>
        <family val="1"/>
      </rPr>
      <t>t</t>
    </r>
    <r>
      <rPr>
        <sz val="12"/>
        <rFont val="Times"/>
        <family val="1"/>
      </rPr>
      <t xml:space="preserve">.  </t>
    </r>
  </si>
  <si>
    <r>
      <t xml:space="preserve">So, we can simply replace the </t>
    </r>
    <r>
      <rPr>
        <i/>
        <sz val="12"/>
        <rFont val="Times"/>
        <family val="1"/>
      </rPr>
      <t>L</t>
    </r>
    <r>
      <rPr>
        <i/>
        <vertAlign val="subscript"/>
        <sz val="12"/>
        <rFont val="Times"/>
        <family val="1"/>
      </rPr>
      <t>t+1</t>
    </r>
    <r>
      <rPr>
        <sz val="12"/>
        <rFont val="Times"/>
        <family val="1"/>
      </rPr>
      <t xml:space="preserve"> values on the right-hand-side with </t>
    </r>
    <r>
      <rPr>
        <i/>
        <sz val="12"/>
        <rFont val="Times"/>
        <family val="1"/>
      </rPr>
      <t>(1+n)L</t>
    </r>
    <r>
      <rPr>
        <i/>
        <vertAlign val="subscript"/>
        <sz val="12"/>
        <rFont val="Times"/>
        <family val="1"/>
      </rPr>
      <t>t</t>
    </r>
    <r>
      <rPr>
        <sz val="12"/>
        <rFont val="Times"/>
        <family val="1"/>
      </rPr>
      <t xml:space="preserve"> and the </t>
    </r>
    <r>
      <rPr>
        <i/>
        <sz val="12"/>
        <rFont val="Times"/>
        <family val="1"/>
      </rPr>
      <t>A</t>
    </r>
    <r>
      <rPr>
        <i/>
        <vertAlign val="subscript"/>
        <sz val="12"/>
        <rFont val="Times"/>
        <family val="1"/>
      </rPr>
      <t>t+1</t>
    </r>
    <r>
      <rPr>
        <sz val="12"/>
        <rFont val="Times"/>
        <family val="1"/>
      </rPr>
      <t xml:space="preserve"> values with (1+</t>
    </r>
    <r>
      <rPr>
        <i/>
        <sz val="12"/>
        <rFont val="Times"/>
        <family val="1"/>
      </rPr>
      <t>g</t>
    </r>
    <r>
      <rPr>
        <sz val="12"/>
        <rFont val="Times"/>
        <family val="1"/>
      </rPr>
      <t>)</t>
    </r>
    <r>
      <rPr>
        <i/>
        <sz val="12"/>
        <rFont val="Times"/>
        <family val="1"/>
      </rPr>
      <t>A</t>
    </r>
    <r>
      <rPr>
        <i/>
        <vertAlign val="subscript"/>
        <sz val="12"/>
        <rFont val="Times"/>
        <family val="1"/>
      </rPr>
      <t>t</t>
    </r>
    <r>
      <rPr>
        <sz val="12"/>
        <rFont val="Times"/>
        <family val="1"/>
      </rPr>
      <t>:</t>
    </r>
  </si>
  <si>
    <r>
      <t xml:space="preserve">With the subscripts equal to each other, we can apply the </t>
    </r>
    <r>
      <rPr>
        <i/>
        <sz val="12"/>
        <rFont val="Times"/>
        <family val="1"/>
      </rPr>
      <t>K/AL</t>
    </r>
    <r>
      <rPr>
        <sz val="12"/>
        <rFont val="Times"/>
        <family val="1"/>
      </rPr>
      <t xml:space="preserve"> = </t>
    </r>
    <r>
      <rPr>
        <i/>
        <sz val="12"/>
        <rFont val="Times"/>
        <family val="1"/>
      </rPr>
      <t>k</t>
    </r>
    <r>
      <rPr>
        <sz val="12"/>
        <rFont val="Times"/>
        <family val="1"/>
      </rPr>
      <t xml:space="preserve"> and </t>
    </r>
    <r>
      <rPr>
        <i/>
        <sz val="12"/>
        <rFont val="Times"/>
        <family val="1"/>
      </rPr>
      <t>Y/AL</t>
    </r>
    <r>
      <rPr>
        <sz val="12"/>
        <rFont val="Times"/>
        <family val="1"/>
      </rPr>
      <t xml:space="preserve"> = </t>
    </r>
    <r>
      <rPr>
        <i/>
        <sz val="12"/>
        <rFont val="Times"/>
        <family val="1"/>
      </rPr>
      <t>y</t>
    </r>
    <r>
      <rPr>
        <sz val="12"/>
        <rFont val="Times"/>
        <family val="1"/>
      </rPr>
      <t xml:space="preserve"> substitution:</t>
    </r>
  </si>
  <si>
    <r>
      <rPr>
        <i/>
        <sz val="12"/>
        <color indexed="10"/>
        <rFont val="Times"/>
        <family val="1"/>
      </rPr>
      <t>k</t>
    </r>
    <r>
      <rPr>
        <sz val="12"/>
        <color indexed="10"/>
        <rFont val="Times"/>
        <family val="1"/>
      </rPr>
      <t xml:space="preserve"> and </t>
    </r>
    <r>
      <rPr>
        <i/>
        <sz val="12"/>
        <color indexed="10"/>
        <rFont val="Times"/>
        <family val="1"/>
      </rPr>
      <t>y</t>
    </r>
    <r>
      <rPr>
        <sz val="12"/>
        <color indexed="10"/>
        <rFont val="Times"/>
        <family val="1"/>
      </rPr>
      <t xml:space="preserve"> are now in units of effective workers. This is a critical point that must be remembered.</t>
    </r>
  </si>
  <si>
    <r>
      <t>We have to get rid of the 1/(1+</t>
    </r>
    <r>
      <rPr>
        <i/>
        <sz val="12"/>
        <rFont val="Times"/>
        <family val="1"/>
      </rPr>
      <t>n</t>
    </r>
    <r>
      <rPr>
        <sz val="12"/>
        <rFont val="Times"/>
        <family val="1"/>
      </rPr>
      <t>)(1+</t>
    </r>
    <r>
      <rPr>
        <i/>
        <sz val="12"/>
        <rFont val="Times"/>
        <family val="1"/>
      </rPr>
      <t>g</t>
    </r>
    <r>
      <rPr>
        <sz val="12"/>
        <rFont val="Times"/>
        <family val="1"/>
      </rPr>
      <t xml:space="preserve">) term in front of the </t>
    </r>
    <r>
      <rPr>
        <i/>
        <sz val="12"/>
        <rFont val="Times"/>
        <family val="1"/>
      </rPr>
      <t>k</t>
    </r>
    <r>
      <rPr>
        <i/>
        <vertAlign val="subscript"/>
        <sz val="12"/>
        <rFont val="Times"/>
        <family val="1"/>
      </rPr>
      <t>t</t>
    </r>
    <r>
      <rPr>
        <sz val="12"/>
        <rFont val="Times"/>
        <family val="1"/>
      </rPr>
      <t xml:space="preserve"> term to get </t>
    </r>
    <r>
      <rPr>
        <i/>
        <sz val="12"/>
        <rFont val="Symbol"/>
        <family val="1"/>
        <charset val="2"/>
      </rPr>
      <t>D</t>
    </r>
    <r>
      <rPr>
        <i/>
        <sz val="12"/>
        <rFont val="Times"/>
        <family val="1"/>
      </rPr>
      <t>k</t>
    </r>
    <r>
      <rPr>
        <sz val="12"/>
        <rFont val="Times"/>
        <family val="1"/>
      </rPr>
      <t>, but how?</t>
    </r>
  </si>
  <si>
    <r>
      <t xml:space="preserve">We begin by reorganizing the terms on the right-hand side in anticipation of collecting the </t>
    </r>
    <r>
      <rPr>
        <i/>
        <sz val="12"/>
        <rFont val="Times"/>
        <family val="1"/>
      </rPr>
      <t>k</t>
    </r>
    <r>
      <rPr>
        <i/>
        <vertAlign val="subscript"/>
        <sz val="12"/>
        <rFont val="Times"/>
        <family val="1"/>
      </rPr>
      <t>t</t>
    </r>
    <r>
      <rPr>
        <sz val="12"/>
        <rFont val="Times"/>
        <family val="1"/>
      </rPr>
      <t xml:space="preserve"> terms on the right-hand-side:</t>
    </r>
  </si>
  <si>
    <r>
      <t xml:space="preserve">Now we can combine the two </t>
    </r>
    <r>
      <rPr>
        <i/>
        <sz val="12"/>
        <rFont val="Times"/>
        <family val="1"/>
      </rPr>
      <t>k</t>
    </r>
    <r>
      <rPr>
        <i/>
        <vertAlign val="subscript"/>
        <sz val="12"/>
        <rFont val="Times"/>
        <family val="1"/>
      </rPr>
      <t>t</t>
    </r>
    <r>
      <rPr>
        <sz val="12"/>
        <rFont val="Times"/>
        <family val="1"/>
      </rPr>
      <t xml:space="preserve"> terms into one:</t>
    </r>
  </si>
  <si>
    <t>We can simplify the expression in the brackets by putting them over their common denominator:</t>
  </si>
  <si>
    <r>
      <t xml:space="preserve">We apply the same nifty algebra trick we used before, adding and subtracting terms that add up to zero from the equation and doing it in a way that gives us the solitary </t>
    </r>
    <r>
      <rPr>
        <i/>
        <sz val="12"/>
        <rFont val="Times"/>
        <family val="1"/>
      </rPr>
      <t>k</t>
    </r>
    <r>
      <rPr>
        <i/>
        <vertAlign val="subscript"/>
        <sz val="12"/>
        <rFont val="Times"/>
        <family val="1"/>
      </rPr>
      <t>t</t>
    </r>
    <r>
      <rPr>
        <sz val="12"/>
        <rFont val="Times"/>
        <family val="1"/>
      </rPr>
      <t xml:space="preserve"> term that we seek.</t>
    </r>
  </si>
  <si>
    <r>
      <t>The trick is that 1 - (1+</t>
    </r>
    <r>
      <rPr>
        <i/>
        <sz val="12"/>
        <rFont val="Times"/>
        <family val="1"/>
      </rPr>
      <t>n</t>
    </r>
    <r>
      <rPr>
        <sz val="12"/>
        <rFont val="Times"/>
        <family val="1"/>
      </rPr>
      <t>)(1+g)/(1+</t>
    </r>
    <r>
      <rPr>
        <i/>
        <sz val="12"/>
        <rFont val="Times"/>
        <family val="1"/>
      </rPr>
      <t>n</t>
    </r>
    <r>
      <rPr>
        <sz val="12"/>
        <rFont val="Times"/>
        <family val="1"/>
      </rPr>
      <t>)(1+g) equals zero (since we are adding and subtracting 1), so we have not changed the equation.</t>
    </r>
  </si>
  <si>
    <r>
      <t xml:space="preserve">Then we multiply through by </t>
    </r>
    <r>
      <rPr>
        <i/>
        <sz val="12"/>
        <rFont val="Times"/>
        <family val="1"/>
      </rPr>
      <t>k</t>
    </r>
    <r>
      <rPr>
        <i/>
        <vertAlign val="subscript"/>
        <sz val="12"/>
        <rFont val="Times"/>
        <family val="1"/>
      </rPr>
      <t>t</t>
    </r>
    <r>
      <rPr>
        <sz val="12"/>
        <rFont val="Times"/>
        <family val="1"/>
      </rPr>
      <t xml:space="preserve"> to get the isolated </t>
    </r>
    <r>
      <rPr>
        <i/>
        <sz val="12"/>
        <rFont val="Times"/>
        <family val="1"/>
      </rPr>
      <t>k</t>
    </r>
    <r>
      <rPr>
        <i/>
        <vertAlign val="subscript"/>
        <sz val="12"/>
        <rFont val="Times"/>
        <family val="1"/>
      </rPr>
      <t>t</t>
    </r>
    <r>
      <rPr>
        <sz val="12"/>
        <rFont val="Times"/>
        <family val="1"/>
      </rPr>
      <t xml:space="preserve"> that was the reason we went through these steps:</t>
    </r>
  </si>
  <si>
    <t>That is pretty clever, don't you agree?</t>
  </si>
  <si>
    <r>
      <t xml:space="preserve">We can now move the </t>
    </r>
    <r>
      <rPr>
        <i/>
        <sz val="12"/>
        <rFont val="Times"/>
        <family val="1"/>
      </rPr>
      <t>k</t>
    </r>
    <r>
      <rPr>
        <i/>
        <vertAlign val="subscript"/>
        <sz val="12"/>
        <rFont val="Times"/>
        <family val="1"/>
      </rPr>
      <t>t</t>
    </r>
    <r>
      <rPr>
        <sz val="12"/>
        <rFont val="Times"/>
        <family val="1"/>
      </rPr>
      <t xml:space="preserve"> term to the left-hand side and simplify the expression within the brackets on the right-hand side by putting everything over the common denominator:</t>
    </r>
  </si>
  <si>
    <t>We have to clean up the numerator on the last term on the right-hand side, being really careful with the signs:</t>
  </si>
  <si>
    <r>
      <t xml:space="preserve">Here is where </t>
    </r>
    <r>
      <rPr>
        <i/>
        <sz val="12"/>
        <rFont val="Times"/>
        <family val="1"/>
      </rPr>
      <t>n</t>
    </r>
    <r>
      <rPr>
        <sz val="12"/>
        <rFont val="Times"/>
        <family val="1"/>
      </rPr>
      <t xml:space="preserve"> and </t>
    </r>
    <r>
      <rPr>
        <i/>
        <sz val="12"/>
        <rFont val="Times"/>
        <family val="1"/>
      </rPr>
      <t>g</t>
    </r>
    <r>
      <rPr>
        <sz val="12"/>
        <rFont val="Times"/>
        <family val="1"/>
      </rPr>
      <t xml:space="preserve"> first appear in the steady-state condition, next to </t>
    </r>
    <r>
      <rPr>
        <i/>
        <sz val="12"/>
        <rFont val="Symbol"/>
        <family val="1"/>
        <charset val="2"/>
      </rPr>
      <t>d</t>
    </r>
    <r>
      <rPr>
        <sz val="12"/>
        <rFont val="Times"/>
        <family val="1"/>
      </rPr>
      <t>.</t>
    </r>
  </si>
  <si>
    <r>
      <t xml:space="preserve">The left-hand side is now </t>
    </r>
    <r>
      <rPr>
        <i/>
        <sz val="12"/>
        <rFont val="Symbol"/>
        <family val="1"/>
        <charset val="2"/>
      </rPr>
      <t>D</t>
    </r>
    <r>
      <rPr>
        <i/>
        <sz val="12"/>
        <rFont val="Times"/>
        <family val="1"/>
      </rPr>
      <t>k</t>
    </r>
    <r>
      <rPr>
        <sz val="12"/>
        <rFont val="Times"/>
        <family val="1"/>
      </rPr>
      <t>, the ones in the bracket add up to zero so they disappear, and we can pull the minus signs on the remaining terms in front of the bracket like this:</t>
    </r>
  </si>
  <si>
    <r>
      <t xml:space="preserve">We can simplify a bit by putting the right-hand side over the common denominator, (1 + </t>
    </r>
    <r>
      <rPr>
        <i/>
        <sz val="12"/>
        <rFont val="Times"/>
        <family val="1"/>
      </rPr>
      <t>n</t>
    </r>
    <r>
      <rPr>
        <sz val="12"/>
        <rFont val="Times"/>
        <family val="1"/>
      </rPr>
      <t xml:space="preserve">)(1 + </t>
    </r>
    <r>
      <rPr>
        <i/>
        <sz val="12"/>
        <rFont val="Times"/>
        <family val="1"/>
      </rPr>
      <t>g</t>
    </r>
    <r>
      <rPr>
        <sz val="12"/>
        <rFont val="Times"/>
        <family val="1"/>
      </rPr>
      <t>):</t>
    </r>
  </si>
  <si>
    <r>
      <t xml:space="preserve">Look at how </t>
    </r>
    <r>
      <rPr>
        <b/>
        <i/>
        <sz val="12"/>
        <rFont val="Times"/>
        <family val="1"/>
      </rPr>
      <t>g</t>
    </r>
    <r>
      <rPr>
        <b/>
        <sz val="12"/>
        <rFont val="Times"/>
        <family val="1"/>
      </rPr>
      <t xml:space="preserve"> acts like </t>
    </r>
    <r>
      <rPr>
        <b/>
        <i/>
        <sz val="12"/>
        <rFont val="Times"/>
        <family val="1"/>
      </rPr>
      <t>n</t>
    </r>
    <r>
      <rPr>
        <b/>
        <sz val="12"/>
        <rFont val="Times"/>
        <family val="1"/>
      </rPr>
      <t xml:space="preserve"> eroding </t>
    </r>
    <r>
      <rPr>
        <b/>
        <i/>
        <sz val="12"/>
        <rFont val="Times"/>
        <family val="1"/>
      </rPr>
      <t>k</t>
    </r>
    <r>
      <rPr>
        <b/>
        <sz val="12"/>
        <rFont val="Times"/>
        <family val="1"/>
      </rPr>
      <t>, but remember that this is NOT REAL, these are imaginary workers.</t>
    </r>
  </si>
  <si>
    <r>
      <t xml:space="preserve">You have to admit we are pretty close to </t>
    </r>
    <r>
      <rPr>
        <i/>
        <sz val="12"/>
        <rFont val="Symbol"/>
        <family val="1"/>
        <charset val="2"/>
      </rPr>
      <t>D</t>
    </r>
    <r>
      <rPr>
        <i/>
        <sz val="12"/>
        <rFont val="Times"/>
        <family val="1"/>
      </rPr>
      <t>k</t>
    </r>
    <r>
      <rPr>
        <sz val="12"/>
        <rFont val="Times"/>
        <family val="1"/>
      </rPr>
      <t xml:space="preserve"> = </t>
    </r>
    <r>
      <rPr>
        <i/>
        <sz val="12"/>
        <rFont val="Times"/>
        <family val="1"/>
      </rPr>
      <t>sy</t>
    </r>
    <r>
      <rPr>
        <i/>
        <vertAlign val="subscript"/>
        <sz val="12"/>
        <rFont val="Times"/>
        <family val="1"/>
      </rPr>
      <t>t</t>
    </r>
    <r>
      <rPr>
        <sz val="12"/>
        <rFont val="Times"/>
        <family val="1"/>
      </rPr>
      <t xml:space="preserve"> - (</t>
    </r>
    <r>
      <rPr>
        <i/>
        <sz val="12"/>
        <rFont val="Symbol"/>
        <family val="1"/>
        <charset val="2"/>
      </rPr>
      <t xml:space="preserve">d </t>
    </r>
    <r>
      <rPr>
        <i/>
        <sz val="12"/>
        <rFont val="Times"/>
        <family val="1"/>
      </rPr>
      <t xml:space="preserve">+ n + </t>
    </r>
    <r>
      <rPr>
        <sz val="12"/>
        <rFont val="Times"/>
        <family val="1"/>
      </rPr>
      <t>g</t>
    </r>
    <r>
      <rPr>
        <sz val="12"/>
        <rFont val="Times New Roman"/>
        <family val="1"/>
      </rPr>
      <t>)</t>
    </r>
    <r>
      <rPr>
        <i/>
        <sz val="12"/>
        <rFont val="Times"/>
        <family val="1"/>
      </rPr>
      <t>k</t>
    </r>
    <r>
      <rPr>
        <i/>
        <vertAlign val="subscript"/>
        <sz val="12"/>
        <rFont val="Times"/>
        <family val="1"/>
      </rPr>
      <t>t</t>
    </r>
    <r>
      <rPr>
        <sz val="12"/>
        <rFont val="Times"/>
        <family val="1"/>
      </rPr>
      <t xml:space="preserve">.  The only thing we need to do is eliminate that (1 + </t>
    </r>
    <r>
      <rPr>
        <i/>
        <sz val="12"/>
        <rFont val="Times"/>
        <family val="1"/>
      </rPr>
      <t>n</t>
    </r>
    <r>
      <rPr>
        <sz val="12"/>
        <rFont val="Times"/>
        <family val="1"/>
      </rPr>
      <t xml:space="preserve">)(1 + </t>
    </r>
    <r>
      <rPr>
        <i/>
        <sz val="12"/>
        <rFont val="Times"/>
        <family val="1"/>
      </rPr>
      <t>g</t>
    </r>
    <r>
      <rPr>
        <sz val="12"/>
        <rFont val="Times"/>
        <family val="1"/>
      </rPr>
      <t xml:space="preserve">) term in the denominator and get rid of </t>
    </r>
    <r>
      <rPr>
        <i/>
        <sz val="12"/>
        <rFont val="Times"/>
        <family val="1"/>
      </rPr>
      <t>ng</t>
    </r>
    <r>
      <rPr>
        <sz val="12"/>
        <rFont val="Times"/>
        <family val="1"/>
      </rPr>
      <t>.</t>
    </r>
  </si>
  <si>
    <t xml:space="preserve">How do we get the rest of the way?  </t>
  </si>
  <si>
    <r>
      <t xml:space="preserve">Well, it turns out that, strictly speaking, we don't!  Just like when we added population, at the steady-state solution, the (1 + </t>
    </r>
    <r>
      <rPr>
        <i/>
        <sz val="12"/>
        <rFont val="Times"/>
        <family val="1"/>
      </rPr>
      <t>n</t>
    </r>
    <r>
      <rPr>
        <sz val="12"/>
        <rFont val="Times"/>
        <family val="1"/>
      </rPr>
      <t xml:space="preserve">)(1 + </t>
    </r>
    <r>
      <rPr>
        <i/>
        <sz val="12"/>
        <rFont val="Times"/>
        <family val="1"/>
      </rPr>
      <t>g</t>
    </r>
    <r>
      <rPr>
        <sz val="12"/>
        <rFont val="Times"/>
        <family val="1"/>
      </rPr>
      <t>) term will not matter.</t>
    </r>
  </si>
  <si>
    <r>
      <rPr>
        <i/>
        <sz val="12"/>
        <rFont val="Symbol"/>
        <family val="1"/>
        <charset val="2"/>
      </rPr>
      <t>D</t>
    </r>
    <r>
      <rPr>
        <i/>
        <sz val="12"/>
        <rFont val="Times"/>
        <family val="1"/>
      </rPr>
      <t>k</t>
    </r>
    <r>
      <rPr>
        <sz val="12"/>
        <rFont val="Times"/>
        <family val="1"/>
      </rPr>
      <t xml:space="preserve"> = 0 when the numerator is zero, that is, when the </t>
    </r>
    <r>
      <rPr>
        <i/>
        <sz val="12"/>
        <rFont val="Times"/>
        <family val="1"/>
      </rPr>
      <t>sy</t>
    </r>
    <r>
      <rPr>
        <sz val="12"/>
        <rFont val="Times"/>
        <family val="1"/>
      </rPr>
      <t xml:space="preserve"> and (</t>
    </r>
    <r>
      <rPr>
        <i/>
        <sz val="12"/>
        <rFont val="Symbol"/>
        <family val="1"/>
        <charset val="2"/>
      </rPr>
      <t xml:space="preserve">d </t>
    </r>
    <r>
      <rPr>
        <i/>
        <sz val="12"/>
        <rFont val="Times"/>
        <family val="1"/>
      </rPr>
      <t xml:space="preserve">+ n + </t>
    </r>
    <r>
      <rPr>
        <i/>
        <sz val="12"/>
        <rFont val="Times"/>
        <family val="1"/>
      </rPr>
      <t>g</t>
    </r>
    <r>
      <rPr>
        <i/>
        <sz val="12"/>
        <rFont val="Times"/>
        <family val="1"/>
      </rPr>
      <t xml:space="preserve"> + </t>
    </r>
    <r>
      <rPr>
        <i/>
        <sz val="12"/>
        <rFont val="Times"/>
        <family val="1"/>
      </rPr>
      <t>ng</t>
    </r>
    <r>
      <rPr>
        <sz val="12"/>
        <rFont val="Times"/>
        <family val="1"/>
      </rPr>
      <t>)</t>
    </r>
    <r>
      <rPr>
        <i/>
        <sz val="12"/>
        <rFont val="Times"/>
        <family val="1"/>
      </rPr>
      <t>k</t>
    </r>
    <r>
      <rPr>
        <sz val="12"/>
        <rFont val="Times"/>
        <family val="1"/>
      </rPr>
      <t xml:space="preserve"> terms equal each other, no matter the value of the denominator on the right-hand side.</t>
    </r>
  </si>
  <si>
    <r>
      <t xml:space="preserve">In other words, when </t>
    </r>
    <r>
      <rPr>
        <i/>
        <sz val="12"/>
        <rFont val="Times"/>
        <family val="1"/>
      </rPr>
      <t>sy</t>
    </r>
    <r>
      <rPr>
        <sz val="12"/>
        <rFont val="Times"/>
        <family val="1"/>
      </rPr>
      <t xml:space="preserve"> = (</t>
    </r>
    <r>
      <rPr>
        <i/>
        <sz val="12"/>
        <rFont val="Symbol"/>
        <family val="1"/>
        <charset val="2"/>
      </rPr>
      <t xml:space="preserve">d </t>
    </r>
    <r>
      <rPr>
        <i/>
        <sz val="12"/>
        <rFont val="Times"/>
        <family val="1"/>
      </rPr>
      <t xml:space="preserve">+ n + </t>
    </r>
    <r>
      <rPr>
        <sz val="12"/>
        <rFont val="Times"/>
        <family val="1"/>
      </rPr>
      <t>g</t>
    </r>
    <r>
      <rPr>
        <i/>
        <sz val="12"/>
        <rFont val="Times"/>
        <family val="1"/>
      </rPr>
      <t xml:space="preserve"> + </t>
    </r>
    <r>
      <rPr>
        <sz val="12"/>
        <rFont val="Times"/>
        <family val="1"/>
      </rPr>
      <t>ng</t>
    </r>
    <r>
      <rPr>
        <sz val="12"/>
        <rFont val="Times"/>
        <family val="1"/>
      </rPr>
      <t>)</t>
    </r>
    <r>
      <rPr>
        <i/>
        <sz val="12"/>
        <rFont val="Times"/>
        <family val="1"/>
      </rPr>
      <t>k</t>
    </r>
    <r>
      <rPr>
        <sz val="12"/>
        <rFont val="Times"/>
        <family val="1"/>
      </rPr>
      <t xml:space="preserve">, </t>
    </r>
    <r>
      <rPr>
        <i/>
        <sz val="12"/>
        <rFont val="Times"/>
        <family val="1"/>
      </rPr>
      <t>k</t>
    </r>
    <r>
      <rPr>
        <sz val="12"/>
        <rFont val="Times"/>
        <family val="1"/>
      </rPr>
      <t xml:space="preserve"> will repeat itself endlessly and, thus, will be at its steady-state solution, regardless of the denominator in the right-hand side.</t>
    </r>
  </si>
  <si>
    <r>
      <t xml:space="preserve">The upshot of all of this is that when we are at the steady-state solution, we can safely ignore the (1 + </t>
    </r>
    <r>
      <rPr>
        <i/>
        <sz val="12"/>
        <rFont val="Times"/>
        <family val="1"/>
      </rPr>
      <t>n</t>
    </r>
    <r>
      <rPr>
        <sz val="12"/>
        <rFont val="Times"/>
        <family val="1"/>
      </rPr>
      <t xml:space="preserve">)(1 + </t>
    </r>
    <r>
      <rPr>
        <i/>
        <sz val="12"/>
        <rFont val="Times"/>
        <family val="1"/>
      </rPr>
      <t>g</t>
    </r>
    <r>
      <rPr>
        <sz val="12"/>
        <rFont val="Times"/>
        <family val="1"/>
      </rPr>
      <t xml:space="preserve">) term and treat the steady-state condition as simply </t>
    </r>
    <r>
      <rPr>
        <i/>
        <sz val="12"/>
        <rFont val="Times"/>
        <family val="1"/>
      </rPr>
      <t>sy</t>
    </r>
    <r>
      <rPr>
        <i/>
        <vertAlign val="subscript"/>
        <sz val="12"/>
        <rFont val="Times"/>
        <family val="1"/>
      </rPr>
      <t>t</t>
    </r>
    <r>
      <rPr>
        <sz val="12"/>
        <rFont val="Times"/>
        <family val="1"/>
      </rPr>
      <t xml:space="preserve"> - (</t>
    </r>
    <r>
      <rPr>
        <i/>
        <sz val="12"/>
        <rFont val="Symbol"/>
        <family val="1"/>
        <charset val="2"/>
      </rPr>
      <t xml:space="preserve">d </t>
    </r>
    <r>
      <rPr>
        <i/>
        <sz val="12"/>
        <rFont val="Times"/>
        <family val="1"/>
      </rPr>
      <t xml:space="preserve">+ n + </t>
    </r>
    <r>
      <rPr>
        <i/>
        <sz val="12"/>
        <rFont val="Times"/>
        <family val="1"/>
      </rPr>
      <t>g</t>
    </r>
    <r>
      <rPr>
        <sz val="12"/>
        <rFont val="Times New Roman"/>
        <family val="1"/>
      </rPr>
      <t>)</t>
    </r>
    <r>
      <rPr>
        <i/>
        <sz val="12"/>
        <rFont val="Times"/>
        <family val="1"/>
      </rPr>
      <t>k</t>
    </r>
    <r>
      <rPr>
        <i/>
        <vertAlign val="subscript"/>
        <sz val="12"/>
        <rFont val="Times"/>
        <family val="1"/>
      </rPr>
      <t>t</t>
    </r>
    <r>
      <rPr>
        <vertAlign val="subscript"/>
        <sz val="12"/>
        <rFont val="Times"/>
        <family val="1"/>
      </rPr>
      <t xml:space="preserve"> </t>
    </r>
    <r>
      <rPr>
        <sz val="12"/>
        <rFont val="Times"/>
        <family val="1"/>
      </rPr>
      <t>= 0.</t>
    </r>
  </si>
  <si>
    <r>
      <t xml:space="preserve">What about the </t>
    </r>
    <r>
      <rPr>
        <i/>
        <sz val="12"/>
        <rFont val="Times"/>
        <family val="1"/>
      </rPr>
      <t>ng</t>
    </r>
    <r>
      <rPr>
        <sz val="12"/>
        <rFont val="Times"/>
        <family val="1"/>
      </rPr>
      <t xml:space="preserve"> term? Believe it or not, there is no way to finesse this. It is simply dropped.</t>
    </r>
  </si>
  <si>
    <r>
      <t xml:space="preserve">The rationale behind doing this is that </t>
    </r>
    <r>
      <rPr>
        <i/>
        <sz val="12"/>
        <rFont val="Times"/>
        <family val="1"/>
      </rPr>
      <t>ng</t>
    </r>
    <r>
      <rPr>
        <sz val="12"/>
        <rFont val="Times"/>
        <family val="1"/>
      </rPr>
      <t xml:space="preserve"> will be small because </t>
    </r>
    <r>
      <rPr>
        <i/>
        <sz val="12"/>
        <rFont val="Times"/>
        <family val="1"/>
      </rPr>
      <t>n</t>
    </r>
    <r>
      <rPr>
        <sz val="12"/>
        <rFont val="Times"/>
        <family val="1"/>
      </rPr>
      <t xml:space="preserve"> and </t>
    </r>
    <r>
      <rPr>
        <i/>
        <sz val="12"/>
        <rFont val="Times"/>
        <family val="1"/>
      </rPr>
      <t>g</t>
    </r>
    <r>
      <rPr>
        <sz val="12"/>
        <rFont val="Times"/>
        <family val="1"/>
      </rPr>
      <t xml:space="preserve"> are both small; after all, if </t>
    </r>
    <r>
      <rPr>
        <i/>
        <sz val="12"/>
        <rFont val="Times"/>
        <family val="1"/>
      </rPr>
      <t>n</t>
    </r>
    <r>
      <rPr>
        <sz val="12"/>
        <rFont val="Times"/>
        <family val="1"/>
      </rPr>
      <t xml:space="preserve"> = 0.01 and </t>
    </r>
    <r>
      <rPr>
        <i/>
        <sz val="12"/>
        <rFont val="Times"/>
        <family val="1"/>
      </rPr>
      <t>g</t>
    </r>
    <r>
      <rPr>
        <sz val="12"/>
        <rFont val="Times"/>
        <family val="1"/>
      </rPr>
      <t xml:space="preserve"> = 0.02, then </t>
    </r>
    <r>
      <rPr>
        <i/>
        <sz val="12"/>
        <rFont val="Times"/>
        <family val="1"/>
      </rPr>
      <t>ng</t>
    </r>
    <r>
      <rPr>
        <sz val="12"/>
        <rFont val="Times"/>
        <family val="1"/>
      </rPr>
      <t xml:space="preserve"> = 0.0002. </t>
    </r>
  </si>
  <si>
    <r>
      <t xml:space="preserve">The work below shows the difference dropping the </t>
    </r>
    <r>
      <rPr>
        <i/>
        <sz val="12"/>
        <rFont val="Times"/>
        <family val="1"/>
      </rPr>
      <t>ng</t>
    </r>
    <r>
      <rPr>
        <sz val="12"/>
        <rFont val="Times"/>
        <family val="1"/>
      </rPr>
      <t xml:space="preserve"> term has on the baseline problem in the </t>
    </r>
    <r>
      <rPr>
        <i/>
        <sz val="12"/>
        <rFont val="Times"/>
        <family val="1"/>
      </rPr>
      <t>EqPath</t>
    </r>
    <r>
      <rPr>
        <sz val="12"/>
        <rFont val="Times"/>
        <family val="1"/>
      </rPr>
      <t xml:space="preserve"> sheet.</t>
    </r>
  </si>
  <si>
    <r>
      <t xml:space="preserve">Solving for steady-state </t>
    </r>
    <r>
      <rPr>
        <i/>
        <sz val="12"/>
        <rFont val="Times"/>
        <family val="1"/>
      </rPr>
      <t>k</t>
    </r>
    <r>
      <rPr>
        <sz val="12"/>
        <rFont val="Times"/>
        <family val="1"/>
      </rPr>
      <t xml:space="preserve"> via analytical methods:</t>
    </r>
  </si>
  <si>
    <t>labor-augmenting tech change</t>
  </si>
  <si>
    <t>A forced equal to 1.</t>
  </si>
  <si>
    <t>rate of saving</t>
  </si>
  <si>
    <t>rate of depreciation</t>
  </si>
  <si>
    <t>Click on the cells in the table to reveal the formulas.</t>
  </si>
  <si>
    <t>The exogenous variable values are those in the green cells above. Change them to see the effect.</t>
  </si>
  <si>
    <r>
      <t>Steady-state k</t>
    </r>
    <r>
      <rPr>
        <vertAlign val="subscript"/>
        <sz val="12"/>
        <rFont val="Times"/>
        <family val="1"/>
      </rPr>
      <t>eff</t>
    </r>
  </si>
  <si>
    <t>Exact</t>
  </si>
  <si>
    <r>
      <rPr>
        <sz val="10"/>
        <rFont val="Arial"/>
        <family val="2"/>
      </rPr>
      <t xml:space="preserve">Using </t>
    </r>
    <r>
      <rPr>
        <sz val="9"/>
        <rFont val="Symbol"/>
        <family val="1"/>
        <charset val="2"/>
      </rPr>
      <t>D</t>
    </r>
    <r>
      <rPr>
        <sz val="9"/>
        <rFont val="Geneva"/>
        <family val="2"/>
      </rPr>
      <t>k=sy-(</t>
    </r>
    <r>
      <rPr>
        <sz val="9"/>
        <rFont val="Symbol"/>
        <family val="1"/>
        <charset val="2"/>
      </rPr>
      <t>d</t>
    </r>
    <r>
      <rPr>
        <sz val="9"/>
        <rFont val="Geneva"/>
        <family val="2"/>
      </rPr>
      <t>+n+g+</t>
    </r>
    <r>
      <rPr>
        <b/>
        <sz val="9"/>
        <color indexed="10"/>
        <rFont val="Geneva"/>
        <family val="2"/>
      </rPr>
      <t>ng</t>
    </r>
    <r>
      <rPr>
        <sz val="9"/>
        <rFont val="Geneva"/>
        <family val="2"/>
      </rPr>
      <t xml:space="preserve">)k </t>
    </r>
  </si>
  <si>
    <t>Approximate</t>
  </si>
  <si>
    <r>
      <rPr>
        <sz val="10"/>
        <rFont val="Arial"/>
        <family val="2"/>
      </rPr>
      <t xml:space="preserve">Using </t>
    </r>
    <r>
      <rPr>
        <sz val="9"/>
        <rFont val="Symbol"/>
        <family val="1"/>
        <charset val="2"/>
      </rPr>
      <t>D</t>
    </r>
    <r>
      <rPr>
        <sz val="9"/>
        <rFont val="Geneva"/>
        <family val="2"/>
      </rPr>
      <t>k=sy-(</t>
    </r>
    <r>
      <rPr>
        <sz val="9"/>
        <rFont val="Symbol"/>
        <family val="1"/>
        <charset val="2"/>
      </rPr>
      <t>d</t>
    </r>
    <r>
      <rPr>
        <sz val="9"/>
        <rFont val="Geneva"/>
        <family val="2"/>
      </rPr>
      <t>+n+g)k</t>
    </r>
  </si>
  <si>
    <t>Exact - Approximate</t>
  </si>
  <si>
    <t>% Approx Error</t>
  </si>
  <si>
    <r>
      <t xml:space="preserve">The difference between Exact and Approximate, where the latter omits the </t>
    </r>
    <r>
      <rPr>
        <b/>
        <i/>
        <sz val="9"/>
        <color indexed="10"/>
        <rFont val="Geneva"/>
        <family val="2"/>
      </rPr>
      <t>ng</t>
    </r>
    <r>
      <rPr>
        <b/>
        <sz val="9"/>
        <color indexed="10"/>
        <rFont val="Geneva"/>
        <family val="2"/>
      </rPr>
      <t xml:space="preserve"> term, is very small in typical cases.</t>
    </r>
  </si>
  <si>
    <r>
      <t xml:space="preserve">As </t>
    </r>
    <r>
      <rPr>
        <b/>
        <i/>
        <sz val="9"/>
        <color indexed="10"/>
        <rFont val="Geneva"/>
        <family val="2"/>
      </rPr>
      <t>n</t>
    </r>
    <r>
      <rPr>
        <b/>
        <sz val="9"/>
        <color indexed="10"/>
        <rFont val="Geneva"/>
        <family val="2"/>
      </rPr>
      <t xml:space="preserve"> and </t>
    </r>
    <r>
      <rPr>
        <b/>
        <i/>
        <sz val="9"/>
        <color indexed="10"/>
        <rFont val="Geneva"/>
        <family val="2"/>
      </rPr>
      <t>g</t>
    </r>
    <r>
      <rPr>
        <b/>
        <sz val="9"/>
        <color indexed="10"/>
        <rFont val="Geneva"/>
        <family val="2"/>
      </rPr>
      <t xml:space="preserve"> increase, the approximation error rises.</t>
    </r>
  </si>
  <si>
    <t>All of the macro textbooks sweep all of this under the rug and just show the standard (approximated) equation:</t>
  </si>
  <si>
    <r>
      <t xml:space="preserve">This allows the professor to say, "See? If </t>
    </r>
    <r>
      <rPr>
        <i/>
        <sz val="12"/>
        <rFont val="Times"/>
        <family val="1"/>
      </rPr>
      <t>n</t>
    </r>
    <r>
      <rPr>
        <sz val="12"/>
        <rFont val="Times"/>
        <family val="1"/>
      </rPr>
      <t xml:space="preserve"> = </t>
    </r>
    <r>
      <rPr>
        <i/>
        <sz val="12"/>
        <rFont val="Times"/>
        <family val="1"/>
      </rPr>
      <t>g</t>
    </r>
    <r>
      <rPr>
        <sz val="12"/>
        <rFont val="Times"/>
        <family val="1"/>
      </rPr>
      <t xml:space="preserve"> = 0, it's just like the basic model where </t>
    </r>
    <r>
      <rPr>
        <i/>
        <sz val="12"/>
        <rFont val="Times"/>
        <family val="1"/>
      </rPr>
      <t>sy</t>
    </r>
    <r>
      <rPr>
        <i/>
        <vertAlign val="subscript"/>
        <sz val="12"/>
        <rFont val="Times"/>
        <family val="1"/>
      </rPr>
      <t>t</t>
    </r>
    <r>
      <rPr>
        <sz val="12"/>
        <rFont val="Times"/>
        <family val="1"/>
      </rPr>
      <t xml:space="preserve"> - </t>
    </r>
    <r>
      <rPr>
        <i/>
        <sz val="12"/>
        <rFont val="Symbol"/>
        <family val="1"/>
        <charset val="2"/>
      </rPr>
      <t>d</t>
    </r>
    <r>
      <rPr>
        <i/>
        <sz val="12"/>
        <rFont val="Times"/>
        <family val="1"/>
      </rPr>
      <t>k</t>
    </r>
    <r>
      <rPr>
        <i/>
        <vertAlign val="subscript"/>
        <sz val="12"/>
        <rFont val="Times"/>
        <family val="1"/>
      </rPr>
      <t>t</t>
    </r>
    <r>
      <rPr>
        <sz val="12"/>
        <rFont val="Times"/>
        <family val="1"/>
      </rPr>
      <t xml:space="preserve"> = 0. So memorize this new equation and you are all set."</t>
    </r>
  </si>
  <si>
    <r>
      <t xml:space="preserve">The </t>
    </r>
    <r>
      <rPr>
        <i/>
        <sz val="12"/>
        <rFont val="Times New Roman"/>
        <family val="1"/>
      </rPr>
      <t>EqPath</t>
    </r>
    <r>
      <rPr>
        <sz val="12"/>
        <rFont val="Times New Roman"/>
        <family val="1"/>
      </rPr>
      <t xml:space="preserve"> sheet gets it exactly right, including the denominator and </t>
    </r>
    <r>
      <rPr>
        <i/>
        <sz val="12"/>
        <rFont val="Times New Roman"/>
        <family val="1"/>
      </rPr>
      <t>ng</t>
    </r>
    <r>
      <rPr>
        <sz val="12"/>
        <rFont val="Times New Roman"/>
        <family val="1"/>
      </rPr>
      <t xml:space="preserve"> term in the evolution of the model.</t>
    </r>
  </si>
  <si>
    <t>Now you know what is really going with the Solow Model with population growth and technological progress, instead of merely memorizing a steady-state equation.</t>
  </si>
  <si>
    <t>Q. E. D.</t>
  </si>
  <si>
    <r>
      <t xml:space="preserve">This is from Humberto Barreto, </t>
    </r>
    <r>
      <rPr>
        <i/>
        <sz val="12"/>
        <rFont val="Times"/>
      </rPr>
      <t>Teaching Macroeconomics with Microsoft Excel</t>
    </r>
    <r>
      <rPr>
        <sz val="12"/>
        <rFont val="Times"/>
        <family val="1"/>
      </rPr>
      <t>, Cambridge University Press, 2015</t>
    </r>
  </si>
  <si>
    <t>TechProgress.xls</t>
  </si>
  <si>
    <t>You don't actually have to click if you don't want to -- it's the algebra of the model and it will not make a lot of sense to most people.</t>
  </si>
  <si>
    <t>Before we can do this, however, we need to make sure we exactly understand how the model functions.</t>
  </si>
  <si>
    <t>Stepping</t>
  </si>
  <si>
    <t>Through</t>
  </si>
  <si>
    <t xml:space="preserve">Some of the output is consumed (C) and the rest is added to the existing capital (invested). The curve along the bottom shows that the process is then repeated. </t>
  </si>
  <si>
    <t>Y will increase next year when I is added to existing K.</t>
  </si>
  <si>
    <t xml:space="preserve">Consider two countries: in A, all output is consumption goods; while B pumps half of its output into Investment, making more machines.  </t>
  </si>
  <si>
    <t>Key Parameter --&gt;</t>
  </si>
  <si>
    <r>
      <t xml:space="preserve">The flow diagram below is the same as the one above, but a new letter, </t>
    </r>
    <r>
      <rPr>
        <sz val="11"/>
        <color rgb="FFFF0000"/>
        <rFont val="Calibri"/>
        <family val="2"/>
        <scheme val="minor"/>
      </rPr>
      <t>s</t>
    </r>
    <r>
      <rPr>
        <sz val="11"/>
        <rFont val="Calibri"/>
        <family val="2"/>
        <scheme val="minor"/>
      </rPr>
      <t xml:space="preserve">, has been added and it plays a crucial role. </t>
    </r>
  </si>
  <si>
    <t>The picture says that labor and capital produce output according to the production function, f(L,K).</t>
  </si>
  <si>
    <t>Investment is addition to the capital stock. Investment is literally new K.</t>
  </si>
  <si>
    <t xml:space="preserve">A crucial element of the model is the composition of output because the split between C and I determines changes in future output.  </t>
  </si>
  <si>
    <t>Walking</t>
  </si>
  <si>
    <t>In the Solow Model, s is given and does not change as the model cranks away and is attracted to its equilibrium position.</t>
  </si>
  <si>
    <t>Because the cycle-logic of the Solow Model is so important, let's do one more thing before we reveal the full-scale simulation.</t>
  </si>
  <si>
    <t>We will step through a few years, slowly and carefully following the variables.</t>
  </si>
  <si>
    <r>
      <t>Y = L</t>
    </r>
    <r>
      <rPr>
        <b/>
        <vertAlign val="superscript"/>
        <sz val="11"/>
        <rFont val="Calibri"/>
        <family val="2"/>
        <scheme val="minor"/>
      </rPr>
      <t>1/2</t>
    </r>
    <r>
      <rPr>
        <b/>
        <sz val="11"/>
        <rFont val="Calibri"/>
        <family val="2"/>
        <scheme val="minor"/>
      </rPr>
      <t>K</t>
    </r>
    <r>
      <rPr>
        <b/>
        <vertAlign val="superscript"/>
        <sz val="11"/>
        <rFont val="Calibri"/>
        <family val="2"/>
        <scheme val="minor"/>
      </rPr>
      <t>1/2</t>
    </r>
  </si>
  <si>
    <t>This is called a Cobb-Douglas production function. It says that output is the square root of the number of hours worked times the square root of the number of machines.</t>
  </si>
  <si>
    <t>If you have 4 hours of work and 9 machines, ta da, you get 2 x 3 = 6 units of output.</t>
  </si>
  <si>
    <t>We will track everything that happens in this table:</t>
  </si>
  <si>
    <t>The saving rate, s, is 25% so of the 6 units produced, 1/4 x 6 = 1.5 is saved and then invested (for next year) and the rest, 4.5, is consumed.</t>
  </si>
  <si>
    <t>Everything that is saved is automatically invested.</t>
  </si>
  <si>
    <t>Begin stepping through the model by clicking the button below. Pay close attention to what happens and how the numbers are being calculated.</t>
  </si>
  <si>
    <r>
      <t>%</t>
    </r>
    <r>
      <rPr>
        <sz val="11"/>
        <rFont val="Symbol"/>
        <family val="1"/>
        <charset val="2"/>
      </rPr>
      <t>D</t>
    </r>
    <r>
      <rPr>
        <sz val="11"/>
        <rFont val="Calibri"/>
        <family val="2"/>
        <scheme val="minor"/>
      </rPr>
      <t>K</t>
    </r>
  </si>
  <si>
    <r>
      <t>%</t>
    </r>
    <r>
      <rPr>
        <sz val="11"/>
        <rFont val="Symbol"/>
        <family val="1"/>
        <charset val="2"/>
      </rPr>
      <t>D</t>
    </r>
    <r>
      <rPr>
        <sz val="11"/>
        <rFont val="Calibri"/>
        <family val="2"/>
        <scheme val="minor"/>
      </rPr>
      <t>Y</t>
    </r>
  </si>
  <si>
    <r>
      <t>%</t>
    </r>
    <r>
      <rPr>
        <sz val="11"/>
        <color indexed="9"/>
        <rFont val="Symbol"/>
        <family val="1"/>
        <charset val="2"/>
      </rPr>
      <t>D</t>
    </r>
    <r>
      <rPr>
        <sz val="11"/>
        <color indexed="9"/>
        <rFont val="Calibri"/>
        <family val="2"/>
        <scheme val="minor"/>
      </rPr>
      <t>K</t>
    </r>
  </si>
  <si>
    <r>
      <t>%</t>
    </r>
    <r>
      <rPr>
        <sz val="11"/>
        <color indexed="9"/>
        <rFont val="Symbol"/>
        <family val="1"/>
        <charset val="2"/>
      </rPr>
      <t>D</t>
    </r>
    <r>
      <rPr>
        <sz val="11"/>
        <color indexed="9"/>
        <rFont val="Calibri"/>
        <family val="2"/>
        <scheme val="minor"/>
      </rPr>
      <t>Y</t>
    </r>
  </si>
  <si>
    <t>So this is the basic model. There are a few more bells and whistles (depreciation, population growth and technical progress), but the logic is the same.</t>
  </si>
  <si>
    <t>But instead of doing that here (I'm guessing you were growing tired of clicking the buttons to crank out another year), we will do this on our</t>
  </si>
  <si>
    <r>
      <rPr>
        <sz val="11"/>
        <rFont val="Symbol"/>
        <family val="1"/>
        <charset val="2"/>
      </rPr>
      <t>D</t>
    </r>
    <r>
      <rPr>
        <sz val="11"/>
        <rFont val="Calibri"/>
        <family val="2"/>
        <scheme val="minor"/>
      </rPr>
      <t>K</t>
    </r>
  </si>
  <si>
    <r>
      <t>%</t>
    </r>
    <r>
      <rPr>
        <sz val="11"/>
        <rFont val="Symbol"/>
        <family val="1"/>
        <charset val="2"/>
      </rPr>
      <t>D</t>
    </r>
    <r>
      <rPr>
        <sz val="11"/>
        <rFont val="Calibri"/>
        <family val="2"/>
        <scheme val="minor"/>
      </rPr>
      <t>y</t>
    </r>
  </si>
  <si>
    <t>There is one major idea that remains to be explained: the steady-state (also known as equilibrium).</t>
  </si>
  <si>
    <t>full-scale simulation platform.</t>
  </si>
  <si>
    <t>We are poised to make the leap!</t>
  </si>
  <si>
    <t>2) The theoretical apparatus on which he relies (the Solow Model) is quite complicated.</t>
  </si>
  <si>
    <t>We know (from the video on the Intro sheet) that Piketty's Problem has two sides:</t>
  </si>
  <si>
    <t>1) He is concerned about income and wealth inequality and wants to figure out how to measure, explain, and control it, but</t>
  </si>
  <si>
    <t>We know (from the Def and Data sheets) that inequality is influenced by many factors, but a high K/Y is associated with high inequality.</t>
  </si>
  <si>
    <t>A high K/Y is 7 or 8 years of national income (from the Understanding Beta video)</t>
  </si>
  <si>
    <r>
      <t xml:space="preserve">A high K/Y is the hallmark of Patrimonial Capitalism -- the K stock plays a dominant role and idle rich live off of unearned income a la </t>
    </r>
    <r>
      <rPr>
        <i/>
        <sz val="11"/>
        <rFont val="Calibri"/>
        <family val="2"/>
        <scheme val="minor"/>
      </rPr>
      <t>Downton Abbey</t>
    </r>
    <r>
      <rPr>
        <sz val="11"/>
        <rFont val="Calibri"/>
        <family val="2"/>
        <scheme val="minor"/>
      </rPr>
      <t>.</t>
    </r>
  </si>
  <si>
    <t>With this prep work, we are ready to see the full-scale simulation and understand why Piketty is worried about what the future holds in terms of inequality.</t>
  </si>
  <si>
    <t>After you finish stepping through the model, be sure to explore the cells in the table. Click and inspect the numbers and formulas.</t>
  </si>
  <si>
    <t>Get comfortable with the calculations -- nothing should be a mystery. The mechanics are straightforward even though the solution is not.</t>
  </si>
  <si>
    <t>Understanding Piketty via Simulation of the Solow Model</t>
  </si>
  <si>
    <t>I welcome all feedback, positive and negative. Drop me an email and let me know what you think or if you have any questions or suggestions.</t>
  </si>
  <si>
    <t>I really hope this helps.</t>
  </si>
  <si>
    <t>(in order)</t>
  </si>
  <si>
    <t>The point of this workbook is that there is another path to understanding the Solow Model.</t>
  </si>
  <si>
    <t>We can simulate the model in Excel and then directly observe the results -- we do not need the math at all to solve and understand the model.</t>
  </si>
  <si>
    <t>depreciation rate</t>
  </si>
  <si>
    <r>
      <t xml:space="preserve">It is completely self-contained and all you have to do is read (scrolling down as needed), follow instructions (obey the </t>
    </r>
    <r>
      <rPr>
        <b/>
        <sz val="11"/>
        <color rgb="FFFF0000"/>
        <rFont val="Calibri"/>
        <family val="2"/>
        <scheme val="minor"/>
      </rPr>
      <t>Click</t>
    </r>
    <r>
      <rPr>
        <sz val="11"/>
        <rFont val="Calibri"/>
        <family val="2"/>
        <scheme val="minor"/>
      </rPr>
      <t xml:space="preserve"> and </t>
    </r>
    <r>
      <rPr>
        <b/>
        <sz val="11"/>
        <color rgb="FFFF0000"/>
        <rFont val="Calibri"/>
        <family val="2"/>
        <scheme val="minor"/>
      </rPr>
      <t>Change</t>
    </r>
    <r>
      <rPr>
        <sz val="11"/>
        <rFont val="Calibri"/>
        <family val="2"/>
        <scheme val="minor"/>
      </rPr>
      <t xml:space="preserve"> commands), and pay close attention.</t>
    </r>
  </si>
  <si>
    <t>Capital.xlsm</t>
  </si>
  <si>
    <r>
      <t xml:space="preserve">This Excel workbook explains key ideas in Piketty's </t>
    </r>
    <r>
      <rPr>
        <i/>
        <sz val="11"/>
        <rFont val="Calibri"/>
        <family val="2"/>
        <scheme val="minor"/>
      </rPr>
      <t>Capital.   --&gt;</t>
    </r>
  </si>
  <si>
    <t>www.depauw.edu/site/learn/macroexcel/</t>
  </si>
  <si>
    <t>In fact, this is the workhorse model of modern growth theory and there have been extensions and improvements, but the core of a cyclical process is the same:</t>
  </si>
  <si>
    <t>We know that the Solow Model determines K/Y, but this sheet did not explain this because it did not explain how the cyclical process settles down.</t>
  </si>
  <si>
    <t>This sheet did, however, set the table. It emphasized the cyclical nature of the Solow Model's mechanics.</t>
  </si>
  <si>
    <t>exponent on K</t>
  </si>
  <si>
    <t>Exogenous Parameters</t>
  </si>
  <si>
    <t>pop growth rate</t>
  </si>
  <si>
    <t>tech progress</t>
  </si>
  <si>
    <r>
      <t xml:space="preserve">Below is what was displayed in the </t>
    </r>
    <r>
      <rPr>
        <b/>
        <sz val="12"/>
        <rFont val="Times"/>
      </rPr>
      <t>Piketty's Problem</t>
    </r>
    <r>
      <rPr>
        <sz val="12"/>
        <rFont val="Times"/>
        <family val="1"/>
      </rPr>
      <t xml:space="preserve"> video on the </t>
    </r>
    <r>
      <rPr>
        <i/>
        <sz val="12"/>
        <rFont val="Times"/>
      </rPr>
      <t>Intro</t>
    </r>
    <r>
      <rPr>
        <sz val="12"/>
        <rFont val="Times"/>
        <family val="1"/>
      </rPr>
      <t xml:space="preserve"> sheet.</t>
    </r>
  </si>
  <si>
    <r>
      <t>The model is solved in terms of capital per effective worker (</t>
    </r>
    <r>
      <rPr>
        <i/>
        <sz val="12"/>
        <rFont val="Times"/>
      </rPr>
      <t>k</t>
    </r>
    <r>
      <rPr>
        <sz val="12"/>
        <rFont val="Times"/>
        <family val="1"/>
      </rPr>
      <t xml:space="preserve">), not </t>
    </r>
    <r>
      <rPr>
        <i/>
        <sz val="12"/>
        <rFont val="Times"/>
      </rPr>
      <t>K/Y</t>
    </r>
    <r>
      <rPr>
        <sz val="12"/>
        <rFont val="Times"/>
        <family val="1"/>
      </rPr>
      <t xml:space="preserve">, but if you can follow the equations below, then you should be able to transform </t>
    </r>
    <r>
      <rPr>
        <i/>
        <sz val="12"/>
        <rFont val="Times"/>
      </rPr>
      <t>k</t>
    </r>
    <r>
      <rPr>
        <sz val="12"/>
        <rFont val="Times"/>
        <family val="1"/>
      </rPr>
      <t xml:space="preserve"> into </t>
    </r>
    <r>
      <rPr>
        <i/>
        <sz val="12"/>
        <rFont val="Times"/>
      </rPr>
      <t>K/Y</t>
    </r>
    <r>
      <rPr>
        <sz val="12"/>
        <rFont val="Times"/>
        <family val="1"/>
      </rPr>
      <t>.</t>
    </r>
  </si>
  <si>
    <t>A highly capitalized economy is associated with high income inequality.</t>
  </si>
  <si>
    <t>Piketty thinks inequality is deeply baked into the DNA of capitalism.</t>
  </si>
  <si>
    <t>Capital is much more unevenly distributed than income so economies</t>
  </si>
  <si>
    <t>with high K/Y will have more income inequality.</t>
  </si>
  <si>
    <t>Loose</t>
  </si>
  <si>
    <t>Ends</t>
  </si>
  <si>
    <r>
      <rPr>
        <sz val="11"/>
        <color rgb="FFFF0000"/>
        <rFont val="Calibri"/>
        <family val="2"/>
        <scheme val="minor"/>
      </rPr>
      <t>r &gt; g</t>
    </r>
    <r>
      <rPr>
        <sz val="11"/>
        <rFont val="Calibri"/>
        <family val="2"/>
        <scheme val="minor"/>
      </rPr>
      <t xml:space="preserve"> --&gt; there is no mechanism that connects r and g so they can be close or far apart. </t>
    </r>
  </si>
  <si>
    <t>Main</t>
  </si>
  <si>
    <t>Point</t>
  </si>
  <si>
    <t>Low g and n will produce high K/Y and we will get Patrimonial Capitalism.</t>
  </si>
  <si>
    <t>But we can get more or less inequality -- it depends on the parameters.</t>
  </si>
  <si>
    <t>Debate</t>
  </si>
  <si>
    <t>No one knows what g will be. No one knows how it is determined.</t>
  </si>
  <si>
    <t>Piketty is too complicated for non-experts. The only thing many Pikettians hear is that r &gt; g so super rich are out of control. But remember:</t>
  </si>
  <si>
    <r>
      <t>If something cannot go on forever, it will stop</t>
    </r>
    <r>
      <rPr>
        <sz val="11"/>
        <color rgb="FFFF0000"/>
        <rFont val="Calibri"/>
        <family val="2"/>
        <scheme val="minor"/>
      </rPr>
      <t>.</t>
    </r>
  </si>
  <si>
    <t>Piketty knows this and he is not saying that the rich will continue to get an increasing share forever.</t>
  </si>
  <si>
    <t>By the way, Marx thought K/Y would rise without bound until there was a revolution.</t>
  </si>
  <si>
    <t>Last</t>
  </si>
  <si>
    <t>Video</t>
  </si>
  <si>
    <r>
      <t xml:space="preserve">Piketty's </t>
    </r>
    <r>
      <rPr>
        <i/>
        <sz val="11"/>
        <rFont val="Calibri"/>
        <family val="2"/>
        <scheme val="minor"/>
      </rPr>
      <t>Capital</t>
    </r>
    <r>
      <rPr>
        <sz val="11"/>
        <rFont val="Calibri"/>
        <family val="2"/>
        <scheme val="minor"/>
      </rPr>
      <t xml:space="preserve"> was translated to English in 2014 and he became a rock star. </t>
    </r>
  </si>
  <si>
    <t>There are many parts of Piketty's argument that are controversial, but the key variable is undoubtedly g.</t>
  </si>
  <si>
    <t xml:space="preserve">Piketty v. </t>
  </si>
  <si>
    <t>Pikettians</t>
  </si>
  <si>
    <t>2) High K/Y produces extreme inequality because K is much more unequally distributed than income from labor so a society where capital income is a dominant part of total income will be more unequal.</t>
  </si>
  <si>
    <t>The</t>
  </si>
  <si>
    <t>These two are on opposite ends of the spectrum:</t>
  </si>
  <si>
    <t>Pessimism:</t>
  </si>
  <si>
    <t>Optimism:</t>
  </si>
  <si>
    <t>He was asking a basic question: Why are some countries rich and others poor?</t>
  </si>
  <si>
    <t>A few centuries later, the Solow Model helps a little, but we still do not have a complete answer.</t>
  </si>
  <si>
    <t>They think that we are poised on some kind of singularity and are about to break out into a fantastic new world:</t>
  </si>
  <si>
    <t>By focusing on advances in digitization and artifical intelligence and connectivity, optimists like Brynjolfsson and McAfee argue for a future that is incredibly bright.</t>
  </si>
  <si>
    <t>Marx once said, "I am not a Marxist." One day, Piketty will say "I am not a Pikettian."</t>
  </si>
  <si>
    <t>So who's right? The worriers who can't see how we can keep up the pace of tachnological progress or the dreamers who see a futuristic, sci-fi paradise of technology?</t>
  </si>
  <si>
    <t xml:space="preserve">The reason why we get such divergent forecasts and why we cannot answer the question is because we still do not understand growth and development. </t>
  </si>
  <si>
    <t>We know the market system has something to do with it, but the details remain shrouded in mystery.</t>
  </si>
  <si>
    <r>
      <t xml:space="preserve">"It will make a mockery of all that came before."  (Location 1402 in the Kindle edition of </t>
    </r>
    <r>
      <rPr>
        <i/>
        <sz val="11"/>
        <rFont val="Calibri"/>
        <family val="2"/>
        <scheme val="minor"/>
      </rPr>
      <t>The Second Machine Age</t>
    </r>
    <r>
      <rPr>
        <sz val="11"/>
        <rFont val="Calibri"/>
        <family val="2"/>
        <scheme val="minor"/>
      </rPr>
      <t>.)</t>
    </r>
  </si>
  <si>
    <r>
      <t xml:space="preserve">Gordon, R. (2016) </t>
    </r>
    <r>
      <rPr>
        <i/>
        <u/>
        <sz val="11"/>
        <color indexed="12"/>
        <rFont val="Calibri"/>
        <family val="2"/>
        <scheme val="minor"/>
      </rPr>
      <t>The Rise and Fall of American Growth</t>
    </r>
  </si>
  <si>
    <r>
      <t xml:space="preserve">Brynjolfsson, E. and A. McAfee (2014) </t>
    </r>
    <r>
      <rPr>
        <i/>
        <u/>
        <sz val="11"/>
        <color indexed="12"/>
        <rFont val="Calibri"/>
        <family val="2"/>
        <scheme val="minor"/>
      </rPr>
      <t>The Second Machine Age</t>
    </r>
  </si>
  <si>
    <t xml:space="preserve">Adam Smith wrote An Inquiry into the Nature and Causes of the Wealth of Nations in 1776. </t>
  </si>
  <si>
    <t>He even made it to the Colbert Report! If you are up for one last short video, you can watch him here:</t>
  </si>
  <si>
    <r>
      <t xml:space="preserve">Of course, there are anti-Pikettians also--there's even a book titled </t>
    </r>
    <r>
      <rPr>
        <i/>
        <sz val="11"/>
        <rFont val="Calibri"/>
        <family val="2"/>
        <scheme val="minor"/>
      </rPr>
      <t>Anti-Piketty</t>
    </r>
    <r>
      <rPr>
        <sz val="11"/>
        <rFont val="Calibri"/>
        <family val="2"/>
        <scheme val="minor"/>
      </rPr>
      <t xml:space="preserve"> --&gt;</t>
    </r>
  </si>
  <si>
    <t>www.amazon.com/Anti-Piketty-Capital-21st-Century-Emmanuel-Martin/dp/1944424253</t>
  </si>
  <si>
    <t>Piketty's warning is that r &gt;&gt;&gt; g will produce high levels of income inequality that will destabilize society.</t>
  </si>
  <si>
    <t>The global tax on capital proposal is an attempt to close the gap between r and g.</t>
  </si>
  <si>
    <t>This Excel file is only about the second of these forces and explains how the long run capital intensiveness of the economy is determined.</t>
  </si>
  <si>
    <t>He was right that K/Y was rising, but he did not have Piketty's data and he did not understand the Solow Model like you do.</t>
  </si>
  <si>
    <r>
      <t xml:space="preserve">The pessimists say we are in for big trouble, with </t>
    </r>
    <r>
      <rPr>
        <i/>
        <sz val="11"/>
        <rFont val="Arial"/>
        <family val="2"/>
      </rPr>
      <t>low</t>
    </r>
    <r>
      <rPr>
        <sz val="11"/>
        <rFont val="Arial"/>
        <family val="2"/>
      </rPr>
      <t xml:space="preserve"> </t>
    </r>
    <r>
      <rPr>
        <i/>
        <sz val="11"/>
        <rFont val="Arial"/>
        <family val="2"/>
      </rPr>
      <t>g</t>
    </r>
    <r>
      <rPr>
        <sz val="11"/>
        <rFont val="Arial"/>
        <family val="2"/>
      </rPr>
      <t xml:space="preserve">. </t>
    </r>
    <r>
      <rPr>
        <sz val="11"/>
        <rFont val="Calibri"/>
        <family val="2"/>
        <scheme val="minor"/>
      </rPr>
      <t>Gordon says that the outstanding, 2% per year increase in GDP per capita we enjoyed in the 20th century is unlikely to be repeated.</t>
    </r>
  </si>
  <si>
    <t>Figuring out the evolution of a market economy continues to be the most important open problem in economics.</t>
  </si>
  <si>
    <t>Look familiar?</t>
  </si>
  <si>
    <t>We will not pursue that aspect of Piketty's work here, instead let's end this section on data by really reinforcing exactly what high K/Y means.</t>
  </si>
  <si>
    <t>Those elite British nobles inherited the estate and live off of their capital income in high style.</t>
  </si>
  <si>
    <t>It is complicated, however; the USA's pattern is different.</t>
  </si>
  <si>
    <t xml:space="preserve">If you own a house that you rent out for $10,000 a year and the rate of return is 5% per year (after maintenance), then your capital (wealth) is $200,000 (that's $10,000/0.05). </t>
  </si>
  <si>
    <t>Inequality can be measured by the share of output going to labor and capital owners (the functional distribution) or by how much each individual person gets (either as annual income or as wealth).</t>
  </si>
  <si>
    <t>Left here in case I need to edit</t>
  </si>
  <si>
    <t>Not showing up correctly on other Excel versions so went with images</t>
  </si>
  <si>
    <t>You may have noticed that the U-shape in the chart above of the UK's Top 10% income share looks similar to that of the UK's K/Y ratio.</t>
  </si>
  <si>
    <t>The claim that high K/Y is associated with high income inequality makes sense because owners of capital get unearned income in addition to labor income.</t>
  </si>
  <si>
    <t>Many other factors, however, affect income inequality and the K/Y and Top 10% data for USA and France don't show the connection as clearly.</t>
  </si>
  <si>
    <t>1) If the button above does not respond when you click it, please close the workbook and open it again, enabling macros.</t>
  </si>
  <si>
    <t>2) If the video does not play, check your internet connection. You need to be able to watch the videos because they have explanations and instructions.</t>
  </si>
  <si>
    <t>You now know that I created this Excel file to make Piketty's argument about inequality accessible to the smart, non-expert reader.</t>
  </si>
  <si>
    <t>3) If you are connected to the internet, but get other errors (e.g., "Sorry. This video does not exist."), you will not be able to watch the video in a "floating window" above this Excel spreadsheet.</t>
  </si>
  <si>
    <t>If you watched the video, you are ready to start.</t>
  </si>
  <si>
    <t>Three bad outcomes and fixes:</t>
  </si>
  <si>
    <r>
      <t xml:space="preserve">You must be sure to </t>
    </r>
    <r>
      <rPr>
        <b/>
        <i/>
        <sz val="11"/>
        <color rgb="FFC00000"/>
        <rFont val="Calibri"/>
        <family val="2"/>
        <scheme val="minor"/>
      </rPr>
      <t>Enable Content</t>
    </r>
    <r>
      <rPr>
        <sz val="11"/>
        <rFont val="Calibri"/>
        <family val="2"/>
        <scheme val="minor"/>
      </rPr>
      <t xml:space="preserve"> or the buttons and code in this macro-enabled workbook will not work.</t>
    </r>
  </si>
  <si>
    <r>
      <t xml:space="preserve">Set the chart to the UK's </t>
    </r>
    <r>
      <rPr>
        <sz val="11"/>
        <rFont val="Symbol"/>
        <family val="1"/>
        <charset val="2"/>
      </rPr>
      <t>b</t>
    </r>
    <r>
      <rPr>
        <sz val="11"/>
        <rFont val="Calibri"/>
        <family val="2"/>
        <scheme val="minor"/>
      </rPr>
      <t>, if needed,</t>
    </r>
  </si>
  <si>
    <t>then --&gt;</t>
  </si>
  <si>
    <r>
      <t xml:space="preserve">The split is determined by the </t>
    </r>
    <r>
      <rPr>
        <i/>
        <sz val="11"/>
        <color rgb="FFFF0000"/>
        <rFont val="Calibri"/>
        <family val="2"/>
        <scheme val="minor"/>
      </rPr>
      <t>saving rate (s)</t>
    </r>
    <r>
      <rPr>
        <sz val="11"/>
        <rFont val="Calibri"/>
        <family val="2"/>
        <scheme val="minor"/>
      </rPr>
      <t>. This is the percentage, anywhere from 0 to 100%, of output that is saved (not consumed).</t>
    </r>
  </si>
  <si>
    <t>Inputs make output, which is split into consumption and investment (determined by the saving rate), which is added to previous K, and the process repeats.</t>
  </si>
  <si>
    <t>Let's see if you are ready to go (click the X to close the window when you are finished watching the video):</t>
  </si>
  <si>
    <r>
      <rPr>
        <sz val="11"/>
        <rFont val="Symbol"/>
        <family val="1"/>
        <charset val="2"/>
      </rPr>
      <t>b</t>
    </r>
    <r>
      <rPr>
        <sz val="11"/>
        <rFont val="Calibri"/>
        <family val="2"/>
        <scheme val="minor"/>
      </rPr>
      <t xml:space="preserve"> removes the currency units so changes in prices over time and across countries do not matter.</t>
    </r>
  </si>
  <si>
    <r>
      <t xml:space="preserve">Think about it: US national income is roughly almost $20 trillion per year and the capital stock is $80T, so K/Y = 4 </t>
    </r>
    <r>
      <rPr>
        <b/>
        <i/>
        <sz val="11"/>
        <rFont val="Calibri"/>
        <family val="2"/>
        <scheme val="minor"/>
      </rPr>
      <t>years</t>
    </r>
    <r>
      <rPr>
        <sz val="11"/>
        <rFont val="Calibri"/>
        <family val="2"/>
        <scheme val="minor"/>
      </rPr>
      <t xml:space="preserve"> of national ncome.</t>
    </r>
  </si>
  <si>
    <t>Before you click the button, a word of warning: you will be presented with a complicated sheet.</t>
  </si>
  <si>
    <t>Take a moment to scroll around. Click on a few cells to see if they have numbers or formulas.</t>
  </si>
  <si>
    <t>The steady-state is a crucial idea -- it tells us where the economy is tending and, once there, it will remain there. It's just like equilibrium.</t>
  </si>
  <si>
    <t>https://player.vimeo.com/video/238782395</t>
  </si>
  <si>
    <t>https://player.vimeo.com/video/238959182</t>
  </si>
  <si>
    <t>Click the link above if the button does not work.</t>
  </si>
  <si>
    <r>
      <rPr>
        <sz val="11"/>
        <color rgb="FFFF0000"/>
        <rFont val="Calibri"/>
        <family val="2"/>
        <scheme val="minor"/>
      </rPr>
      <t xml:space="preserve">As a workaround, click the URL under the button to watch the video in a browser. </t>
    </r>
    <r>
      <rPr>
        <sz val="11"/>
        <rFont val="Calibri"/>
        <family val="2"/>
        <scheme val="minor"/>
      </rPr>
      <t>You can resize and move the Excel and browser windows on your screen to see the video and sheet at the same time.</t>
    </r>
  </si>
  <si>
    <t>https://player.vimeo.com/video/238606237</t>
  </si>
  <si>
    <t>https://player.vimeo.com/video/239720469</t>
  </si>
  <si>
    <t>https://player.vimeo.com/video/240381464</t>
  </si>
  <si>
    <t>https://player.vimeo.com/video/240409378</t>
  </si>
  <si>
    <t xml:space="preserve">Click the links below </t>
  </si>
  <si>
    <t>the buttons if needed.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</si>
</sst>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_-* #,##0.00_-;\-* #,##0.00_-;_-* &quot;-&quot;??_-;_-@_-"/>
    <numFmt numFmtId="165" formatCode="_-* #,##0.00_-;_-* #,##0.00\-;_-* &quot;-&quot;??_-;_-@_-"/>
    <numFmt numFmtId="166" formatCode="0.0%"/>
    <numFmt numFmtId="167" formatCode="0.0000"/>
    <numFmt numFmtId="168" formatCode="0.0000000000"/>
    <numFmt numFmtId="169" formatCode="0.000%"/>
  </numFmts>
  <fonts count="65">
    <font>
      <sz val="10"/>
      <name val="Arial"/>
    </font>
    <font>
      <sz val="10"/>
      <name val="Arial"/>
      <family val="2"/>
    </font>
    <font>
      <sz val="10"/>
      <name val="Arial"/>
      <family val="2"/>
    </font>
    <font>
      <u/>
      <sz val="10"/>
      <color indexed="12"/>
      <name val="Arial"/>
      <family val="2"/>
    </font>
    <font>
      <sz val="12"/>
      <name val="Times New Roman"/>
      <family val="1"/>
    </font>
    <font>
      <sz val="9"/>
      <name val="Geneva"/>
      <family val="2"/>
    </font>
    <font>
      <u/>
      <sz val="9"/>
      <color indexed="12"/>
      <name val="Geneva"/>
      <family val="2"/>
    </font>
    <font>
      <b/>
      <sz val="9"/>
      <color indexed="17"/>
      <name val="Geneva"/>
      <family val="2"/>
    </font>
    <font>
      <b/>
      <sz val="9"/>
      <color indexed="17"/>
      <name val="Symbol"/>
      <family val="1"/>
      <charset val="2"/>
    </font>
    <font>
      <sz val="9"/>
      <color indexed="17"/>
      <name val="Geneva"/>
      <family val="2"/>
    </font>
    <font>
      <b/>
      <sz val="12"/>
      <color indexed="10"/>
      <name val="Geneva"/>
      <family val="2"/>
    </font>
    <font>
      <sz val="10"/>
      <name val="Symbol"/>
      <family val="1"/>
      <charset val="2"/>
    </font>
    <font>
      <b/>
      <sz val="9"/>
      <color indexed="17"/>
      <name val="Geneva"/>
    </font>
    <font>
      <sz val="11"/>
      <color theme="1"/>
      <name val="Calibri"/>
      <family val="2"/>
      <scheme val="minor"/>
    </font>
    <font>
      <sz val="10"/>
      <color rgb="FF000000"/>
      <name val="Arial"/>
      <family val="2"/>
    </font>
    <font>
      <sz val="11"/>
      <color rgb="FFFF0000"/>
      <name val="Calibri"/>
      <family val="2"/>
      <scheme val="minor"/>
    </font>
    <font>
      <sz val="11"/>
      <name val="Calibri"/>
      <family val="2"/>
      <scheme val="minor"/>
    </font>
    <font>
      <b/>
      <sz val="11"/>
      <color rgb="FFFF0000"/>
      <name val="Calibri"/>
      <family val="2"/>
      <scheme val="minor"/>
    </font>
    <font>
      <u/>
      <sz val="11"/>
      <color indexed="12"/>
      <name val="Calibri"/>
      <family val="2"/>
      <scheme val="minor"/>
    </font>
    <font>
      <i/>
      <sz val="11"/>
      <name val="Calibri"/>
      <family val="2"/>
      <scheme val="minor"/>
    </font>
    <font>
      <b/>
      <i/>
      <sz val="11"/>
      <name val="Calibri"/>
      <family val="2"/>
      <scheme val="minor"/>
    </font>
    <font>
      <b/>
      <sz val="11"/>
      <color rgb="FFC00000"/>
      <name val="Calibri"/>
      <family val="2"/>
      <scheme val="minor"/>
    </font>
    <font>
      <b/>
      <i/>
      <sz val="11"/>
      <color rgb="FFC00000"/>
      <name val="Calibri"/>
      <family val="2"/>
      <scheme val="minor"/>
    </font>
    <font>
      <sz val="11"/>
      <color indexed="8"/>
      <name val="Calibri"/>
      <family val="2"/>
      <scheme val="minor"/>
    </font>
    <font>
      <sz val="11"/>
      <color rgb="FF000000"/>
      <name val="Calibri"/>
      <family val="2"/>
      <scheme val="minor"/>
    </font>
    <font>
      <b/>
      <sz val="11"/>
      <name val="Calibri"/>
      <family val="2"/>
      <scheme val="minor"/>
    </font>
    <font>
      <b/>
      <sz val="11"/>
      <color indexed="17"/>
      <name val="Calibri"/>
      <family val="2"/>
      <scheme val="minor"/>
    </font>
    <font>
      <sz val="11"/>
      <color indexed="17"/>
      <name val="Calibri"/>
      <family val="2"/>
      <scheme val="minor"/>
    </font>
    <font>
      <b/>
      <sz val="11"/>
      <color rgb="FF0070C0"/>
      <name val="Calibri"/>
      <family val="2"/>
      <scheme val="minor"/>
    </font>
    <font>
      <sz val="11"/>
      <name val="Symbol"/>
      <family val="1"/>
      <charset val="2"/>
    </font>
    <font>
      <sz val="8"/>
      <color rgb="FF000000"/>
      <name val="Segoe UI"/>
      <family val="2"/>
    </font>
    <font>
      <b/>
      <sz val="12"/>
      <name val="Calibri"/>
      <family val="2"/>
      <scheme val="minor"/>
    </font>
    <font>
      <sz val="9"/>
      <name val="Geneva"/>
    </font>
    <font>
      <b/>
      <sz val="9"/>
      <color indexed="10"/>
      <name val="Geneva"/>
      <family val="2"/>
    </font>
    <font>
      <b/>
      <vertAlign val="superscript"/>
      <sz val="11"/>
      <name val="Calibri"/>
      <family val="2"/>
      <scheme val="minor"/>
    </font>
    <font>
      <sz val="11"/>
      <color indexed="9"/>
      <name val="Calibri"/>
      <family val="2"/>
      <scheme val="minor"/>
    </font>
    <font>
      <b/>
      <sz val="12"/>
      <color rgb="FFFF0000"/>
      <name val="Times"/>
      <family val="1"/>
    </font>
    <font>
      <sz val="12"/>
      <name val="Times"/>
      <family val="1"/>
    </font>
    <font>
      <i/>
      <sz val="12"/>
      <name val="Times"/>
      <family val="1"/>
    </font>
    <font>
      <i/>
      <sz val="12"/>
      <name val="Times"/>
    </font>
    <font>
      <i/>
      <sz val="12"/>
      <name val="Symbol"/>
      <family val="1"/>
      <charset val="2"/>
    </font>
    <font>
      <b/>
      <sz val="12"/>
      <name val="Times"/>
      <family val="1"/>
    </font>
    <font>
      <sz val="12"/>
      <color rgb="FFFF0000"/>
      <name val="Times"/>
      <family val="1"/>
    </font>
    <font>
      <i/>
      <vertAlign val="subscript"/>
      <sz val="12"/>
      <name val="Times"/>
      <family val="1"/>
    </font>
    <font>
      <vertAlign val="subscript"/>
      <sz val="12"/>
      <name val="Times"/>
      <family val="1"/>
    </font>
    <font>
      <i/>
      <sz val="12"/>
      <color indexed="10"/>
      <name val="Times"/>
      <family val="1"/>
    </font>
    <font>
      <sz val="12"/>
      <color indexed="10"/>
      <name val="Times"/>
      <family val="1"/>
    </font>
    <font>
      <b/>
      <i/>
      <sz val="12"/>
      <name val="Times"/>
      <family val="1"/>
    </font>
    <font>
      <sz val="9"/>
      <color indexed="8"/>
      <name val="Geneva"/>
      <family val="2"/>
    </font>
    <font>
      <sz val="9"/>
      <name val="Symbol"/>
      <family val="1"/>
      <charset val="2"/>
    </font>
    <font>
      <b/>
      <i/>
      <sz val="9"/>
      <color indexed="10"/>
      <name val="Geneva"/>
      <family val="2"/>
    </font>
    <font>
      <i/>
      <sz val="12"/>
      <name val="Times New Roman"/>
      <family val="1"/>
    </font>
    <font>
      <b/>
      <sz val="12"/>
      <color rgb="FFFF0000"/>
      <name val="Times"/>
    </font>
    <font>
      <sz val="10"/>
      <color indexed="9"/>
      <name val="Arial"/>
      <family val="2"/>
    </font>
    <font>
      <sz val="11"/>
      <color indexed="9"/>
      <name val="Symbol"/>
      <family val="1"/>
      <charset val="2"/>
    </font>
    <font>
      <b/>
      <sz val="11"/>
      <color indexed="17"/>
      <name val="Symbol"/>
      <family val="1"/>
      <charset val="2"/>
    </font>
    <font>
      <b/>
      <sz val="11"/>
      <name val="Symbol"/>
      <family val="1"/>
      <charset val="2"/>
    </font>
    <font>
      <sz val="12"/>
      <color rgb="FF000000"/>
      <name val="Charcoal"/>
    </font>
    <font>
      <b/>
      <sz val="12"/>
      <name val="Times"/>
    </font>
    <font>
      <i/>
      <sz val="11"/>
      <color rgb="FFFF0000"/>
      <name val="Calibri"/>
      <family val="2"/>
      <scheme val="minor"/>
    </font>
    <font>
      <sz val="11"/>
      <name val="Arial"/>
      <family val="2"/>
    </font>
    <font>
      <u/>
      <sz val="11"/>
      <color indexed="12"/>
      <name val="Arial"/>
      <family val="2"/>
    </font>
    <font>
      <i/>
      <sz val="11"/>
      <name val="Arial"/>
      <family val="2"/>
    </font>
    <font>
      <i/>
      <u/>
      <sz val="11"/>
      <color indexed="12"/>
      <name val="Calibri"/>
      <family val="2"/>
      <scheme val="minor"/>
    </font>
    <font>
      <sz val="7"/>
      <name val="Calibri"/>
      <family val="2"/>
      <scheme val="minor"/>
    </font>
  </fonts>
  <fills count="5">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7" tint="0.79998168889431442"/>
        <bgColor indexed="64"/>
      </patternFill>
    </fill>
  </fills>
  <borders count="29">
    <border>
      <left/>
      <right/>
      <top/>
      <bottom/>
      <diagonal/>
    </border>
    <border>
      <left/>
      <right/>
      <top/>
      <bottom style="medium">
        <color indexed="64"/>
      </bottom>
      <diagonal/>
    </border>
    <border>
      <left/>
      <right style="thick">
        <color indexed="64"/>
      </right>
      <top/>
      <bottom/>
      <diagonal/>
    </border>
    <border>
      <left/>
      <right style="medium">
        <color indexed="64"/>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thick">
        <color auto="1"/>
      </left>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auto="1"/>
      </left>
      <right/>
      <top/>
      <bottom/>
      <diagonal/>
    </border>
    <border>
      <left/>
      <right style="thin">
        <color auto="1"/>
      </right>
      <top/>
      <bottom/>
      <diagonal/>
    </border>
    <border>
      <left style="thick">
        <color auto="1"/>
      </left>
      <right style="thick">
        <color auto="1"/>
      </right>
      <top/>
      <bottom style="thick">
        <color auto="1"/>
      </bottom>
      <diagonal/>
    </border>
    <border>
      <left style="thin">
        <color auto="1"/>
      </left>
      <right/>
      <top/>
      <bottom style="thick">
        <color auto="1"/>
      </bottom>
      <diagonal/>
    </border>
    <border>
      <left/>
      <right style="thin">
        <color auto="1"/>
      </right>
      <top/>
      <bottom style="thick">
        <color auto="1"/>
      </bottom>
      <diagonal/>
    </border>
    <border>
      <left style="thick">
        <color auto="1"/>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s>
  <cellStyleXfs count="20">
    <xf numFmtId="0" fontId="0" fillId="0" borderId="0"/>
    <xf numFmtId="164" fontId="2" fillId="0" borderId="0" applyFont="0" applyFill="0" applyBorder="0" applyAlignment="0" applyProtection="0"/>
    <xf numFmtId="165" fontId="2" fillId="0" borderId="0" applyFont="0" applyFill="0" applyBorder="0" applyAlignment="0" applyProtection="0"/>
    <xf numFmtId="43" fontId="2" fillId="0" borderId="0" applyFont="0" applyFill="0" applyBorder="0" applyAlignment="0" applyProtection="0"/>
    <xf numFmtId="0" fontId="3" fillId="0" borderId="0" applyNumberFormat="0" applyFill="0" applyBorder="0" applyAlignment="0" applyProtection="0">
      <alignment vertical="top"/>
      <protection locked="0"/>
    </xf>
    <xf numFmtId="0" fontId="6" fillId="0" borderId="0" applyNumberFormat="0" applyFill="0" applyBorder="0" applyAlignment="0" applyProtection="0">
      <alignment vertical="top"/>
      <protection locked="0"/>
    </xf>
    <xf numFmtId="0" fontId="2" fillId="0" borderId="0"/>
    <xf numFmtId="0" fontId="5" fillId="0" borderId="0"/>
    <xf numFmtId="0" fontId="5" fillId="0" borderId="0"/>
    <xf numFmtId="0" fontId="13" fillId="0" borderId="0"/>
    <xf numFmtId="0" fontId="4" fillId="0" borderId="0"/>
    <xf numFmtId="9" fontId="1" fillId="0" borderId="0" applyFont="0" applyFill="0" applyBorder="0" applyAlignment="0" applyProtection="0"/>
    <xf numFmtId="9" fontId="2" fillId="0" borderId="0" applyFont="0" applyFill="0" applyBorder="0" applyAlignment="0" applyProtection="0"/>
    <xf numFmtId="9" fontId="5" fillId="0" borderId="0" applyFont="0" applyFill="0" applyBorder="0" applyAlignment="0" applyProtection="0"/>
    <xf numFmtId="9" fontId="4" fillId="0" borderId="0" applyFont="0" applyFill="0" applyBorder="0" applyAlignment="0" applyProtection="0"/>
    <xf numFmtId="0" fontId="2" fillId="0" borderId="0"/>
    <xf numFmtId="0" fontId="2" fillId="0" borderId="0"/>
    <xf numFmtId="0" fontId="32" fillId="0" borderId="0"/>
    <xf numFmtId="0" fontId="5" fillId="0" borderId="0"/>
    <xf numFmtId="9" fontId="1" fillId="0" borderId="0" applyFont="0" applyFill="0" applyBorder="0" applyAlignment="0" applyProtection="0"/>
  </cellStyleXfs>
  <cellXfs count="191">
    <xf numFmtId="0" fontId="0" fillId="0" borderId="0" xfId="0"/>
    <xf numFmtId="0" fontId="2" fillId="0" borderId="0" xfId="0" applyFont="1"/>
    <xf numFmtId="0" fontId="7" fillId="0" borderId="1" xfId="7" applyNumberFormat="1" applyFont="1" applyBorder="1"/>
    <xf numFmtId="0" fontId="7" fillId="0" borderId="0" xfId="7" applyNumberFormat="1" applyFont="1" applyBorder="1"/>
    <xf numFmtId="0" fontId="7" fillId="0" borderId="0" xfId="7" applyNumberFormat="1" applyFont="1" applyBorder="1" applyAlignment="1">
      <alignment horizontal="left"/>
    </xf>
    <xf numFmtId="0" fontId="5" fillId="0" borderId="0" xfId="7" applyNumberFormat="1"/>
    <xf numFmtId="0" fontId="5" fillId="0" borderId="0" xfId="7" applyFont="1" applyAlignment="1">
      <alignment horizontal="center"/>
    </xf>
    <xf numFmtId="0" fontId="5" fillId="0" borderId="1" xfId="7" applyNumberFormat="1" applyBorder="1" applyAlignment="1">
      <alignment horizontal="center"/>
    </xf>
    <xf numFmtId="0" fontId="7" fillId="0" borderId="1" xfId="7" applyNumberFormat="1" applyFont="1" applyBorder="1" applyAlignment="1">
      <alignment horizontal="center"/>
    </xf>
    <xf numFmtId="0" fontId="7" fillId="0" borderId="4" xfId="7" applyNumberFormat="1" applyFont="1" applyBorder="1" applyAlignment="1">
      <alignment horizontal="center"/>
    </xf>
    <xf numFmtId="0" fontId="9" fillId="0" borderId="7" xfId="7" applyNumberFormat="1" applyFont="1" applyBorder="1"/>
    <xf numFmtId="0" fontId="9" fillId="0" borderId="8" xfId="7" applyNumberFormat="1" applyFont="1" applyBorder="1"/>
    <xf numFmtId="0" fontId="7" fillId="0" borderId="9" xfId="7" applyNumberFormat="1" applyFont="1" applyFill="1" applyBorder="1" applyAlignment="1">
      <alignment horizontal="left"/>
    </xf>
    <xf numFmtId="0" fontId="7" fillId="0" borderId="3" xfId="7" applyNumberFormat="1" applyFont="1" applyBorder="1"/>
    <xf numFmtId="0" fontId="8" fillId="0" borderId="4" xfId="7" applyNumberFormat="1" applyFont="1" applyBorder="1" applyAlignment="1">
      <alignment horizontal="center"/>
    </xf>
    <xf numFmtId="0" fontId="7" fillId="0" borderId="0" xfId="7" applyNumberFormat="1" applyFont="1" applyBorder="1" applyAlignment="1">
      <alignment horizontal="center"/>
    </xf>
    <xf numFmtId="0" fontId="7" fillId="0" borderId="5" xfId="7" applyNumberFormat="1" applyFont="1" applyBorder="1"/>
    <xf numFmtId="0" fontId="7" fillId="0" borderId="6" xfId="7" applyNumberFormat="1" applyFont="1" applyBorder="1" applyAlignment="1">
      <alignment horizontal="center"/>
    </xf>
    <xf numFmtId="0" fontId="8" fillId="0" borderId="6" xfId="7" applyNumberFormat="1" applyFont="1" applyBorder="1" applyAlignment="1">
      <alignment horizontal="center"/>
    </xf>
    <xf numFmtId="0" fontId="9" fillId="0" borderId="5" xfId="7" applyNumberFormat="1" applyFont="1" applyBorder="1"/>
    <xf numFmtId="0" fontId="7" fillId="0" borderId="8" xfId="7" applyNumberFormat="1" applyFont="1" applyBorder="1" applyAlignment="1">
      <alignment horizontal="center"/>
    </xf>
    <xf numFmtId="0" fontId="7" fillId="0" borderId="7" xfId="7" applyNumberFormat="1" applyFont="1" applyBorder="1"/>
    <xf numFmtId="0" fontId="7" fillId="0" borderId="8" xfId="7" applyNumberFormat="1" applyFont="1" applyBorder="1"/>
    <xf numFmtId="0" fontId="5" fillId="0" borderId="10" xfId="7" applyNumberFormat="1" applyBorder="1"/>
    <xf numFmtId="0" fontId="5" fillId="0" borderId="11" xfId="7" applyNumberFormat="1" applyBorder="1"/>
    <xf numFmtId="0" fontId="7" fillId="0" borderId="12" xfId="7" applyNumberFormat="1" applyFont="1" applyBorder="1"/>
    <xf numFmtId="0" fontId="10" fillId="0" borderId="0" xfId="7" applyNumberFormat="1" applyFont="1" applyAlignment="1">
      <alignment vertical="center"/>
    </xf>
    <xf numFmtId="0" fontId="12" fillId="0" borderId="1" xfId="7" applyNumberFormat="1" applyFont="1" applyBorder="1" applyAlignment="1">
      <alignment horizontal="center"/>
    </xf>
    <xf numFmtId="0" fontId="12" fillId="0" borderId="3" xfId="7" applyNumberFormat="1" applyFont="1" applyBorder="1" applyAlignment="1">
      <alignment horizontal="center"/>
    </xf>
    <xf numFmtId="0" fontId="2" fillId="0" borderId="0" xfId="0" applyFont="1" applyAlignment="1">
      <alignment horizontal="center"/>
    </xf>
    <xf numFmtId="0" fontId="0" fillId="0" borderId="0" xfId="0" applyAlignment="1">
      <alignment horizontal="center"/>
    </xf>
    <xf numFmtId="0" fontId="2" fillId="0" borderId="1" xfId="0" applyFont="1" applyBorder="1" applyAlignment="1">
      <alignment horizontal="center"/>
    </xf>
    <xf numFmtId="166" fontId="0" fillId="0" borderId="0" xfId="11" applyNumberFormat="1" applyFont="1" applyAlignment="1">
      <alignment horizontal="center"/>
    </xf>
    <xf numFmtId="10" fontId="0" fillId="0" borderId="0" xfId="11" applyNumberFormat="1" applyFont="1" applyAlignment="1">
      <alignment horizontal="center"/>
    </xf>
    <xf numFmtId="0" fontId="7" fillId="0" borderId="12" xfId="7" applyNumberFormat="1" applyFont="1" applyBorder="1" applyAlignment="1">
      <alignment horizontal="center"/>
    </xf>
    <xf numFmtId="0" fontId="7" fillId="0" borderId="11" xfId="7" applyNumberFormat="1" applyFont="1" applyBorder="1" applyAlignment="1">
      <alignment horizontal="center"/>
    </xf>
    <xf numFmtId="0" fontId="7" fillId="0" borderId="11" xfId="7" applyNumberFormat="1" applyFont="1" applyBorder="1" applyAlignment="1">
      <alignment horizontal="left"/>
    </xf>
    <xf numFmtId="0" fontId="7" fillId="0" borderId="10" xfId="7" applyNumberFormat="1" applyFont="1" applyBorder="1" applyAlignment="1">
      <alignment horizontal="center"/>
    </xf>
    <xf numFmtId="0" fontId="8" fillId="0" borderId="12" xfId="7" applyNumberFormat="1" applyFont="1" applyBorder="1" applyAlignment="1">
      <alignment horizontal="center"/>
    </xf>
    <xf numFmtId="0" fontId="2" fillId="0" borderId="0" xfId="0" applyFont="1" applyAlignment="1">
      <alignment horizontal="left"/>
    </xf>
    <xf numFmtId="0" fontId="16" fillId="0" borderId="0" xfId="0" applyFont="1"/>
    <xf numFmtId="0" fontId="15" fillId="0" borderId="0" xfId="0" applyFont="1"/>
    <xf numFmtId="0" fontId="18" fillId="0" borderId="0" xfId="5" applyFont="1" applyAlignment="1" applyProtection="1"/>
    <xf numFmtId="0" fontId="18" fillId="0" borderId="0" xfId="4" applyFont="1" applyAlignment="1" applyProtection="1"/>
    <xf numFmtId="0" fontId="16" fillId="0" borderId="0" xfId="0" applyFont="1" applyAlignment="1">
      <alignment horizontal="center"/>
    </xf>
    <xf numFmtId="0" fontId="17" fillId="0" borderId="0" xfId="0" applyFont="1"/>
    <xf numFmtId="0" fontId="23" fillId="0" borderId="12" xfId="0" applyFont="1" applyBorder="1" applyAlignment="1">
      <alignment horizontal="center"/>
    </xf>
    <xf numFmtId="0" fontId="23" fillId="0" borderId="22" xfId="0" applyFont="1" applyBorder="1" applyAlignment="1">
      <alignment horizontal="center" vertical="center"/>
    </xf>
    <xf numFmtId="0" fontId="23" fillId="0" borderId="11" xfId="0" applyFont="1" applyBorder="1" applyAlignment="1">
      <alignment horizontal="center" vertical="center"/>
    </xf>
    <xf numFmtId="0" fontId="23" fillId="0" borderId="10" xfId="0" applyFont="1" applyBorder="1" applyAlignment="1">
      <alignment horizontal="center" vertical="center" wrapText="1"/>
    </xf>
    <xf numFmtId="0" fontId="24" fillId="0" borderId="13" xfId="0" applyFont="1" applyFill="1" applyBorder="1" applyAlignment="1">
      <alignment horizontal="center"/>
    </xf>
    <xf numFmtId="9" fontId="24" fillId="0" borderId="13" xfId="0" applyNumberFormat="1" applyFont="1" applyFill="1" applyBorder="1" applyAlignment="1">
      <alignment horizontal="center"/>
    </xf>
    <xf numFmtId="9" fontId="24" fillId="0" borderId="17" xfId="0" applyNumberFormat="1" applyFont="1" applyFill="1" applyBorder="1" applyAlignment="1">
      <alignment horizontal="center"/>
    </xf>
    <xf numFmtId="9" fontId="16" fillId="0" borderId="0" xfId="11" applyFont="1" applyFill="1" applyBorder="1" applyAlignment="1">
      <alignment horizontal="center"/>
    </xf>
    <xf numFmtId="9" fontId="16" fillId="0" borderId="18" xfId="0" applyNumberFormat="1" applyFont="1" applyFill="1" applyBorder="1" applyAlignment="1">
      <alignment horizontal="center"/>
    </xf>
    <xf numFmtId="9" fontId="24" fillId="0" borderId="2" xfId="0" applyNumberFormat="1" applyFont="1" applyFill="1" applyBorder="1" applyAlignment="1">
      <alignment horizontal="center"/>
    </xf>
    <xf numFmtId="9" fontId="16" fillId="0" borderId="18" xfId="11" applyFont="1" applyFill="1" applyBorder="1" applyAlignment="1">
      <alignment horizontal="center"/>
    </xf>
    <xf numFmtId="0" fontId="24" fillId="0" borderId="19" xfId="0" applyFont="1" applyFill="1" applyBorder="1" applyAlignment="1">
      <alignment horizontal="center"/>
    </xf>
    <xf numFmtId="9" fontId="24" fillId="0" borderId="14" xfId="0" applyNumberFormat="1" applyFont="1" applyFill="1" applyBorder="1" applyAlignment="1">
      <alignment horizontal="center"/>
    </xf>
    <xf numFmtId="9" fontId="24" fillId="0" borderId="20" xfId="0" applyNumberFormat="1" applyFont="1" applyFill="1" applyBorder="1" applyAlignment="1">
      <alignment horizontal="center"/>
    </xf>
    <xf numFmtId="9" fontId="16" fillId="0" borderId="15" xfId="11" applyFont="1" applyFill="1" applyBorder="1" applyAlignment="1">
      <alignment horizontal="center"/>
    </xf>
    <xf numFmtId="9" fontId="16" fillId="0" borderId="21" xfId="0" applyNumberFormat="1" applyFont="1" applyFill="1" applyBorder="1" applyAlignment="1">
      <alignment horizontal="center"/>
    </xf>
    <xf numFmtId="9" fontId="24" fillId="0" borderId="16" xfId="0" applyNumberFormat="1" applyFont="1" applyFill="1" applyBorder="1" applyAlignment="1">
      <alignment horizontal="center"/>
    </xf>
    <xf numFmtId="0" fontId="25" fillId="0" borderId="13" xfId="0" applyFont="1" applyFill="1" applyBorder="1"/>
    <xf numFmtId="0" fontId="25" fillId="0" borderId="13" xfId="0" applyFont="1" applyFill="1" applyBorder="1" applyAlignment="1">
      <alignment horizontal="center" vertical="center" wrapText="1"/>
    </xf>
    <xf numFmtId="0" fontId="25" fillId="0" borderId="0" xfId="0" applyFont="1" applyFill="1" applyBorder="1" applyAlignment="1">
      <alignment horizontal="center" vertical="center" wrapText="1"/>
    </xf>
    <xf numFmtId="0" fontId="25" fillId="0" borderId="2" xfId="0" applyFont="1" applyFill="1" applyBorder="1" applyAlignment="1">
      <alignment horizontal="center" vertical="center" wrapText="1"/>
    </xf>
    <xf numFmtId="0" fontId="25" fillId="0" borderId="14" xfId="0" applyFont="1" applyFill="1" applyBorder="1" applyAlignment="1">
      <alignment horizontal="center" vertical="center" wrapText="1"/>
    </xf>
    <xf numFmtId="0" fontId="25" fillId="0" borderId="15" xfId="0" applyFont="1" applyFill="1" applyBorder="1" applyAlignment="1">
      <alignment horizontal="center" vertical="center" wrapText="1"/>
    </xf>
    <xf numFmtId="0" fontId="16" fillId="0" borderId="13" xfId="0" applyFont="1" applyFill="1" applyBorder="1" applyAlignment="1">
      <alignment horizontal="center"/>
    </xf>
    <xf numFmtId="166" fontId="16" fillId="0" borderId="13" xfId="0" applyNumberFormat="1" applyFont="1" applyFill="1" applyBorder="1" applyAlignment="1">
      <alignment horizontal="center"/>
    </xf>
    <xf numFmtId="166" fontId="16" fillId="0" borderId="0" xfId="0" applyNumberFormat="1" applyFont="1" applyFill="1" applyBorder="1" applyAlignment="1">
      <alignment horizontal="center"/>
    </xf>
    <xf numFmtId="166" fontId="16" fillId="0" borderId="2" xfId="0" applyNumberFormat="1" applyFont="1" applyFill="1" applyBorder="1" applyAlignment="1">
      <alignment horizontal="center"/>
    </xf>
    <xf numFmtId="9" fontId="16" fillId="0" borderId="13" xfId="0" applyNumberFormat="1" applyFont="1" applyFill="1" applyBorder="1" applyAlignment="1">
      <alignment horizontal="center"/>
    </xf>
    <xf numFmtId="9" fontId="16" fillId="0" borderId="0" xfId="0" applyNumberFormat="1" applyFont="1" applyFill="1" applyBorder="1" applyAlignment="1">
      <alignment horizontal="center"/>
    </xf>
    <xf numFmtId="9" fontId="16" fillId="0" borderId="2" xfId="0" applyNumberFormat="1" applyFont="1" applyFill="1" applyBorder="1" applyAlignment="1">
      <alignment horizontal="center"/>
    </xf>
    <xf numFmtId="166" fontId="16" fillId="0" borderId="0" xfId="15" applyNumberFormat="1" applyFont="1" applyFill="1" applyBorder="1" applyAlignment="1">
      <alignment horizontal="center"/>
    </xf>
    <xf numFmtId="166" fontId="16" fillId="0" borderId="2" xfId="15" applyNumberFormat="1" applyFont="1" applyFill="1" applyBorder="1" applyAlignment="1">
      <alignment horizontal="center"/>
    </xf>
    <xf numFmtId="166" fontId="16" fillId="0" borderId="0" xfId="16" applyNumberFormat="1" applyFont="1" applyFill="1" applyBorder="1" applyAlignment="1" applyProtection="1">
      <alignment horizontal="center"/>
      <protection locked="0"/>
    </xf>
    <xf numFmtId="0" fontId="16" fillId="0" borderId="14" xfId="0" applyFont="1" applyFill="1" applyBorder="1" applyAlignment="1">
      <alignment horizontal="center"/>
    </xf>
    <xf numFmtId="166" fontId="16" fillId="0" borderId="14" xfId="0" applyNumberFormat="1" applyFont="1" applyFill="1" applyBorder="1" applyAlignment="1">
      <alignment horizontal="center"/>
    </xf>
    <xf numFmtId="166" fontId="16" fillId="0" borderId="15" xfId="0" applyNumberFormat="1" applyFont="1" applyFill="1" applyBorder="1" applyAlignment="1">
      <alignment horizontal="center"/>
    </xf>
    <xf numFmtId="166" fontId="16" fillId="0" borderId="16" xfId="0" applyNumberFormat="1" applyFont="1" applyFill="1" applyBorder="1" applyAlignment="1">
      <alignment horizontal="center"/>
    </xf>
    <xf numFmtId="166" fontId="16" fillId="0" borderId="15" xfId="16" applyNumberFormat="1" applyFont="1" applyFill="1" applyBorder="1" applyAlignment="1" applyProtection="1">
      <alignment horizontal="center"/>
      <protection locked="0"/>
    </xf>
    <xf numFmtId="0" fontId="26" fillId="0" borderId="6" xfId="7" applyNumberFormat="1" applyFont="1" applyBorder="1" applyAlignment="1">
      <alignment horizontal="center"/>
    </xf>
    <xf numFmtId="0" fontId="26" fillId="0" borderId="0" xfId="7" applyNumberFormat="1" applyFont="1" applyBorder="1" applyAlignment="1">
      <alignment horizontal="center"/>
    </xf>
    <xf numFmtId="0" fontId="26" fillId="0" borderId="0" xfId="7" applyNumberFormat="1" applyFont="1" applyBorder="1" applyAlignment="1">
      <alignment horizontal="left"/>
    </xf>
    <xf numFmtId="0" fontId="27" fillId="0" borderId="5" xfId="7" applyNumberFormat="1" applyFont="1" applyBorder="1"/>
    <xf numFmtId="0" fontId="26" fillId="0" borderId="0" xfId="7" applyNumberFormat="1" applyFont="1" applyBorder="1"/>
    <xf numFmtId="0" fontId="26" fillId="0" borderId="5" xfId="7" applyNumberFormat="1" applyFont="1" applyBorder="1"/>
    <xf numFmtId="0" fontId="26" fillId="0" borderId="1" xfId="7" applyNumberFormat="1" applyFont="1" applyBorder="1" applyAlignment="1">
      <alignment horizontal="center"/>
    </xf>
    <xf numFmtId="0" fontId="26" fillId="0" borderId="1" xfId="7" applyNumberFormat="1" applyFont="1" applyBorder="1"/>
    <xf numFmtId="0" fontId="26" fillId="0" borderId="3" xfId="7" applyNumberFormat="1" applyFont="1" applyBorder="1"/>
    <xf numFmtId="0" fontId="28" fillId="0" borderId="9" xfId="0" applyFont="1" applyBorder="1"/>
    <xf numFmtId="0" fontId="28" fillId="0" borderId="7" xfId="0" applyFont="1" applyBorder="1"/>
    <xf numFmtId="0" fontId="28" fillId="0" borderId="4" xfId="0" applyFont="1" applyBorder="1" applyAlignment="1">
      <alignment horizontal="center"/>
    </xf>
    <xf numFmtId="10" fontId="28" fillId="0" borderId="3" xfId="11" applyNumberFormat="1" applyFont="1" applyBorder="1" applyAlignment="1">
      <alignment horizontal="center"/>
    </xf>
    <xf numFmtId="0" fontId="25" fillId="0" borderId="0" xfId="0" applyFont="1" applyBorder="1" applyAlignment="1">
      <alignment horizontal="center"/>
    </xf>
    <xf numFmtId="0" fontId="16" fillId="0" borderId="1" xfId="7" applyNumberFormat="1" applyFont="1" applyBorder="1" applyAlignment="1">
      <alignment horizontal="center"/>
    </xf>
    <xf numFmtId="0" fontId="16" fillId="0" borderId="1" xfId="0" applyFont="1" applyBorder="1" applyAlignment="1">
      <alignment horizontal="center"/>
    </xf>
    <xf numFmtId="10" fontId="16" fillId="0" borderId="0" xfId="11" applyNumberFormat="1" applyFont="1" applyAlignment="1">
      <alignment horizontal="center"/>
    </xf>
    <xf numFmtId="10" fontId="16" fillId="0" borderId="0" xfId="11" applyNumberFormat="1" applyFont="1"/>
    <xf numFmtId="0" fontId="18" fillId="0" borderId="0" xfId="4" applyFont="1" applyAlignment="1" applyProtection="1">
      <alignment horizontal="center"/>
    </xf>
    <xf numFmtId="9" fontId="16" fillId="0" borderId="0" xfId="0" applyNumberFormat="1" applyFont="1"/>
    <xf numFmtId="0" fontId="16" fillId="2" borderId="23" xfId="0" applyFont="1" applyFill="1" applyBorder="1" applyAlignment="1">
      <alignment horizontal="center"/>
    </xf>
    <xf numFmtId="0" fontId="16" fillId="2" borderId="24" xfId="0" applyFont="1" applyFill="1" applyBorder="1" applyAlignment="1">
      <alignment horizontal="center"/>
    </xf>
    <xf numFmtId="0" fontId="16" fillId="2" borderId="0" xfId="0" applyFont="1" applyFill="1"/>
    <xf numFmtId="0" fontId="25" fillId="2" borderId="15" xfId="0" applyFont="1" applyFill="1" applyBorder="1" applyAlignment="1">
      <alignment horizontal="center" vertical="center" wrapText="1"/>
    </xf>
    <xf numFmtId="0" fontId="25" fillId="2" borderId="16" xfId="0" applyFont="1" applyFill="1" applyBorder="1" applyAlignment="1">
      <alignment horizontal="center" vertical="center" wrapText="1"/>
    </xf>
    <xf numFmtId="0" fontId="25" fillId="2" borderId="14" xfId="0" applyFont="1" applyFill="1" applyBorder="1" applyAlignment="1">
      <alignment horizontal="center" vertical="center" wrapText="1"/>
    </xf>
    <xf numFmtId="0" fontId="3" fillId="0" borderId="0" xfId="4" applyAlignment="1" applyProtection="1"/>
    <xf numFmtId="0" fontId="16" fillId="2" borderId="25" xfId="0" applyFont="1" applyFill="1" applyBorder="1" applyAlignment="1">
      <alignment horizontal="center"/>
    </xf>
    <xf numFmtId="0" fontId="16" fillId="3" borderId="0" xfId="0" applyFont="1" applyFill="1"/>
    <xf numFmtId="0" fontId="25" fillId="0" borderId="0" xfId="0" applyFont="1"/>
    <xf numFmtId="0" fontId="31" fillId="0" borderId="0" xfId="0" applyFont="1"/>
    <xf numFmtId="0" fontId="16" fillId="0" borderId="0" xfId="0" applyFont="1" applyFill="1" applyBorder="1" applyAlignment="1">
      <alignment horizontal="center"/>
    </xf>
    <xf numFmtId="0" fontId="16" fillId="0" borderId="0" xfId="17" applyFont="1"/>
    <xf numFmtId="0" fontId="25" fillId="0" borderId="0" xfId="17" applyFont="1"/>
    <xf numFmtId="0" fontId="35" fillId="0" borderId="0" xfId="17" applyFont="1"/>
    <xf numFmtId="0" fontId="36" fillId="0" borderId="0" xfId="7" applyFont="1" applyAlignment="1">
      <alignment vertical="center"/>
    </xf>
    <xf numFmtId="0" fontId="37" fillId="0" borderId="0" xfId="7" applyFont="1" applyAlignment="1">
      <alignment vertical="center"/>
    </xf>
    <xf numFmtId="0" fontId="41" fillId="0" borderId="0" xfId="7" applyFont="1" applyAlignment="1">
      <alignment vertical="center"/>
    </xf>
    <xf numFmtId="0" fontId="42" fillId="0" borderId="0" xfId="7" applyFont="1" applyAlignment="1">
      <alignment vertical="center"/>
    </xf>
    <xf numFmtId="0" fontId="4" fillId="0" borderId="0" xfId="7" applyFont="1" applyAlignment="1">
      <alignment vertical="center"/>
    </xf>
    <xf numFmtId="0" fontId="7" fillId="0" borderId="9" xfId="18" applyNumberFormat="1" applyFont="1" applyBorder="1"/>
    <xf numFmtId="0" fontId="7" fillId="0" borderId="8" xfId="18" applyNumberFormat="1" applyFont="1" applyBorder="1"/>
    <xf numFmtId="0" fontId="7" fillId="0" borderId="7" xfId="18" applyNumberFormat="1" applyFont="1" applyBorder="1"/>
    <xf numFmtId="0" fontId="5" fillId="0" borderId="0" xfId="18" applyNumberFormat="1"/>
    <xf numFmtId="0" fontId="7" fillId="0" borderId="6" xfId="18" applyNumberFormat="1" applyFont="1" applyBorder="1" applyAlignment="1">
      <alignment horizontal="center"/>
    </xf>
    <xf numFmtId="0" fontId="7" fillId="0" borderId="0" xfId="18" applyNumberFormat="1" applyFont="1" applyBorder="1" applyAlignment="1">
      <alignment horizontal="center"/>
    </xf>
    <xf numFmtId="0" fontId="7" fillId="0" borderId="0" xfId="18" applyNumberFormat="1" applyFont="1" applyBorder="1"/>
    <xf numFmtId="0" fontId="7" fillId="0" borderId="5" xfId="18" applyNumberFormat="1" applyFont="1" applyBorder="1"/>
    <xf numFmtId="0" fontId="8" fillId="0" borderId="6" xfId="18" applyNumberFormat="1" applyFont="1" applyBorder="1" applyAlignment="1">
      <alignment horizontal="center"/>
    </xf>
    <xf numFmtId="0" fontId="8" fillId="0" borderId="4" xfId="18" applyNumberFormat="1" applyFont="1" applyBorder="1" applyAlignment="1">
      <alignment horizontal="center"/>
    </xf>
    <xf numFmtId="0" fontId="7" fillId="0" borderId="1" xfId="18" applyNumberFormat="1" applyFont="1" applyBorder="1" applyAlignment="1">
      <alignment horizontal="center"/>
    </xf>
    <xf numFmtId="0" fontId="7" fillId="0" borderId="3" xfId="18" applyNumberFormat="1" applyFont="1" applyBorder="1"/>
    <xf numFmtId="0" fontId="48" fillId="0" borderId="0" xfId="18" applyNumberFormat="1" applyFont="1" applyAlignment="1">
      <alignment horizontal="center"/>
    </xf>
    <xf numFmtId="167" fontId="48" fillId="0" borderId="0" xfId="18" applyNumberFormat="1" applyFont="1" applyAlignment="1">
      <alignment horizontal="center"/>
    </xf>
    <xf numFmtId="10" fontId="48" fillId="0" borderId="0" xfId="19" applyNumberFormat="1" applyFont="1" applyAlignment="1">
      <alignment horizontal="center"/>
    </xf>
    <xf numFmtId="0" fontId="48" fillId="0" borderId="0" xfId="18" applyNumberFormat="1" applyFont="1" applyAlignment="1">
      <alignment horizontal="left"/>
    </xf>
    <xf numFmtId="0" fontId="5" fillId="0" borderId="0" xfId="18" applyNumberFormat="1" applyAlignment="1">
      <alignment horizontal="center"/>
    </xf>
    <xf numFmtId="10" fontId="48" fillId="0" borderId="0" xfId="18" applyNumberFormat="1" applyFont="1" applyAlignment="1">
      <alignment horizontal="center"/>
    </xf>
    <xf numFmtId="0" fontId="48" fillId="0" borderId="0" xfId="18" applyNumberFormat="1" applyFont="1" applyBorder="1" applyAlignment="1">
      <alignment horizontal="left"/>
    </xf>
    <xf numFmtId="0" fontId="5" fillId="0" borderId="0" xfId="18" applyNumberFormat="1" applyBorder="1" applyAlignment="1">
      <alignment horizontal="center"/>
    </xf>
    <xf numFmtId="0" fontId="48" fillId="0" borderId="0" xfId="18" applyNumberFormat="1" applyFont="1" applyBorder="1" applyAlignment="1">
      <alignment horizontal="center"/>
    </xf>
    <xf numFmtId="10" fontId="48" fillId="0" borderId="0" xfId="18" applyNumberFormat="1" applyFont="1" applyBorder="1" applyAlignment="1">
      <alignment horizontal="center"/>
    </xf>
    <xf numFmtId="0" fontId="37" fillId="0" borderId="0" xfId="7" applyFont="1" applyBorder="1" applyAlignment="1">
      <alignment horizontal="center" vertical="center"/>
    </xf>
    <xf numFmtId="0" fontId="37" fillId="0" borderId="0" xfId="7" applyFont="1" applyBorder="1" applyAlignment="1">
      <alignment vertical="center"/>
    </xf>
    <xf numFmtId="167" fontId="48" fillId="0" borderId="0" xfId="18" applyNumberFormat="1" applyFont="1" applyBorder="1" applyAlignment="1">
      <alignment horizontal="center"/>
    </xf>
    <xf numFmtId="168" fontId="48" fillId="0" borderId="0" xfId="18" applyNumberFormat="1" applyFont="1" applyBorder="1" applyAlignment="1">
      <alignment horizontal="center"/>
    </xf>
    <xf numFmtId="0" fontId="49" fillId="0" borderId="0" xfId="18" applyNumberFormat="1" applyFont="1" applyBorder="1" applyAlignment="1">
      <alignment horizontal="left"/>
    </xf>
    <xf numFmtId="169" fontId="48" fillId="0" borderId="0" xfId="13" applyNumberFormat="1" applyFont="1" applyBorder="1" applyAlignment="1">
      <alignment horizontal="center"/>
    </xf>
    <xf numFmtId="0" fontId="33" fillId="0" borderId="0" xfId="18" applyNumberFormat="1" applyFont="1" applyAlignment="1">
      <alignment horizontal="left"/>
    </xf>
    <xf numFmtId="0" fontId="37" fillId="2" borderId="0" xfId="7" applyFont="1" applyFill="1" applyAlignment="1">
      <alignment vertical="center"/>
    </xf>
    <xf numFmtId="0" fontId="3" fillId="2" borderId="0" xfId="4" applyFill="1" applyAlignment="1" applyProtection="1">
      <alignment vertical="center"/>
    </xf>
    <xf numFmtId="0" fontId="52" fillId="0" borderId="0" xfId="7" applyFont="1" applyAlignment="1">
      <alignment vertical="center"/>
    </xf>
    <xf numFmtId="0" fontId="17" fillId="0" borderId="0" xfId="17" applyFont="1"/>
    <xf numFmtId="0" fontId="37" fillId="4" borderId="0" xfId="7" applyFont="1" applyFill="1" applyAlignment="1">
      <alignment vertical="center"/>
    </xf>
    <xf numFmtId="0" fontId="1" fillId="0" borderId="0" xfId="0" applyFont="1" applyAlignment="1">
      <alignment horizontal="center"/>
    </xf>
    <xf numFmtId="0" fontId="16" fillId="0" borderId="0" xfId="17" applyFont="1" applyAlignment="1">
      <alignment horizontal="left"/>
    </xf>
    <xf numFmtId="0" fontId="16" fillId="0" borderId="0" xfId="17" applyFont="1" applyAlignment="1">
      <alignment horizontal="center"/>
    </xf>
    <xf numFmtId="0" fontId="35" fillId="0" borderId="0" xfId="17" applyFont="1" applyFill="1"/>
    <xf numFmtId="0" fontId="53" fillId="0" borderId="0" xfId="0" applyFont="1"/>
    <xf numFmtId="0" fontId="53" fillId="0" borderId="1" xfId="0" applyFont="1" applyBorder="1" applyAlignment="1">
      <alignment horizontal="center"/>
    </xf>
    <xf numFmtId="0" fontId="35" fillId="0" borderId="1" xfId="17" applyFont="1" applyBorder="1" applyAlignment="1">
      <alignment horizontal="center"/>
    </xf>
    <xf numFmtId="0" fontId="53" fillId="0" borderId="0" xfId="0" applyFont="1" applyAlignment="1">
      <alignment horizontal="center"/>
    </xf>
    <xf numFmtId="0" fontId="35" fillId="0" borderId="0" xfId="17" applyFont="1" applyAlignment="1">
      <alignment horizontal="center"/>
    </xf>
    <xf numFmtId="2" fontId="16" fillId="0" borderId="0" xfId="17" applyNumberFormat="1" applyFont="1" applyAlignment="1">
      <alignment horizontal="center"/>
    </xf>
    <xf numFmtId="10" fontId="35" fillId="0" borderId="0" xfId="11" applyNumberFormat="1" applyFont="1" applyAlignment="1">
      <alignment horizontal="center"/>
    </xf>
    <xf numFmtId="2" fontId="35" fillId="0" borderId="0" xfId="17" applyNumberFormat="1" applyFont="1" applyAlignment="1">
      <alignment horizontal="center"/>
    </xf>
    <xf numFmtId="0" fontId="55" fillId="0" borderId="6" xfId="7" applyNumberFormat="1" applyFont="1" applyBorder="1" applyAlignment="1">
      <alignment horizontal="center"/>
    </xf>
    <xf numFmtId="0" fontId="55" fillId="0" borderId="4" xfId="7" applyNumberFormat="1" applyFont="1" applyBorder="1" applyAlignment="1">
      <alignment horizontal="center"/>
    </xf>
    <xf numFmtId="0" fontId="56" fillId="0" borderId="1" xfId="0" applyFont="1" applyBorder="1" applyAlignment="1">
      <alignment horizontal="center"/>
    </xf>
    <xf numFmtId="0" fontId="25" fillId="2" borderId="0" xfId="0" applyFont="1" applyFill="1" applyAlignment="1">
      <alignment horizontal="center"/>
    </xf>
    <xf numFmtId="0" fontId="16" fillId="0" borderId="0" xfId="0" quotePrefix="1" applyFont="1" applyAlignment="1">
      <alignment horizontal="center"/>
    </xf>
    <xf numFmtId="0" fontId="9" fillId="0" borderId="6" xfId="18" applyNumberFormat="1" applyFont="1" applyBorder="1" applyAlignment="1">
      <alignment horizontal="center"/>
    </xf>
    <xf numFmtId="0" fontId="9" fillId="0" borderId="0" xfId="18" applyNumberFormat="1" applyFont="1" applyBorder="1" applyAlignment="1">
      <alignment horizontal="center"/>
    </xf>
    <xf numFmtId="0" fontId="9" fillId="0" borderId="5" xfId="18" applyNumberFormat="1" applyFont="1" applyBorder="1" applyAlignment="1">
      <alignment horizontal="center"/>
    </xf>
    <xf numFmtId="0" fontId="25" fillId="2" borderId="0" xfId="7" applyNumberFormat="1" applyFont="1" applyFill="1" applyAlignment="1">
      <alignment vertical="center"/>
    </xf>
    <xf numFmtId="0" fontId="0" fillId="0" borderId="5" xfId="0" applyBorder="1"/>
    <xf numFmtId="0" fontId="16" fillId="0" borderId="5" xfId="0" applyFont="1" applyBorder="1"/>
    <xf numFmtId="0" fontId="26" fillId="0" borderId="26" xfId="7" applyNumberFormat="1" applyFont="1" applyBorder="1"/>
    <xf numFmtId="0" fontId="16" fillId="0" borderId="27" xfId="7" applyNumberFormat="1" applyFont="1" applyBorder="1"/>
    <xf numFmtId="0" fontId="16" fillId="0" borderId="28" xfId="7" applyNumberFormat="1" applyFont="1" applyBorder="1"/>
    <xf numFmtId="0" fontId="59" fillId="0" borderId="0" xfId="0" applyFont="1"/>
    <xf numFmtId="0" fontId="60" fillId="0" borderId="0" xfId="0" applyFont="1"/>
    <xf numFmtId="0" fontId="61" fillId="0" borderId="0" xfId="4" applyFont="1" applyAlignment="1" applyProtection="1"/>
    <xf numFmtId="0" fontId="16" fillId="4" borderId="0" xfId="0" applyFont="1" applyFill="1"/>
    <xf numFmtId="0" fontId="16" fillId="0" borderId="0" xfId="0" applyFont="1" applyAlignment="1">
      <alignment vertical="top"/>
    </xf>
    <xf numFmtId="0" fontId="64" fillId="0" borderId="0" xfId="0" applyFont="1"/>
    <xf numFmtId="0" fontId="3" fillId="2" borderId="0" xfId="4" applyFill="1" applyAlignment="1" applyProtection="1">
      <alignment horizontal="center" vertical="center"/>
    </xf>
  </cellXfs>
  <cellStyles count="20">
    <cellStyle name="Comma 2" xfId="1" xr:uid="{00000000-0005-0000-0000-000000000000}"/>
    <cellStyle name="Comma 3" xfId="2" xr:uid="{00000000-0005-0000-0000-000001000000}"/>
    <cellStyle name="Comma 4" xfId="3" xr:uid="{00000000-0005-0000-0000-000002000000}"/>
    <cellStyle name="Hyperlink" xfId="4" builtinId="8"/>
    <cellStyle name="Hyperlink 2" xfId="5" xr:uid="{00000000-0005-0000-0000-000004000000}"/>
    <cellStyle name="Normal" xfId="0" builtinId="0"/>
    <cellStyle name="Normal 2" xfId="6" xr:uid="{00000000-0005-0000-0000-000006000000}"/>
    <cellStyle name="Normal 2 2" xfId="7" xr:uid="{00000000-0005-0000-0000-000007000000}"/>
    <cellStyle name="Normal 3" xfId="8" xr:uid="{00000000-0005-0000-0000-000008000000}"/>
    <cellStyle name="Normal 4" xfId="9" xr:uid="{00000000-0005-0000-0000-000009000000}"/>
    <cellStyle name="Normal 5" xfId="10" xr:uid="{00000000-0005-0000-0000-00000A000000}"/>
    <cellStyle name="Normal 6" xfId="17" xr:uid="{00000000-0005-0000-0000-00000B000000}"/>
    <cellStyle name="Normal_final1" xfId="16" xr:uid="{00000000-0005-0000-0000-00000C000000}"/>
    <cellStyle name="Normal_SolowModel" xfId="18" xr:uid="{00000000-0005-0000-0000-00000D000000}"/>
    <cellStyle name="Normal_TabAnnexeH" xfId="15" xr:uid="{00000000-0005-0000-0000-00000E000000}"/>
    <cellStyle name="Percent" xfId="11" builtinId="5"/>
    <cellStyle name="Percent 2" xfId="12" xr:uid="{00000000-0005-0000-0000-000010000000}"/>
    <cellStyle name="Percent 2 2" xfId="19" xr:uid="{00000000-0005-0000-0000-000011000000}"/>
    <cellStyle name="Percent 3" xfId="13" xr:uid="{00000000-0005-0000-0000-000012000000}"/>
    <cellStyle name="Percent 4" xfId="14" xr:uid="{00000000-0005-0000-0000-000013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UK Capital Income Ratio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1"/>
          <c:order val="0"/>
          <c:tx>
            <c:strRef>
              <c:f>Data!$L$23</c:f>
              <c:strCache>
                <c:ptCount val="1"/>
                <c:pt idx="0">
                  <c:v>Year</c:v>
                </c:pt>
              </c:strCache>
            </c:strRef>
          </c:tx>
          <c:spPr>
            <a:ln w="19050" cap="rnd">
              <a:solidFill>
                <a:srgbClr val="FF0000"/>
              </a:solidFill>
              <a:round/>
            </a:ln>
            <a:effectLst/>
          </c:spPr>
          <c:marker>
            <c:symbol val="circle"/>
            <c:size val="5"/>
            <c:spPr>
              <a:solidFill>
                <a:srgbClr val="FF0000"/>
              </a:solidFill>
              <a:ln w="9525">
                <a:solidFill>
                  <a:srgbClr val="FF0000"/>
                </a:solidFill>
              </a:ln>
              <a:effectLst/>
            </c:spPr>
          </c:marker>
          <c:xVal>
            <c:numRef>
              <c:f>Data!$L$24:$L$38</c:f>
              <c:numCache>
                <c:formatCode>General</c:formatCode>
                <c:ptCount val="15"/>
                <c:pt idx="0">
                  <c:v>1870</c:v>
                </c:pt>
                <c:pt idx="1">
                  <c:v>1880</c:v>
                </c:pt>
                <c:pt idx="2">
                  <c:v>1890</c:v>
                </c:pt>
                <c:pt idx="3">
                  <c:v>1900</c:v>
                </c:pt>
                <c:pt idx="4">
                  <c:v>1910</c:v>
                </c:pt>
                <c:pt idx="5">
                  <c:v>1920</c:v>
                </c:pt>
                <c:pt idx="6">
                  <c:v>1930</c:v>
                </c:pt>
                <c:pt idx="7">
                  <c:v>1940</c:v>
                </c:pt>
                <c:pt idx="8">
                  <c:v>1950</c:v>
                </c:pt>
                <c:pt idx="9">
                  <c:v>1960</c:v>
                </c:pt>
                <c:pt idx="10">
                  <c:v>1970</c:v>
                </c:pt>
                <c:pt idx="11">
                  <c:v>1980</c:v>
                </c:pt>
                <c:pt idx="12">
                  <c:v>1990</c:v>
                </c:pt>
                <c:pt idx="13">
                  <c:v>2000</c:v>
                </c:pt>
                <c:pt idx="14">
                  <c:v>2010</c:v>
                </c:pt>
              </c:numCache>
            </c:numRef>
          </c:xVal>
          <c:yVal>
            <c:numRef>
              <c:f>Data!$P$24:$P$38</c:f>
              <c:numCache>
                <c:formatCode>0%</c:formatCode>
                <c:ptCount val="15"/>
                <c:pt idx="0">
                  <c:v>6.7203658180781707</c:v>
                </c:pt>
                <c:pt idx="1">
                  <c:v>6.7568649753977565</c:v>
                </c:pt>
                <c:pt idx="2">
                  <c:v>6.7568649753977565</c:v>
                </c:pt>
                <c:pt idx="3">
                  <c:v>6.7568649753977565</c:v>
                </c:pt>
                <c:pt idx="4">
                  <c:v>6.7933641327173424</c:v>
                </c:pt>
                <c:pt idx="5">
                  <c:v>2.8771730734861838</c:v>
                </c:pt>
                <c:pt idx="6">
                  <c:v>3.6118826494158212</c:v>
                </c:pt>
                <c:pt idx="7">
                  <c:v>2.6118826494158212</c:v>
                </c:pt>
                <c:pt idx="8">
                  <c:v>2.3465922253454585</c:v>
                </c:pt>
                <c:pt idx="9">
                  <c:v>2.8387933008817763</c:v>
                </c:pt>
                <c:pt idx="10">
                  <c:v>3.330994376418094</c:v>
                </c:pt>
                <c:pt idx="11">
                  <c:v>3.9768982852320516</c:v>
                </c:pt>
                <c:pt idx="12">
                  <c:v>4.6228021940460087</c:v>
                </c:pt>
                <c:pt idx="13">
                  <c:v>4.9241752340343581</c:v>
                </c:pt>
                <c:pt idx="14">
                  <c:v>5.2255482740227075</c:v>
                </c:pt>
              </c:numCache>
            </c:numRef>
          </c:yVal>
          <c:smooth val="0"/>
          <c:extLst>
            <c:ext xmlns:c16="http://schemas.microsoft.com/office/drawing/2014/chart" uri="{C3380CC4-5D6E-409C-BE32-E72D297353CC}">
              <c16:uniqueId val="{00000001-E11D-415B-B18F-8023B7B45E1A}"/>
            </c:ext>
          </c:extLst>
        </c:ser>
        <c:dLbls>
          <c:showLegendKey val="0"/>
          <c:showVal val="0"/>
          <c:showCatName val="0"/>
          <c:showSerName val="0"/>
          <c:showPercent val="0"/>
          <c:showBubbleSize val="0"/>
        </c:dLbls>
        <c:axId val="553815120"/>
        <c:axId val="553813808"/>
      </c:scatterChart>
      <c:valAx>
        <c:axId val="5538151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813808"/>
        <c:crosses val="autoZero"/>
        <c:crossBetween val="midCat"/>
      </c:valAx>
      <c:valAx>
        <c:axId val="553813808"/>
        <c:scaling>
          <c:orientation val="minMax"/>
          <c:max val="8"/>
          <c:min val="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capital income ratio (K/Y)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81512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UK Top 10% Income Share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rgbClr val="0070C0"/>
              </a:solidFill>
              <a:round/>
            </a:ln>
            <a:effectLst/>
          </c:spPr>
          <c:marker>
            <c:symbol val="circle"/>
            <c:size val="5"/>
            <c:spPr>
              <a:solidFill>
                <a:srgbClr val="0070C0"/>
              </a:solidFill>
              <a:ln w="9525">
                <a:solidFill>
                  <a:srgbClr val="0070C0"/>
                </a:solidFill>
              </a:ln>
              <a:effectLst/>
            </c:spPr>
          </c:marker>
          <c:xVal>
            <c:numRef>
              <c:f>Data!$T$61:$T$172</c:f>
              <c:numCache>
                <c:formatCode>General</c:formatCode>
                <c:ptCount val="112"/>
                <c:pt idx="0">
                  <c:v>1900</c:v>
                </c:pt>
                <c:pt idx="1">
                  <c:v>1901</c:v>
                </c:pt>
                <c:pt idx="2">
                  <c:v>1902</c:v>
                </c:pt>
                <c:pt idx="3">
                  <c:v>1903</c:v>
                </c:pt>
                <c:pt idx="4">
                  <c:v>1904</c:v>
                </c:pt>
                <c:pt idx="5">
                  <c:v>1905</c:v>
                </c:pt>
                <c:pt idx="6">
                  <c:v>1906</c:v>
                </c:pt>
                <c:pt idx="7">
                  <c:v>1907</c:v>
                </c:pt>
                <c:pt idx="8">
                  <c:v>1908</c:v>
                </c:pt>
                <c:pt idx="9">
                  <c:v>1909</c:v>
                </c:pt>
                <c:pt idx="10">
                  <c:v>1910</c:v>
                </c:pt>
                <c:pt idx="11">
                  <c:v>1911</c:v>
                </c:pt>
                <c:pt idx="12">
                  <c:v>1912</c:v>
                </c:pt>
                <c:pt idx="13">
                  <c:v>1913</c:v>
                </c:pt>
                <c:pt idx="14">
                  <c:v>1914</c:v>
                </c:pt>
                <c:pt idx="15">
                  <c:v>1915</c:v>
                </c:pt>
                <c:pt idx="16">
                  <c:v>1916</c:v>
                </c:pt>
                <c:pt idx="17">
                  <c:v>1917</c:v>
                </c:pt>
                <c:pt idx="18">
                  <c:v>1918</c:v>
                </c:pt>
                <c:pt idx="19">
                  <c:v>1919</c:v>
                </c:pt>
                <c:pt idx="20">
                  <c:v>1920</c:v>
                </c:pt>
                <c:pt idx="21">
                  <c:v>1921</c:v>
                </c:pt>
                <c:pt idx="22">
                  <c:v>1922</c:v>
                </c:pt>
                <c:pt idx="23">
                  <c:v>1923</c:v>
                </c:pt>
                <c:pt idx="24">
                  <c:v>1924</c:v>
                </c:pt>
                <c:pt idx="25">
                  <c:v>1925</c:v>
                </c:pt>
                <c:pt idx="26">
                  <c:v>1926</c:v>
                </c:pt>
                <c:pt idx="27">
                  <c:v>1927</c:v>
                </c:pt>
                <c:pt idx="28">
                  <c:v>1928</c:v>
                </c:pt>
                <c:pt idx="29">
                  <c:v>1929</c:v>
                </c:pt>
                <c:pt idx="30">
                  <c:v>1930</c:v>
                </c:pt>
                <c:pt idx="31">
                  <c:v>1931</c:v>
                </c:pt>
                <c:pt idx="32">
                  <c:v>1932</c:v>
                </c:pt>
                <c:pt idx="33">
                  <c:v>1933</c:v>
                </c:pt>
                <c:pt idx="34">
                  <c:v>1934</c:v>
                </c:pt>
                <c:pt idx="35">
                  <c:v>1935</c:v>
                </c:pt>
                <c:pt idx="36">
                  <c:v>1936</c:v>
                </c:pt>
                <c:pt idx="37">
                  <c:v>1937</c:v>
                </c:pt>
                <c:pt idx="38">
                  <c:v>1938</c:v>
                </c:pt>
                <c:pt idx="39">
                  <c:v>1939</c:v>
                </c:pt>
                <c:pt idx="40">
                  <c:v>1940</c:v>
                </c:pt>
                <c:pt idx="41">
                  <c:v>1941</c:v>
                </c:pt>
                <c:pt idx="42">
                  <c:v>1942</c:v>
                </c:pt>
                <c:pt idx="43">
                  <c:v>1943</c:v>
                </c:pt>
                <c:pt idx="44">
                  <c:v>1944</c:v>
                </c:pt>
                <c:pt idx="45">
                  <c:v>1945</c:v>
                </c:pt>
                <c:pt idx="46">
                  <c:v>1946</c:v>
                </c:pt>
                <c:pt idx="47">
                  <c:v>1947</c:v>
                </c:pt>
                <c:pt idx="48">
                  <c:v>1948</c:v>
                </c:pt>
                <c:pt idx="49">
                  <c:v>1949</c:v>
                </c:pt>
                <c:pt idx="50">
                  <c:v>1950</c:v>
                </c:pt>
                <c:pt idx="51">
                  <c:v>1951</c:v>
                </c:pt>
                <c:pt idx="52">
                  <c:v>1952</c:v>
                </c:pt>
                <c:pt idx="53">
                  <c:v>1953</c:v>
                </c:pt>
                <c:pt idx="54">
                  <c:v>1954</c:v>
                </c:pt>
                <c:pt idx="55">
                  <c:v>1955</c:v>
                </c:pt>
                <c:pt idx="56">
                  <c:v>1956</c:v>
                </c:pt>
                <c:pt idx="57">
                  <c:v>1957</c:v>
                </c:pt>
                <c:pt idx="58">
                  <c:v>1958</c:v>
                </c:pt>
                <c:pt idx="59">
                  <c:v>1959</c:v>
                </c:pt>
                <c:pt idx="60">
                  <c:v>1960</c:v>
                </c:pt>
                <c:pt idx="61">
                  <c:v>1961</c:v>
                </c:pt>
                <c:pt idx="62">
                  <c:v>1962</c:v>
                </c:pt>
                <c:pt idx="63">
                  <c:v>1963</c:v>
                </c:pt>
                <c:pt idx="64">
                  <c:v>1964</c:v>
                </c:pt>
                <c:pt idx="65">
                  <c:v>1965</c:v>
                </c:pt>
                <c:pt idx="66">
                  <c:v>1966</c:v>
                </c:pt>
                <c:pt idx="67">
                  <c:v>1967</c:v>
                </c:pt>
                <c:pt idx="68">
                  <c:v>1968</c:v>
                </c:pt>
                <c:pt idx="69">
                  <c:v>1969</c:v>
                </c:pt>
                <c:pt idx="70">
                  <c:v>1970</c:v>
                </c:pt>
                <c:pt idx="71">
                  <c:v>1971</c:v>
                </c:pt>
                <c:pt idx="72">
                  <c:v>1972</c:v>
                </c:pt>
                <c:pt idx="74">
                  <c:v>1973</c:v>
                </c:pt>
                <c:pt idx="75">
                  <c:v>1974</c:v>
                </c:pt>
                <c:pt idx="76">
                  <c:v>1975</c:v>
                </c:pt>
                <c:pt idx="77">
                  <c:v>1976</c:v>
                </c:pt>
                <c:pt idx="78">
                  <c:v>1977</c:v>
                </c:pt>
                <c:pt idx="79">
                  <c:v>1978</c:v>
                </c:pt>
                <c:pt idx="80">
                  <c:v>1979</c:v>
                </c:pt>
                <c:pt idx="81">
                  <c:v>1980</c:v>
                </c:pt>
                <c:pt idx="82">
                  <c:v>1981</c:v>
                </c:pt>
                <c:pt idx="83">
                  <c:v>1982</c:v>
                </c:pt>
                <c:pt idx="84">
                  <c:v>1983</c:v>
                </c:pt>
                <c:pt idx="85">
                  <c:v>1984</c:v>
                </c:pt>
                <c:pt idx="86">
                  <c:v>1985</c:v>
                </c:pt>
                <c:pt idx="87">
                  <c:v>1986</c:v>
                </c:pt>
                <c:pt idx="88">
                  <c:v>1987</c:v>
                </c:pt>
                <c:pt idx="89">
                  <c:v>1988</c:v>
                </c:pt>
                <c:pt idx="90">
                  <c:v>1989</c:v>
                </c:pt>
                <c:pt idx="91">
                  <c:v>1990</c:v>
                </c:pt>
                <c:pt idx="92">
                  <c:v>1991</c:v>
                </c:pt>
                <c:pt idx="93">
                  <c:v>1992</c:v>
                </c:pt>
                <c:pt idx="94">
                  <c:v>1993</c:v>
                </c:pt>
                <c:pt idx="95">
                  <c:v>1994</c:v>
                </c:pt>
                <c:pt idx="96">
                  <c:v>1995</c:v>
                </c:pt>
                <c:pt idx="97">
                  <c:v>1996</c:v>
                </c:pt>
                <c:pt idx="98">
                  <c:v>1997</c:v>
                </c:pt>
                <c:pt idx="99">
                  <c:v>1998</c:v>
                </c:pt>
                <c:pt idx="100">
                  <c:v>1999</c:v>
                </c:pt>
                <c:pt idx="101">
                  <c:v>2000</c:v>
                </c:pt>
                <c:pt idx="102">
                  <c:v>2001</c:v>
                </c:pt>
                <c:pt idx="103">
                  <c:v>2002</c:v>
                </c:pt>
                <c:pt idx="104">
                  <c:v>2003</c:v>
                </c:pt>
                <c:pt idx="105">
                  <c:v>2004</c:v>
                </c:pt>
                <c:pt idx="106">
                  <c:v>2005</c:v>
                </c:pt>
                <c:pt idx="107">
                  <c:v>2006</c:v>
                </c:pt>
                <c:pt idx="108">
                  <c:v>2007</c:v>
                </c:pt>
                <c:pt idx="109">
                  <c:v>2008</c:v>
                </c:pt>
                <c:pt idx="110">
                  <c:v>2009</c:v>
                </c:pt>
                <c:pt idx="111">
                  <c:v>2010</c:v>
                </c:pt>
              </c:numCache>
            </c:numRef>
          </c:xVal>
          <c:yVal>
            <c:numRef>
              <c:f>Data!$U$61:$U$172</c:f>
              <c:numCache>
                <c:formatCode>0%</c:formatCode>
                <c:ptCount val="112"/>
                <c:pt idx="0" formatCode="0.0%">
                  <c:v>0.47075372340425531</c:v>
                </c:pt>
                <c:pt idx="1">
                  <c:v>#N/A</c:v>
                </c:pt>
                <c:pt idx="2">
                  <c:v>#N/A</c:v>
                </c:pt>
                <c:pt idx="3">
                  <c:v>#N/A</c:v>
                </c:pt>
                <c:pt idx="4">
                  <c:v>#N/A</c:v>
                </c:pt>
                <c:pt idx="5">
                  <c:v>#N/A</c:v>
                </c:pt>
                <c:pt idx="6">
                  <c:v>#N/A</c:v>
                </c:pt>
                <c:pt idx="7">
                  <c:v>#N/A</c:v>
                </c:pt>
                <c:pt idx="8" formatCode="0.0%">
                  <c:v>0.4625936170212766</c:v>
                </c:pt>
                <c:pt idx="9" formatCode="0.0%">
                  <c:v>0.46765851063829794</c:v>
                </c:pt>
                <c:pt idx="10" formatCode="0.0%">
                  <c:v>0.47103510638297869</c:v>
                </c:pt>
                <c:pt idx="11" formatCode="0.0%">
                  <c:v>0.47159787234042555</c:v>
                </c:pt>
                <c:pt idx="12" formatCode="0.0%">
                  <c:v>0.47159787234042555</c:v>
                </c:pt>
                <c:pt idx="13" formatCode="0.0%">
                  <c:v>0.48003936170212763</c:v>
                </c:pt>
                <c:pt idx="14" formatCode="0.0%">
                  <c:v>0.45640319148936165</c:v>
                </c:pt>
                <c:pt idx="15" formatCode="0.0%">
                  <c:v>0.45977978723404256</c:v>
                </c:pt>
                <c:pt idx="16" formatCode="0.0%">
                  <c:v>0.44852446808510638</c:v>
                </c:pt>
                <c:pt idx="17" formatCode="0.0%">
                  <c:v>0.3973127659574468</c:v>
                </c:pt>
                <c:pt idx="18" formatCode="0.0%">
                  <c:v>0.37030000000000002</c:v>
                </c:pt>
                <c:pt idx="19" formatCode="0.0%">
                  <c:v>0.38729999999999998</c:v>
                </c:pt>
                <c:pt idx="20" formatCode="0.0%">
                  <c:v>0.40755000000000002</c:v>
                </c:pt>
                <c:pt idx="21" formatCode="0.0%">
                  <c:v>0.40805000000000002</c:v>
                </c:pt>
                <c:pt idx="22" formatCode="0.0%">
                  <c:v>0.41795000000000004</c:v>
                </c:pt>
                <c:pt idx="23" formatCode="0.0%">
                  <c:v>0.42015000000000002</c:v>
                </c:pt>
                <c:pt idx="24" formatCode="0.0%">
                  <c:v>0.41775000000000007</c:v>
                </c:pt>
                <c:pt idx="25" formatCode="0.0%">
                  <c:v>0.41515000000000002</c:v>
                </c:pt>
                <c:pt idx="26" formatCode="0.0%">
                  <c:v>0.41395000000000004</c:v>
                </c:pt>
                <c:pt idx="27" formatCode="0.0%">
                  <c:v>0.41215000000000002</c:v>
                </c:pt>
                <c:pt idx="28" formatCode="0.0%">
                  <c:v>0.41265000000000002</c:v>
                </c:pt>
                <c:pt idx="29" formatCode="0.0%">
                  <c:v>0.41054999999999997</c:v>
                </c:pt>
                <c:pt idx="30" formatCode="0.0%">
                  <c:v>0.40535000000000004</c:v>
                </c:pt>
                <c:pt idx="31" formatCode="0.0%">
                  <c:v>0.39895000000000003</c:v>
                </c:pt>
                <c:pt idx="32" formatCode="0.0%">
                  <c:v>0.39594999999999997</c:v>
                </c:pt>
                <c:pt idx="33" formatCode="0.0%">
                  <c:v>0.39474999999999999</c:v>
                </c:pt>
                <c:pt idx="34" formatCode="0.0%">
                  <c:v>0.39505000000000001</c:v>
                </c:pt>
                <c:pt idx="35" formatCode="0.0%">
                  <c:v>0.39685000000000004</c:v>
                </c:pt>
                <c:pt idx="36" formatCode="0.0%">
                  <c:v>0.39755000000000001</c:v>
                </c:pt>
                <c:pt idx="37" formatCode="0.0%">
                  <c:v>0.38369999999999999</c:v>
                </c:pt>
                <c:pt idx="38" formatCode="0.0%">
                  <c:v>0.38329999999999997</c:v>
                </c:pt>
                <c:pt idx="39" formatCode="0.0%">
                  <c:v>0.37890000000000001</c:v>
                </c:pt>
                <c:pt idx="40" formatCode="0.0%">
                  <c:v>0.36530000000000001</c:v>
                </c:pt>
                <c:pt idx="41" formatCode="0.0%">
                  <c:v>0.35189999999999999</c:v>
                </c:pt>
                <c:pt idx="42" formatCode="0.0%">
                  <c:v>0.3407</c:v>
                </c:pt>
                <c:pt idx="43" formatCode="0.0%">
                  <c:v>0.33649999999999997</c:v>
                </c:pt>
                <c:pt idx="44" formatCode="0.0%">
                  <c:v>0.33449999999999996</c:v>
                </c:pt>
                <c:pt idx="45" formatCode="0.0%">
                  <c:v>0.33649999999999997</c:v>
                </c:pt>
                <c:pt idx="46" formatCode="0.0%">
                  <c:v>0.34149999999999997</c:v>
                </c:pt>
                <c:pt idx="47" formatCode="0.0%">
                  <c:v>0.33390000000000003</c:v>
                </c:pt>
                <c:pt idx="48" formatCode="0.0%">
                  <c:v>0.32909999999999995</c:v>
                </c:pt>
                <c:pt idx="49" formatCode="0.0%">
                  <c:v>0.32250000000000001</c:v>
                </c:pt>
                <c:pt idx="50">
                  <c:v>#N/A</c:v>
                </c:pt>
                <c:pt idx="51" formatCode="0.0%">
                  <c:v>0.31670000000000004</c:v>
                </c:pt>
                <c:pt idx="52" formatCode="0.0%">
                  <c:v>0.30980000000000002</c:v>
                </c:pt>
                <c:pt idx="53" formatCode="0.0%">
                  <c:v>0.30499999999999999</c:v>
                </c:pt>
                <c:pt idx="54" formatCode="0.0%">
                  <c:v>0.30630000000000002</c:v>
                </c:pt>
                <c:pt idx="55" formatCode="0.0%">
                  <c:v>0.30259999999999998</c:v>
                </c:pt>
                <c:pt idx="56" formatCode="0.0%">
                  <c:v>0.29709999999999992</c:v>
                </c:pt>
                <c:pt idx="57" formatCode="0.0%">
                  <c:v>0.29659999999999997</c:v>
                </c:pt>
                <c:pt idx="58" formatCode="0.0%">
                  <c:v>0.29719999999999996</c:v>
                </c:pt>
                <c:pt idx="59" formatCode="0.0%">
                  <c:v>0.29960000000000003</c:v>
                </c:pt>
                <c:pt idx="60" formatCode="0.0%">
                  <c:v>0.30229999999999996</c:v>
                </c:pt>
                <c:pt idx="61">
                  <c:v>#N/A</c:v>
                </c:pt>
                <c:pt idx="62" formatCode="0.0%">
                  <c:v>0.29370000000000002</c:v>
                </c:pt>
                <c:pt idx="63" formatCode="0.0%">
                  <c:v>0.2994</c:v>
                </c:pt>
                <c:pt idx="64" formatCode="0.0%">
                  <c:v>0.29909999999999998</c:v>
                </c:pt>
                <c:pt idx="65" formatCode="0.0%">
                  <c:v>0.29880000000000001</c:v>
                </c:pt>
                <c:pt idx="66" formatCode="0.0%">
                  <c:v>0.28939999999999999</c:v>
                </c:pt>
                <c:pt idx="67" formatCode="0.0%">
                  <c:v>0.2878</c:v>
                </c:pt>
                <c:pt idx="68" formatCode="0.0%">
                  <c:v>0.28550000000000003</c:v>
                </c:pt>
                <c:pt idx="69" formatCode="0.0%">
                  <c:v>0.28720000000000001</c:v>
                </c:pt>
                <c:pt idx="70" formatCode="0.0%">
                  <c:v>0.28820000000000001</c:v>
                </c:pt>
                <c:pt idx="71" formatCode="0.0%">
                  <c:v>0.29289999999999999</c:v>
                </c:pt>
                <c:pt idx="72" formatCode="0.0%">
                  <c:v>0.28899999999999998</c:v>
                </c:pt>
                <c:pt idx="74" formatCode="0.0%">
                  <c:v>0.28309999999999996</c:v>
                </c:pt>
                <c:pt idx="75" formatCode="0.0%">
                  <c:v>0.28100000000000003</c:v>
                </c:pt>
                <c:pt idx="76" formatCode="0.0%">
                  <c:v>0.2782</c:v>
                </c:pt>
                <c:pt idx="77" formatCode="0.0%">
                  <c:v>0.27889999999999998</c:v>
                </c:pt>
                <c:pt idx="78" formatCode="0.0%">
                  <c:v>0.27960000000000002</c:v>
                </c:pt>
                <c:pt idx="79" formatCode="0.0%">
                  <c:v>0.27779999999999999</c:v>
                </c:pt>
                <c:pt idx="80" formatCode="0.0%">
                  <c:v>0.28370000000000001</c:v>
                </c:pt>
                <c:pt idx="81" formatCode="0.0%">
                  <c:v>#N/A</c:v>
                </c:pt>
                <c:pt idx="82" formatCode="0.0%">
                  <c:v>0.31030000000000002</c:v>
                </c:pt>
                <c:pt idx="83" formatCode="0.0%">
                  <c:v>0.31230000000000002</c:v>
                </c:pt>
                <c:pt idx="84" formatCode="0.0%">
                  <c:v>0.31759999999999999</c:v>
                </c:pt>
                <c:pt idx="85" formatCode="0.0%">
                  <c:v>0.32520000000000004</c:v>
                </c:pt>
                <c:pt idx="86" formatCode="0.0%">
                  <c:v>0.32650000000000001</c:v>
                </c:pt>
                <c:pt idx="87" formatCode="0.0%">
                  <c:v>0.32939999999999997</c:v>
                </c:pt>
                <c:pt idx="88" formatCode="0.0%">
                  <c:v>0.33270000000000005</c:v>
                </c:pt>
                <c:pt idx="89" formatCode="0.0%">
                  <c:v>0.34210000000000002</c:v>
                </c:pt>
                <c:pt idx="90" formatCode="0.0%">
                  <c:v>0.34149999999999997</c:v>
                </c:pt>
                <c:pt idx="91" formatCode="0.0%">
                  <c:v>0.36899999999999999</c:v>
                </c:pt>
                <c:pt idx="92" formatCode="0.0%">
                  <c:v>0.3765</c:v>
                </c:pt>
                <c:pt idx="93" formatCode="0.0%">
                  <c:v>0.37640000000000001</c:v>
                </c:pt>
                <c:pt idx="94" formatCode="0.0%">
                  <c:v>0.38340000000000002</c:v>
                </c:pt>
                <c:pt idx="95" formatCode="0.0%">
                  <c:v>0.38329999999999997</c:v>
                </c:pt>
                <c:pt idx="96" formatCode="0.0%">
                  <c:v>0.3851</c:v>
                </c:pt>
                <c:pt idx="97" formatCode="0.0%">
                  <c:v>0.39299999999999996</c:v>
                </c:pt>
                <c:pt idx="98" formatCode="0.0%">
                  <c:v>0.38939999999999997</c:v>
                </c:pt>
                <c:pt idx="99" formatCode="0.0%">
                  <c:v>0.3947</c:v>
                </c:pt>
                <c:pt idx="100" formatCode="0.0%">
                  <c:v>0.38969999999999999</c:v>
                </c:pt>
                <c:pt idx="101" formatCode="0.0%">
                  <c:v>0.38429999999999997</c:v>
                </c:pt>
                <c:pt idx="102" formatCode="0.0%">
                  <c:v>0.39329999999999998</c:v>
                </c:pt>
                <c:pt idx="103" formatCode="0.0%">
                  <c:v>0.38689999999999997</c:v>
                </c:pt>
                <c:pt idx="104" formatCode="0.0%">
                  <c:v>0.3775</c:v>
                </c:pt>
                <c:pt idx="105" formatCode="0.0%">
                  <c:v>0.39539999999999997</c:v>
                </c:pt>
                <c:pt idx="106" formatCode="0.0%">
                  <c:v>0.41619999999999996</c:v>
                </c:pt>
                <c:pt idx="107" formatCode="0.0%">
                  <c:v>0.4199</c:v>
                </c:pt>
                <c:pt idx="108" formatCode="0.0%">
                  <c:v>0.42609999999999998</c:v>
                </c:pt>
                <c:pt idx="109" formatCode="0.0%">
                  <c:v>0.41676666666666667</c:v>
                </c:pt>
                <c:pt idx="110" formatCode="0.0%">
                  <c:v>0.40429999999999999</c:v>
                </c:pt>
                <c:pt idx="111" formatCode="0.0%">
                  <c:v>0.41572222222222227</c:v>
                </c:pt>
              </c:numCache>
            </c:numRef>
          </c:yVal>
          <c:smooth val="0"/>
          <c:extLst>
            <c:ext xmlns:c16="http://schemas.microsoft.com/office/drawing/2014/chart" uri="{C3380CC4-5D6E-409C-BE32-E72D297353CC}">
              <c16:uniqueId val="{00000001-2A2D-422C-BFCD-7F2B53411072}"/>
            </c:ext>
          </c:extLst>
        </c:ser>
        <c:dLbls>
          <c:showLegendKey val="0"/>
          <c:showVal val="0"/>
          <c:showCatName val="0"/>
          <c:showSerName val="0"/>
          <c:showPercent val="0"/>
          <c:showBubbleSize val="0"/>
        </c:dLbls>
        <c:axId val="553821680"/>
        <c:axId val="553812168"/>
      </c:scatterChart>
      <c:valAx>
        <c:axId val="553821680"/>
        <c:scaling>
          <c:orientation val="minMax"/>
          <c:min val="190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812168"/>
        <c:crosses val="autoZero"/>
        <c:crossBetween val="midCat"/>
      </c:valAx>
      <c:valAx>
        <c:axId val="553812168"/>
        <c:scaling>
          <c:orientation val="minMax"/>
          <c:max val="0.60000000000000009"/>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Top 10% Income Share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82168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548845141430693"/>
          <c:y val="9.2971632931388742E-2"/>
          <c:w val="0.72354752130904798"/>
          <c:h val="0.80476279898962511"/>
        </c:manualLayout>
      </c:layout>
      <c:scatterChart>
        <c:scatterStyle val="lineMarker"/>
        <c:varyColors val="0"/>
        <c:ser>
          <c:idx val="1"/>
          <c:order val="1"/>
          <c:spPr>
            <a:ln w="19050" cap="rnd">
              <a:solidFill>
                <a:srgbClr val="FF0000"/>
              </a:solidFill>
              <a:round/>
            </a:ln>
            <a:effectLst/>
          </c:spPr>
          <c:marker>
            <c:symbol val="circle"/>
            <c:size val="5"/>
            <c:spPr>
              <a:solidFill>
                <a:srgbClr val="FF0000"/>
              </a:solidFill>
              <a:ln w="9525">
                <a:solidFill>
                  <a:srgbClr val="FF0000"/>
                </a:solidFill>
              </a:ln>
              <a:effectLst/>
            </c:spPr>
          </c:marker>
          <c:xVal>
            <c:numRef>
              <c:f>Data!$L$24:$L$38</c:f>
              <c:numCache>
                <c:formatCode>General</c:formatCode>
                <c:ptCount val="15"/>
                <c:pt idx="0">
                  <c:v>1870</c:v>
                </c:pt>
                <c:pt idx="1">
                  <c:v>1880</c:v>
                </c:pt>
                <c:pt idx="2">
                  <c:v>1890</c:v>
                </c:pt>
                <c:pt idx="3">
                  <c:v>1900</c:v>
                </c:pt>
                <c:pt idx="4">
                  <c:v>1910</c:v>
                </c:pt>
                <c:pt idx="5">
                  <c:v>1920</c:v>
                </c:pt>
                <c:pt idx="6">
                  <c:v>1930</c:v>
                </c:pt>
                <c:pt idx="7">
                  <c:v>1940</c:v>
                </c:pt>
                <c:pt idx="8">
                  <c:v>1950</c:v>
                </c:pt>
                <c:pt idx="9">
                  <c:v>1960</c:v>
                </c:pt>
                <c:pt idx="10">
                  <c:v>1970</c:v>
                </c:pt>
                <c:pt idx="11">
                  <c:v>1980</c:v>
                </c:pt>
                <c:pt idx="12">
                  <c:v>1990</c:v>
                </c:pt>
                <c:pt idx="13">
                  <c:v>2000</c:v>
                </c:pt>
                <c:pt idx="14">
                  <c:v>2010</c:v>
                </c:pt>
              </c:numCache>
            </c:numRef>
          </c:xVal>
          <c:yVal>
            <c:numRef>
              <c:f>Data!$P$24:$P$38</c:f>
              <c:numCache>
                <c:formatCode>0%</c:formatCode>
                <c:ptCount val="15"/>
                <c:pt idx="0">
                  <c:v>6.7203658180781707</c:v>
                </c:pt>
                <c:pt idx="1">
                  <c:v>6.7568649753977565</c:v>
                </c:pt>
                <c:pt idx="2">
                  <c:v>6.7568649753977565</c:v>
                </c:pt>
                <c:pt idx="3">
                  <c:v>6.7568649753977565</c:v>
                </c:pt>
                <c:pt idx="4">
                  <c:v>6.7933641327173424</c:v>
                </c:pt>
                <c:pt idx="5">
                  <c:v>2.8771730734861838</c:v>
                </c:pt>
                <c:pt idx="6">
                  <c:v>3.6118826494158212</c:v>
                </c:pt>
                <c:pt idx="7">
                  <c:v>2.6118826494158212</c:v>
                </c:pt>
                <c:pt idx="8">
                  <c:v>2.3465922253454585</c:v>
                </c:pt>
                <c:pt idx="9">
                  <c:v>2.8387933008817763</c:v>
                </c:pt>
                <c:pt idx="10">
                  <c:v>3.330994376418094</c:v>
                </c:pt>
                <c:pt idx="11">
                  <c:v>3.9768982852320516</c:v>
                </c:pt>
                <c:pt idx="12">
                  <c:v>4.6228021940460087</c:v>
                </c:pt>
                <c:pt idx="13">
                  <c:v>4.9241752340343581</c:v>
                </c:pt>
                <c:pt idx="14">
                  <c:v>5.2255482740227075</c:v>
                </c:pt>
              </c:numCache>
            </c:numRef>
          </c:yVal>
          <c:smooth val="0"/>
          <c:extLst>
            <c:ext xmlns:c16="http://schemas.microsoft.com/office/drawing/2014/chart" uri="{C3380CC4-5D6E-409C-BE32-E72D297353CC}">
              <c16:uniqueId val="{00000000-205D-4161-9AFA-AE193D3A3294}"/>
            </c:ext>
          </c:extLst>
        </c:ser>
        <c:dLbls>
          <c:showLegendKey val="0"/>
          <c:showVal val="0"/>
          <c:showCatName val="0"/>
          <c:showSerName val="0"/>
          <c:showPercent val="0"/>
          <c:showBubbleSize val="0"/>
        </c:dLbls>
        <c:axId val="553815120"/>
        <c:axId val="553813808"/>
      </c:scatterChar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Data!$T$61:$T$171</c:f>
              <c:numCache>
                <c:formatCode>General</c:formatCode>
                <c:ptCount val="111"/>
                <c:pt idx="0">
                  <c:v>1900</c:v>
                </c:pt>
                <c:pt idx="1">
                  <c:v>1901</c:v>
                </c:pt>
                <c:pt idx="2">
                  <c:v>1902</c:v>
                </c:pt>
                <c:pt idx="3">
                  <c:v>1903</c:v>
                </c:pt>
                <c:pt idx="4">
                  <c:v>1904</c:v>
                </c:pt>
                <c:pt idx="5">
                  <c:v>1905</c:v>
                </c:pt>
                <c:pt idx="6">
                  <c:v>1906</c:v>
                </c:pt>
                <c:pt idx="7">
                  <c:v>1907</c:v>
                </c:pt>
                <c:pt idx="8">
                  <c:v>1908</c:v>
                </c:pt>
                <c:pt idx="9">
                  <c:v>1909</c:v>
                </c:pt>
                <c:pt idx="10">
                  <c:v>1910</c:v>
                </c:pt>
                <c:pt idx="11">
                  <c:v>1911</c:v>
                </c:pt>
                <c:pt idx="12">
                  <c:v>1912</c:v>
                </c:pt>
                <c:pt idx="13">
                  <c:v>1913</c:v>
                </c:pt>
                <c:pt idx="14">
                  <c:v>1914</c:v>
                </c:pt>
                <c:pt idx="15">
                  <c:v>1915</c:v>
                </c:pt>
                <c:pt idx="16">
                  <c:v>1916</c:v>
                </c:pt>
                <c:pt idx="17">
                  <c:v>1917</c:v>
                </c:pt>
                <c:pt idx="18">
                  <c:v>1918</c:v>
                </c:pt>
                <c:pt idx="19">
                  <c:v>1919</c:v>
                </c:pt>
                <c:pt idx="20">
                  <c:v>1920</c:v>
                </c:pt>
                <c:pt idx="21">
                  <c:v>1921</c:v>
                </c:pt>
                <c:pt idx="22">
                  <c:v>1922</c:v>
                </c:pt>
                <c:pt idx="23">
                  <c:v>1923</c:v>
                </c:pt>
                <c:pt idx="24">
                  <c:v>1924</c:v>
                </c:pt>
                <c:pt idx="25">
                  <c:v>1925</c:v>
                </c:pt>
                <c:pt idx="26">
                  <c:v>1926</c:v>
                </c:pt>
                <c:pt idx="27">
                  <c:v>1927</c:v>
                </c:pt>
                <c:pt idx="28">
                  <c:v>1928</c:v>
                </c:pt>
                <c:pt idx="29">
                  <c:v>1929</c:v>
                </c:pt>
                <c:pt idx="30">
                  <c:v>1930</c:v>
                </c:pt>
                <c:pt idx="31">
                  <c:v>1931</c:v>
                </c:pt>
                <c:pt idx="32">
                  <c:v>1932</c:v>
                </c:pt>
                <c:pt idx="33">
                  <c:v>1933</c:v>
                </c:pt>
                <c:pt idx="34">
                  <c:v>1934</c:v>
                </c:pt>
                <c:pt idx="35">
                  <c:v>1935</c:v>
                </c:pt>
                <c:pt idx="36">
                  <c:v>1936</c:v>
                </c:pt>
                <c:pt idx="37">
                  <c:v>1937</c:v>
                </c:pt>
                <c:pt idx="38">
                  <c:v>1938</c:v>
                </c:pt>
                <c:pt idx="39">
                  <c:v>1939</c:v>
                </c:pt>
                <c:pt idx="40">
                  <c:v>1940</c:v>
                </c:pt>
                <c:pt idx="41">
                  <c:v>1941</c:v>
                </c:pt>
                <c:pt idx="42">
                  <c:v>1942</c:v>
                </c:pt>
                <c:pt idx="43">
                  <c:v>1943</c:v>
                </c:pt>
                <c:pt idx="44">
                  <c:v>1944</c:v>
                </c:pt>
                <c:pt idx="45">
                  <c:v>1945</c:v>
                </c:pt>
                <c:pt idx="46">
                  <c:v>1946</c:v>
                </c:pt>
                <c:pt idx="47">
                  <c:v>1947</c:v>
                </c:pt>
                <c:pt idx="48">
                  <c:v>1948</c:v>
                </c:pt>
                <c:pt idx="49">
                  <c:v>1949</c:v>
                </c:pt>
                <c:pt idx="50">
                  <c:v>1950</c:v>
                </c:pt>
                <c:pt idx="51">
                  <c:v>1951</c:v>
                </c:pt>
                <c:pt idx="52">
                  <c:v>1952</c:v>
                </c:pt>
                <c:pt idx="53">
                  <c:v>1953</c:v>
                </c:pt>
                <c:pt idx="54">
                  <c:v>1954</c:v>
                </c:pt>
                <c:pt idx="55">
                  <c:v>1955</c:v>
                </c:pt>
                <c:pt idx="56">
                  <c:v>1956</c:v>
                </c:pt>
                <c:pt idx="57">
                  <c:v>1957</c:v>
                </c:pt>
                <c:pt idx="58">
                  <c:v>1958</c:v>
                </c:pt>
                <c:pt idx="59">
                  <c:v>1959</c:v>
                </c:pt>
                <c:pt idx="60">
                  <c:v>1960</c:v>
                </c:pt>
                <c:pt idx="61">
                  <c:v>1961</c:v>
                </c:pt>
                <c:pt idx="62">
                  <c:v>1962</c:v>
                </c:pt>
                <c:pt idx="63">
                  <c:v>1963</c:v>
                </c:pt>
                <c:pt idx="64">
                  <c:v>1964</c:v>
                </c:pt>
                <c:pt idx="65">
                  <c:v>1965</c:v>
                </c:pt>
                <c:pt idx="66">
                  <c:v>1966</c:v>
                </c:pt>
                <c:pt idx="67">
                  <c:v>1967</c:v>
                </c:pt>
                <c:pt idx="68">
                  <c:v>1968</c:v>
                </c:pt>
                <c:pt idx="69">
                  <c:v>1969</c:v>
                </c:pt>
                <c:pt idx="70">
                  <c:v>1970</c:v>
                </c:pt>
                <c:pt idx="71">
                  <c:v>1971</c:v>
                </c:pt>
                <c:pt idx="72">
                  <c:v>1972</c:v>
                </c:pt>
                <c:pt idx="74">
                  <c:v>1973</c:v>
                </c:pt>
                <c:pt idx="75">
                  <c:v>1974</c:v>
                </c:pt>
                <c:pt idx="76">
                  <c:v>1975</c:v>
                </c:pt>
                <c:pt idx="77">
                  <c:v>1976</c:v>
                </c:pt>
                <c:pt idx="78">
                  <c:v>1977</c:v>
                </c:pt>
                <c:pt idx="79">
                  <c:v>1978</c:v>
                </c:pt>
                <c:pt idx="80">
                  <c:v>1979</c:v>
                </c:pt>
                <c:pt idx="81">
                  <c:v>1980</c:v>
                </c:pt>
                <c:pt idx="82">
                  <c:v>1981</c:v>
                </c:pt>
                <c:pt idx="83">
                  <c:v>1982</c:v>
                </c:pt>
                <c:pt idx="84">
                  <c:v>1983</c:v>
                </c:pt>
                <c:pt idx="85">
                  <c:v>1984</c:v>
                </c:pt>
                <c:pt idx="86">
                  <c:v>1985</c:v>
                </c:pt>
                <c:pt idx="87">
                  <c:v>1986</c:v>
                </c:pt>
                <c:pt idx="88">
                  <c:v>1987</c:v>
                </c:pt>
                <c:pt idx="89">
                  <c:v>1988</c:v>
                </c:pt>
                <c:pt idx="90">
                  <c:v>1989</c:v>
                </c:pt>
                <c:pt idx="91">
                  <c:v>1990</c:v>
                </c:pt>
                <c:pt idx="92">
                  <c:v>1991</c:v>
                </c:pt>
                <c:pt idx="93">
                  <c:v>1992</c:v>
                </c:pt>
                <c:pt idx="94">
                  <c:v>1993</c:v>
                </c:pt>
                <c:pt idx="95">
                  <c:v>1994</c:v>
                </c:pt>
                <c:pt idx="96">
                  <c:v>1995</c:v>
                </c:pt>
                <c:pt idx="97">
                  <c:v>1996</c:v>
                </c:pt>
                <c:pt idx="98">
                  <c:v>1997</c:v>
                </c:pt>
                <c:pt idx="99">
                  <c:v>1998</c:v>
                </c:pt>
                <c:pt idx="100">
                  <c:v>1999</c:v>
                </c:pt>
                <c:pt idx="101">
                  <c:v>2000</c:v>
                </c:pt>
                <c:pt idx="102">
                  <c:v>2001</c:v>
                </c:pt>
                <c:pt idx="103">
                  <c:v>2002</c:v>
                </c:pt>
                <c:pt idx="104">
                  <c:v>2003</c:v>
                </c:pt>
                <c:pt idx="105">
                  <c:v>2004</c:v>
                </c:pt>
                <c:pt idx="106">
                  <c:v>2005</c:v>
                </c:pt>
                <c:pt idx="107">
                  <c:v>2006</c:v>
                </c:pt>
                <c:pt idx="108">
                  <c:v>2007</c:v>
                </c:pt>
                <c:pt idx="109">
                  <c:v>2008</c:v>
                </c:pt>
                <c:pt idx="110">
                  <c:v>2009</c:v>
                </c:pt>
              </c:numCache>
            </c:numRef>
          </c:xVal>
          <c:yVal>
            <c:numRef>
              <c:f>Data!$U$61:$U$171</c:f>
              <c:numCache>
                <c:formatCode>0%</c:formatCode>
                <c:ptCount val="111"/>
                <c:pt idx="0" formatCode="0.0%">
                  <c:v>0.47075372340425531</c:v>
                </c:pt>
                <c:pt idx="1">
                  <c:v>#N/A</c:v>
                </c:pt>
                <c:pt idx="2">
                  <c:v>#N/A</c:v>
                </c:pt>
                <c:pt idx="3">
                  <c:v>#N/A</c:v>
                </c:pt>
                <c:pt idx="4">
                  <c:v>#N/A</c:v>
                </c:pt>
                <c:pt idx="5">
                  <c:v>#N/A</c:v>
                </c:pt>
                <c:pt idx="6">
                  <c:v>#N/A</c:v>
                </c:pt>
                <c:pt idx="7">
                  <c:v>#N/A</c:v>
                </c:pt>
                <c:pt idx="8" formatCode="0.0%">
                  <c:v>0.4625936170212766</c:v>
                </c:pt>
                <c:pt idx="9" formatCode="0.0%">
                  <c:v>0.46765851063829794</c:v>
                </c:pt>
                <c:pt idx="10" formatCode="0.0%">
                  <c:v>0.47103510638297869</c:v>
                </c:pt>
                <c:pt idx="11" formatCode="0.0%">
                  <c:v>0.47159787234042555</c:v>
                </c:pt>
                <c:pt idx="12" formatCode="0.0%">
                  <c:v>0.47159787234042555</c:v>
                </c:pt>
                <c:pt idx="13" formatCode="0.0%">
                  <c:v>0.48003936170212763</c:v>
                </c:pt>
                <c:pt idx="14" formatCode="0.0%">
                  <c:v>0.45640319148936165</c:v>
                </c:pt>
                <c:pt idx="15" formatCode="0.0%">
                  <c:v>0.45977978723404256</c:v>
                </c:pt>
                <c:pt idx="16" formatCode="0.0%">
                  <c:v>0.44852446808510638</c:v>
                </c:pt>
                <c:pt idx="17" formatCode="0.0%">
                  <c:v>0.3973127659574468</c:v>
                </c:pt>
                <c:pt idx="18" formatCode="0.0%">
                  <c:v>0.37030000000000002</c:v>
                </c:pt>
                <c:pt idx="19" formatCode="0.0%">
                  <c:v>0.38729999999999998</c:v>
                </c:pt>
                <c:pt idx="20" formatCode="0.0%">
                  <c:v>0.40755000000000002</c:v>
                </c:pt>
                <c:pt idx="21" formatCode="0.0%">
                  <c:v>0.40805000000000002</c:v>
                </c:pt>
                <c:pt idx="22" formatCode="0.0%">
                  <c:v>0.41795000000000004</c:v>
                </c:pt>
                <c:pt idx="23" formatCode="0.0%">
                  <c:v>0.42015000000000002</c:v>
                </c:pt>
                <c:pt idx="24" formatCode="0.0%">
                  <c:v>0.41775000000000007</c:v>
                </c:pt>
                <c:pt idx="25" formatCode="0.0%">
                  <c:v>0.41515000000000002</c:v>
                </c:pt>
                <c:pt idx="26" formatCode="0.0%">
                  <c:v>0.41395000000000004</c:v>
                </c:pt>
                <c:pt idx="27" formatCode="0.0%">
                  <c:v>0.41215000000000002</c:v>
                </c:pt>
                <c:pt idx="28" formatCode="0.0%">
                  <c:v>0.41265000000000002</c:v>
                </c:pt>
                <c:pt idx="29" formatCode="0.0%">
                  <c:v>0.41054999999999997</c:v>
                </c:pt>
                <c:pt idx="30" formatCode="0.0%">
                  <c:v>0.40535000000000004</c:v>
                </c:pt>
                <c:pt idx="31" formatCode="0.0%">
                  <c:v>0.39895000000000003</c:v>
                </c:pt>
                <c:pt idx="32" formatCode="0.0%">
                  <c:v>0.39594999999999997</c:v>
                </c:pt>
                <c:pt idx="33" formatCode="0.0%">
                  <c:v>0.39474999999999999</c:v>
                </c:pt>
                <c:pt idx="34" formatCode="0.0%">
                  <c:v>0.39505000000000001</c:v>
                </c:pt>
                <c:pt idx="35" formatCode="0.0%">
                  <c:v>0.39685000000000004</c:v>
                </c:pt>
                <c:pt idx="36" formatCode="0.0%">
                  <c:v>0.39755000000000001</c:v>
                </c:pt>
                <c:pt idx="37" formatCode="0.0%">
                  <c:v>0.38369999999999999</c:v>
                </c:pt>
                <c:pt idx="38" formatCode="0.0%">
                  <c:v>0.38329999999999997</c:v>
                </c:pt>
                <c:pt idx="39" formatCode="0.0%">
                  <c:v>0.37890000000000001</c:v>
                </c:pt>
                <c:pt idx="40" formatCode="0.0%">
                  <c:v>0.36530000000000001</c:v>
                </c:pt>
                <c:pt idx="41" formatCode="0.0%">
                  <c:v>0.35189999999999999</c:v>
                </c:pt>
                <c:pt idx="42" formatCode="0.0%">
                  <c:v>0.3407</c:v>
                </c:pt>
                <c:pt idx="43" formatCode="0.0%">
                  <c:v>0.33649999999999997</c:v>
                </c:pt>
                <c:pt idx="44" formatCode="0.0%">
                  <c:v>0.33449999999999996</c:v>
                </c:pt>
                <c:pt idx="45" formatCode="0.0%">
                  <c:v>0.33649999999999997</c:v>
                </c:pt>
                <c:pt idx="46" formatCode="0.0%">
                  <c:v>0.34149999999999997</c:v>
                </c:pt>
                <c:pt idx="47" formatCode="0.0%">
                  <c:v>0.33390000000000003</c:v>
                </c:pt>
                <c:pt idx="48" formatCode="0.0%">
                  <c:v>0.32909999999999995</c:v>
                </c:pt>
                <c:pt idx="49" formatCode="0.0%">
                  <c:v>0.32250000000000001</c:v>
                </c:pt>
                <c:pt idx="50">
                  <c:v>#N/A</c:v>
                </c:pt>
                <c:pt idx="51" formatCode="0.0%">
                  <c:v>0.31670000000000004</c:v>
                </c:pt>
                <c:pt idx="52" formatCode="0.0%">
                  <c:v>0.30980000000000002</c:v>
                </c:pt>
                <c:pt idx="53" formatCode="0.0%">
                  <c:v>0.30499999999999999</c:v>
                </c:pt>
                <c:pt idx="54" formatCode="0.0%">
                  <c:v>0.30630000000000002</c:v>
                </c:pt>
                <c:pt idx="55" formatCode="0.0%">
                  <c:v>0.30259999999999998</c:v>
                </c:pt>
                <c:pt idx="56" formatCode="0.0%">
                  <c:v>0.29709999999999992</c:v>
                </c:pt>
                <c:pt idx="57" formatCode="0.0%">
                  <c:v>0.29659999999999997</c:v>
                </c:pt>
                <c:pt idx="58" formatCode="0.0%">
                  <c:v>0.29719999999999996</c:v>
                </c:pt>
                <c:pt idx="59" formatCode="0.0%">
                  <c:v>0.29960000000000003</c:v>
                </c:pt>
                <c:pt idx="60" formatCode="0.0%">
                  <c:v>0.30229999999999996</c:v>
                </c:pt>
                <c:pt idx="61">
                  <c:v>#N/A</c:v>
                </c:pt>
                <c:pt idx="62" formatCode="0.0%">
                  <c:v>0.29370000000000002</c:v>
                </c:pt>
                <c:pt idx="63" formatCode="0.0%">
                  <c:v>0.2994</c:v>
                </c:pt>
                <c:pt idx="64" formatCode="0.0%">
                  <c:v>0.29909999999999998</c:v>
                </c:pt>
                <c:pt idx="65" formatCode="0.0%">
                  <c:v>0.29880000000000001</c:v>
                </c:pt>
                <c:pt idx="66" formatCode="0.0%">
                  <c:v>0.28939999999999999</c:v>
                </c:pt>
                <c:pt idx="67" formatCode="0.0%">
                  <c:v>0.2878</c:v>
                </c:pt>
                <c:pt idx="68" formatCode="0.0%">
                  <c:v>0.28550000000000003</c:v>
                </c:pt>
                <c:pt idx="69" formatCode="0.0%">
                  <c:v>0.28720000000000001</c:v>
                </c:pt>
                <c:pt idx="70" formatCode="0.0%">
                  <c:v>0.28820000000000001</c:v>
                </c:pt>
                <c:pt idx="71" formatCode="0.0%">
                  <c:v>0.29289999999999999</c:v>
                </c:pt>
                <c:pt idx="72" formatCode="0.0%">
                  <c:v>0.28899999999999998</c:v>
                </c:pt>
                <c:pt idx="74" formatCode="0.0%">
                  <c:v>0.28309999999999996</c:v>
                </c:pt>
                <c:pt idx="75" formatCode="0.0%">
                  <c:v>0.28100000000000003</c:v>
                </c:pt>
                <c:pt idx="76" formatCode="0.0%">
                  <c:v>0.2782</c:v>
                </c:pt>
                <c:pt idx="77" formatCode="0.0%">
                  <c:v>0.27889999999999998</c:v>
                </c:pt>
                <c:pt idx="78" formatCode="0.0%">
                  <c:v>0.27960000000000002</c:v>
                </c:pt>
                <c:pt idx="79" formatCode="0.0%">
                  <c:v>0.27779999999999999</c:v>
                </c:pt>
                <c:pt idx="80" formatCode="0.0%">
                  <c:v>0.28370000000000001</c:v>
                </c:pt>
                <c:pt idx="81" formatCode="0.0%">
                  <c:v>#N/A</c:v>
                </c:pt>
                <c:pt idx="82" formatCode="0.0%">
                  <c:v>0.31030000000000002</c:v>
                </c:pt>
                <c:pt idx="83" formatCode="0.0%">
                  <c:v>0.31230000000000002</c:v>
                </c:pt>
                <c:pt idx="84" formatCode="0.0%">
                  <c:v>0.31759999999999999</c:v>
                </c:pt>
                <c:pt idx="85" formatCode="0.0%">
                  <c:v>0.32520000000000004</c:v>
                </c:pt>
                <c:pt idx="86" formatCode="0.0%">
                  <c:v>0.32650000000000001</c:v>
                </c:pt>
                <c:pt idx="87" formatCode="0.0%">
                  <c:v>0.32939999999999997</c:v>
                </c:pt>
                <c:pt idx="88" formatCode="0.0%">
                  <c:v>0.33270000000000005</c:v>
                </c:pt>
                <c:pt idx="89" formatCode="0.0%">
                  <c:v>0.34210000000000002</c:v>
                </c:pt>
                <c:pt idx="90" formatCode="0.0%">
                  <c:v>0.34149999999999997</c:v>
                </c:pt>
                <c:pt idx="91" formatCode="0.0%">
                  <c:v>0.36899999999999999</c:v>
                </c:pt>
                <c:pt idx="92" formatCode="0.0%">
                  <c:v>0.3765</c:v>
                </c:pt>
                <c:pt idx="93" formatCode="0.0%">
                  <c:v>0.37640000000000001</c:v>
                </c:pt>
                <c:pt idx="94" formatCode="0.0%">
                  <c:v>0.38340000000000002</c:v>
                </c:pt>
                <c:pt idx="95" formatCode="0.0%">
                  <c:v>0.38329999999999997</c:v>
                </c:pt>
                <c:pt idx="96" formatCode="0.0%">
                  <c:v>0.3851</c:v>
                </c:pt>
                <c:pt idx="97" formatCode="0.0%">
                  <c:v>0.39299999999999996</c:v>
                </c:pt>
                <c:pt idx="98" formatCode="0.0%">
                  <c:v>0.38939999999999997</c:v>
                </c:pt>
                <c:pt idx="99" formatCode="0.0%">
                  <c:v>0.3947</c:v>
                </c:pt>
                <c:pt idx="100" formatCode="0.0%">
                  <c:v>0.38969999999999999</c:v>
                </c:pt>
                <c:pt idx="101" formatCode="0.0%">
                  <c:v>0.38429999999999997</c:v>
                </c:pt>
                <c:pt idx="102" formatCode="0.0%">
                  <c:v>0.39329999999999998</c:v>
                </c:pt>
                <c:pt idx="103" formatCode="0.0%">
                  <c:v>0.38689999999999997</c:v>
                </c:pt>
                <c:pt idx="104" formatCode="0.0%">
                  <c:v>0.3775</c:v>
                </c:pt>
                <c:pt idx="105" formatCode="0.0%">
                  <c:v>0.39539999999999997</c:v>
                </c:pt>
                <c:pt idx="106" formatCode="0.0%">
                  <c:v>0.41619999999999996</c:v>
                </c:pt>
                <c:pt idx="107" formatCode="0.0%">
                  <c:v>0.4199</c:v>
                </c:pt>
                <c:pt idx="108" formatCode="0.0%">
                  <c:v>0.42609999999999998</c:v>
                </c:pt>
                <c:pt idx="109" formatCode="0.0%">
                  <c:v>0.41676666666666667</c:v>
                </c:pt>
                <c:pt idx="110" formatCode="0.0%">
                  <c:v>0.40429999999999999</c:v>
                </c:pt>
              </c:numCache>
            </c:numRef>
          </c:yVal>
          <c:smooth val="0"/>
          <c:extLst>
            <c:ext xmlns:c16="http://schemas.microsoft.com/office/drawing/2014/chart" uri="{C3380CC4-5D6E-409C-BE32-E72D297353CC}">
              <c16:uniqueId val="{00000001-205D-4161-9AFA-AE193D3A3294}"/>
            </c:ext>
          </c:extLst>
        </c:ser>
        <c:dLbls>
          <c:showLegendKey val="0"/>
          <c:showVal val="0"/>
          <c:showCatName val="0"/>
          <c:showSerName val="0"/>
          <c:showPercent val="0"/>
          <c:showBubbleSize val="0"/>
        </c:dLbls>
        <c:axId val="557589736"/>
        <c:axId val="557588752"/>
      </c:scatterChart>
      <c:valAx>
        <c:axId val="5538151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813808"/>
        <c:crosses val="autoZero"/>
        <c:crossBetween val="midCat"/>
      </c:valAx>
      <c:valAx>
        <c:axId val="553813808"/>
        <c:scaling>
          <c:orientation val="minMax"/>
          <c:min val="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rgbClr val="FF0000"/>
                    </a:solidFill>
                    <a:latin typeface="+mn-lt"/>
                    <a:ea typeface="+mn-ea"/>
                    <a:cs typeface="+mn-cs"/>
                  </a:defRPr>
                </a:pPr>
                <a:r>
                  <a:rPr lang="en-US">
                    <a:solidFill>
                      <a:srgbClr val="FF0000"/>
                    </a:solidFill>
                  </a:rPr>
                  <a:t>capital income ratio (K/Y)</a:t>
                </a:r>
              </a:p>
            </c:rich>
          </c:tx>
          <c:overlay val="0"/>
          <c:spPr>
            <a:noFill/>
            <a:ln>
              <a:noFill/>
            </a:ln>
            <a:effectLst/>
          </c:spPr>
          <c:txPr>
            <a:bodyPr rot="-5400000" spcFirstLastPara="1" vertOverflow="ellipsis" vert="horz" wrap="square" anchor="ctr" anchorCtr="1"/>
            <a:lstStyle/>
            <a:p>
              <a:pPr>
                <a:defRPr sz="1000" b="0" i="0" u="none" strike="noStrike" kern="1200" baseline="0">
                  <a:solidFill>
                    <a:srgbClr val="FF0000"/>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rgbClr val="FF0000"/>
                </a:solidFill>
                <a:latin typeface="+mn-lt"/>
                <a:ea typeface="+mn-ea"/>
                <a:cs typeface="+mn-cs"/>
              </a:defRPr>
            </a:pPr>
            <a:endParaRPr lang="en-US"/>
          </a:p>
        </c:txPr>
        <c:crossAx val="553815120"/>
        <c:crosses val="autoZero"/>
        <c:crossBetween val="midCat"/>
      </c:valAx>
      <c:valAx>
        <c:axId val="557588752"/>
        <c:scaling>
          <c:orientation val="minMax"/>
          <c:min val="0.25"/>
        </c:scaling>
        <c:delete val="0"/>
        <c:axPos val="r"/>
        <c:title>
          <c:tx>
            <c:rich>
              <a:bodyPr rot="-5400000" spcFirstLastPara="1" vertOverflow="ellipsis" vert="horz" wrap="square" anchor="ctr" anchorCtr="1"/>
              <a:lstStyle/>
              <a:p>
                <a:pPr>
                  <a:defRPr sz="1000" b="0" i="0" u="none" strike="noStrike" kern="1200" baseline="0">
                    <a:solidFill>
                      <a:srgbClr val="0070C0"/>
                    </a:solidFill>
                    <a:latin typeface="+mn-lt"/>
                    <a:ea typeface="+mn-ea"/>
                    <a:cs typeface="+mn-cs"/>
                  </a:defRPr>
                </a:pPr>
                <a:r>
                  <a:rPr lang="en-US">
                    <a:solidFill>
                      <a:srgbClr val="0070C0"/>
                    </a:solidFill>
                  </a:rPr>
                  <a:t>Top 10% Income Share</a:t>
                </a:r>
              </a:p>
            </c:rich>
          </c:tx>
          <c:overlay val="0"/>
          <c:spPr>
            <a:noFill/>
            <a:ln>
              <a:noFill/>
            </a:ln>
            <a:effectLst/>
          </c:spPr>
          <c:txPr>
            <a:bodyPr rot="-5400000" spcFirstLastPara="1" vertOverflow="ellipsis" vert="horz" wrap="square" anchor="ctr" anchorCtr="1"/>
            <a:lstStyle/>
            <a:p>
              <a:pPr>
                <a:defRPr sz="1000" b="0" i="0" u="none" strike="noStrike" kern="1200" baseline="0">
                  <a:solidFill>
                    <a:srgbClr val="0070C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rgbClr val="0070C0"/>
                </a:solidFill>
                <a:latin typeface="+mn-lt"/>
                <a:ea typeface="+mn-ea"/>
                <a:cs typeface="+mn-cs"/>
              </a:defRPr>
            </a:pPr>
            <a:endParaRPr lang="en-US"/>
          </a:p>
        </c:txPr>
        <c:crossAx val="557589736"/>
        <c:crosses val="max"/>
        <c:crossBetween val="midCat"/>
      </c:valAx>
      <c:valAx>
        <c:axId val="557589736"/>
        <c:scaling>
          <c:orientation val="minMax"/>
        </c:scaling>
        <c:delete val="1"/>
        <c:axPos val="b"/>
        <c:numFmt formatCode="General" sourceLinked="1"/>
        <c:majorTickMark val="out"/>
        <c:minorTickMark val="none"/>
        <c:tickLblPos val="nextTo"/>
        <c:crossAx val="55758875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UK Top 10% Income Share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rgbClr val="0070C0"/>
              </a:solidFill>
              <a:round/>
            </a:ln>
            <a:effectLst/>
          </c:spPr>
          <c:marker>
            <c:symbol val="circle"/>
            <c:size val="5"/>
            <c:spPr>
              <a:solidFill>
                <a:srgbClr val="0070C0"/>
              </a:solidFill>
              <a:ln w="9525">
                <a:solidFill>
                  <a:srgbClr val="0070C0"/>
                </a:solidFill>
              </a:ln>
              <a:effectLst/>
            </c:spPr>
          </c:marker>
          <c:xVal>
            <c:numRef>
              <c:f>Data!$T$61:$T$172</c:f>
              <c:numCache>
                <c:formatCode>General</c:formatCode>
                <c:ptCount val="112"/>
                <c:pt idx="0">
                  <c:v>1900</c:v>
                </c:pt>
                <c:pt idx="1">
                  <c:v>1901</c:v>
                </c:pt>
                <c:pt idx="2">
                  <c:v>1902</c:v>
                </c:pt>
                <c:pt idx="3">
                  <c:v>1903</c:v>
                </c:pt>
                <c:pt idx="4">
                  <c:v>1904</c:v>
                </c:pt>
                <c:pt idx="5">
                  <c:v>1905</c:v>
                </c:pt>
                <c:pt idx="6">
                  <c:v>1906</c:v>
                </c:pt>
                <c:pt idx="7">
                  <c:v>1907</c:v>
                </c:pt>
                <c:pt idx="8">
                  <c:v>1908</c:v>
                </c:pt>
                <c:pt idx="9">
                  <c:v>1909</c:v>
                </c:pt>
                <c:pt idx="10">
                  <c:v>1910</c:v>
                </c:pt>
                <c:pt idx="11">
                  <c:v>1911</c:v>
                </c:pt>
                <c:pt idx="12">
                  <c:v>1912</c:v>
                </c:pt>
                <c:pt idx="13">
                  <c:v>1913</c:v>
                </c:pt>
                <c:pt idx="14">
                  <c:v>1914</c:v>
                </c:pt>
                <c:pt idx="15">
                  <c:v>1915</c:v>
                </c:pt>
                <c:pt idx="16">
                  <c:v>1916</c:v>
                </c:pt>
                <c:pt idx="17">
                  <c:v>1917</c:v>
                </c:pt>
                <c:pt idx="18">
                  <c:v>1918</c:v>
                </c:pt>
                <c:pt idx="19">
                  <c:v>1919</c:v>
                </c:pt>
                <c:pt idx="20">
                  <c:v>1920</c:v>
                </c:pt>
                <c:pt idx="21">
                  <c:v>1921</c:v>
                </c:pt>
                <c:pt idx="22">
                  <c:v>1922</c:v>
                </c:pt>
                <c:pt idx="23">
                  <c:v>1923</c:v>
                </c:pt>
                <c:pt idx="24">
                  <c:v>1924</c:v>
                </c:pt>
                <c:pt idx="25">
                  <c:v>1925</c:v>
                </c:pt>
                <c:pt idx="26">
                  <c:v>1926</c:v>
                </c:pt>
                <c:pt idx="27">
                  <c:v>1927</c:v>
                </c:pt>
                <c:pt idx="28">
                  <c:v>1928</c:v>
                </c:pt>
                <c:pt idx="29">
                  <c:v>1929</c:v>
                </c:pt>
                <c:pt idx="30">
                  <c:v>1930</c:v>
                </c:pt>
                <c:pt idx="31">
                  <c:v>1931</c:v>
                </c:pt>
                <c:pt idx="32">
                  <c:v>1932</c:v>
                </c:pt>
                <c:pt idx="33">
                  <c:v>1933</c:v>
                </c:pt>
                <c:pt idx="34">
                  <c:v>1934</c:v>
                </c:pt>
                <c:pt idx="35">
                  <c:v>1935</c:v>
                </c:pt>
                <c:pt idx="36">
                  <c:v>1936</c:v>
                </c:pt>
                <c:pt idx="37">
                  <c:v>1937</c:v>
                </c:pt>
                <c:pt idx="38">
                  <c:v>1938</c:v>
                </c:pt>
                <c:pt idx="39">
                  <c:v>1939</c:v>
                </c:pt>
                <c:pt idx="40">
                  <c:v>1940</c:v>
                </c:pt>
                <c:pt idx="41">
                  <c:v>1941</c:v>
                </c:pt>
                <c:pt idx="42">
                  <c:v>1942</c:v>
                </c:pt>
                <c:pt idx="43">
                  <c:v>1943</c:v>
                </c:pt>
                <c:pt idx="44">
                  <c:v>1944</c:v>
                </c:pt>
                <c:pt idx="45">
                  <c:v>1945</c:v>
                </c:pt>
                <c:pt idx="46">
                  <c:v>1946</c:v>
                </c:pt>
                <c:pt idx="47">
                  <c:v>1947</c:v>
                </c:pt>
                <c:pt idx="48">
                  <c:v>1948</c:v>
                </c:pt>
                <c:pt idx="49">
                  <c:v>1949</c:v>
                </c:pt>
                <c:pt idx="50">
                  <c:v>1950</c:v>
                </c:pt>
                <c:pt idx="51">
                  <c:v>1951</c:v>
                </c:pt>
                <c:pt idx="52">
                  <c:v>1952</c:v>
                </c:pt>
                <c:pt idx="53">
                  <c:v>1953</c:v>
                </c:pt>
                <c:pt idx="54">
                  <c:v>1954</c:v>
                </c:pt>
                <c:pt idx="55">
                  <c:v>1955</c:v>
                </c:pt>
                <c:pt idx="56">
                  <c:v>1956</c:v>
                </c:pt>
                <c:pt idx="57">
                  <c:v>1957</c:v>
                </c:pt>
                <c:pt idx="58">
                  <c:v>1958</c:v>
                </c:pt>
                <c:pt idx="59">
                  <c:v>1959</c:v>
                </c:pt>
                <c:pt idx="60">
                  <c:v>1960</c:v>
                </c:pt>
                <c:pt idx="61">
                  <c:v>1961</c:v>
                </c:pt>
                <c:pt idx="62">
                  <c:v>1962</c:v>
                </c:pt>
                <c:pt idx="63">
                  <c:v>1963</c:v>
                </c:pt>
                <c:pt idx="64">
                  <c:v>1964</c:v>
                </c:pt>
                <c:pt idx="65">
                  <c:v>1965</c:v>
                </c:pt>
                <c:pt idx="66">
                  <c:v>1966</c:v>
                </c:pt>
                <c:pt idx="67">
                  <c:v>1967</c:v>
                </c:pt>
                <c:pt idx="68">
                  <c:v>1968</c:v>
                </c:pt>
                <c:pt idx="69">
                  <c:v>1969</c:v>
                </c:pt>
                <c:pt idx="70">
                  <c:v>1970</c:v>
                </c:pt>
                <c:pt idx="71">
                  <c:v>1971</c:v>
                </c:pt>
                <c:pt idx="72">
                  <c:v>1972</c:v>
                </c:pt>
                <c:pt idx="74">
                  <c:v>1973</c:v>
                </c:pt>
                <c:pt idx="75">
                  <c:v>1974</c:v>
                </c:pt>
                <c:pt idx="76">
                  <c:v>1975</c:v>
                </c:pt>
                <c:pt idx="77">
                  <c:v>1976</c:v>
                </c:pt>
                <c:pt idx="78">
                  <c:v>1977</c:v>
                </c:pt>
                <c:pt idx="79">
                  <c:v>1978</c:v>
                </c:pt>
                <c:pt idx="80">
                  <c:v>1979</c:v>
                </c:pt>
                <c:pt idx="81">
                  <c:v>1980</c:v>
                </c:pt>
                <c:pt idx="82">
                  <c:v>1981</c:v>
                </c:pt>
                <c:pt idx="83">
                  <c:v>1982</c:v>
                </c:pt>
                <c:pt idx="84">
                  <c:v>1983</c:v>
                </c:pt>
                <c:pt idx="85">
                  <c:v>1984</c:v>
                </c:pt>
                <c:pt idx="86">
                  <c:v>1985</c:v>
                </c:pt>
                <c:pt idx="87">
                  <c:v>1986</c:v>
                </c:pt>
                <c:pt idx="88">
                  <c:v>1987</c:v>
                </c:pt>
                <c:pt idx="89">
                  <c:v>1988</c:v>
                </c:pt>
                <c:pt idx="90">
                  <c:v>1989</c:v>
                </c:pt>
                <c:pt idx="91">
                  <c:v>1990</c:v>
                </c:pt>
                <c:pt idx="92">
                  <c:v>1991</c:v>
                </c:pt>
                <c:pt idx="93">
                  <c:v>1992</c:v>
                </c:pt>
                <c:pt idx="94">
                  <c:v>1993</c:v>
                </c:pt>
                <c:pt idx="95">
                  <c:v>1994</c:v>
                </c:pt>
                <c:pt idx="96">
                  <c:v>1995</c:v>
                </c:pt>
                <c:pt idx="97">
                  <c:v>1996</c:v>
                </c:pt>
                <c:pt idx="98">
                  <c:v>1997</c:v>
                </c:pt>
                <c:pt idx="99">
                  <c:v>1998</c:v>
                </c:pt>
                <c:pt idx="100">
                  <c:v>1999</c:v>
                </c:pt>
                <c:pt idx="101">
                  <c:v>2000</c:v>
                </c:pt>
                <c:pt idx="102">
                  <c:v>2001</c:v>
                </c:pt>
                <c:pt idx="103">
                  <c:v>2002</c:v>
                </c:pt>
                <c:pt idx="104">
                  <c:v>2003</c:v>
                </c:pt>
                <c:pt idx="105">
                  <c:v>2004</c:v>
                </c:pt>
                <c:pt idx="106">
                  <c:v>2005</c:v>
                </c:pt>
                <c:pt idx="107">
                  <c:v>2006</c:v>
                </c:pt>
                <c:pt idx="108">
                  <c:v>2007</c:v>
                </c:pt>
                <c:pt idx="109">
                  <c:v>2008</c:v>
                </c:pt>
                <c:pt idx="110">
                  <c:v>2009</c:v>
                </c:pt>
                <c:pt idx="111">
                  <c:v>2010</c:v>
                </c:pt>
              </c:numCache>
            </c:numRef>
          </c:xVal>
          <c:yVal>
            <c:numRef>
              <c:f>Data!$U$61:$U$172</c:f>
              <c:numCache>
                <c:formatCode>0%</c:formatCode>
                <c:ptCount val="112"/>
                <c:pt idx="0" formatCode="0.0%">
                  <c:v>0.47075372340425531</c:v>
                </c:pt>
                <c:pt idx="1">
                  <c:v>#N/A</c:v>
                </c:pt>
                <c:pt idx="2">
                  <c:v>#N/A</c:v>
                </c:pt>
                <c:pt idx="3">
                  <c:v>#N/A</c:v>
                </c:pt>
                <c:pt idx="4">
                  <c:v>#N/A</c:v>
                </c:pt>
                <c:pt idx="5">
                  <c:v>#N/A</c:v>
                </c:pt>
                <c:pt idx="6">
                  <c:v>#N/A</c:v>
                </c:pt>
                <c:pt idx="7">
                  <c:v>#N/A</c:v>
                </c:pt>
                <c:pt idx="8" formatCode="0.0%">
                  <c:v>0.4625936170212766</c:v>
                </c:pt>
                <c:pt idx="9" formatCode="0.0%">
                  <c:v>0.46765851063829794</c:v>
                </c:pt>
                <c:pt idx="10" formatCode="0.0%">
                  <c:v>0.47103510638297869</c:v>
                </c:pt>
                <c:pt idx="11" formatCode="0.0%">
                  <c:v>0.47159787234042555</c:v>
                </c:pt>
                <c:pt idx="12" formatCode="0.0%">
                  <c:v>0.47159787234042555</c:v>
                </c:pt>
                <c:pt idx="13" formatCode="0.0%">
                  <c:v>0.48003936170212763</c:v>
                </c:pt>
                <c:pt idx="14" formatCode="0.0%">
                  <c:v>0.45640319148936165</c:v>
                </c:pt>
                <c:pt idx="15" formatCode="0.0%">
                  <c:v>0.45977978723404256</c:v>
                </c:pt>
                <c:pt idx="16" formatCode="0.0%">
                  <c:v>0.44852446808510638</c:v>
                </c:pt>
                <c:pt idx="17" formatCode="0.0%">
                  <c:v>0.3973127659574468</c:v>
                </c:pt>
                <c:pt idx="18" formatCode="0.0%">
                  <c:v>0.37030000000000002</c:v>
                </c:pt>
                <c:pt idx="19" formatCode="0.0%">
                  <c:v>0.38729999999999998</c:v>
                </c:pt>
                <c:pt idx="20" formatCode="0.0%">
                  <c:v>0.40755000000000002</c:v>
                </c:pt>
                <c:pt idx="21" formatCode="0.0%">
                  <c:v>0.40805000000000002</c:v>
                </c:pt>
                <c:pt idx="22" formatCode="0.0%">
                  <c:v>0.41795000000000004</c:v>
                </c:pt>
                <c:pt idx="23" formatCode="0.0%">
                  <c:v>0.42015000000000002</c:v>
                </c:pt>
                <c:pt idx="24" formatCode="0.0%">
                  <c:v>0.41775000000000007</c:v>
                </c:pt>
                <c:pt idx="25" formatCode="0.0%">
                  <c:v>0.41515000000000002</c:v>
                </c:pt>
                <c:pt idx="26" formatCode="0.0%">
                  <c:v>0.41395000000000004</c:v>
                </c:pt>
                <c:pt idx="27" formatCode="0.0%">
                  <c:v>0.41215000000000002</c:v>
                </c:pt>
                <c:pt idx="28" formatCode="0.0%">
                  <c:v>0.41265000000000002</c:v>
                </c:pt>
                <c:pt idx="29" formatCode="0.0%">
                  <c:v>0.41054999999999997</c:v>
                </c:pt>
                <c:pt idx="30" formatCode="0.0%">
                  <c:v>0.40535000000000004</c:v>
                </c:pt>
                <c:pt idx="31" formatCode="0.0%">
                  <c:v>0.39895000000000003</c:v>
                </c:pt>
                <c:pt idx="32" formatCode="0.0%">
                  <c:v>0.39594999999999997</c:v>
                </c:pt>
                <c:pt idx="33" formatCode="0.0%">
                  <c:v>0.39474999999999999</c:v>
                </c:pt>
                <c:pt idx="34" formatCode="0.0%">
                  <c:v>0.39505000000000001</c:v>
                </c:pt>
                <c:pt idx="35" formatCode="0.0%">
                  <c:v>0.39685000000000004</c:v>
                </c:pt>
                <c:pt idx="36" formatCode="0.0%">
                  <c:v>0.39755000000000001</c:v>
                </c:pt>
                <c:pt idx="37" formatCode="0.0%">
                  <c:v>0.38369999999999999</c:v>
                </c:pt>
                <c:pt idx="38" formatCode="0.0%">
                  <c:v>0.38329999999999997</c:v>
                </c:pt>
                <c:pt idx="39" formatCode="0.0%">
                  <c:v>0.37890000000000001</c:v>
                </c:pt>
                <c:pt idx="40" formatCode="0.0%">
                  <c:v>0.36530000000000001</c:v>
                </c:pt>
                <c:pt idx="41" formatCode="0.0%">
                  <c:v>0.35189999999999999</c:v>
                </c:pt>
                <c:pt idx="42" formatCode="0.0%">
                  <c:v>0.3407</c:v>
                </c:pt>
                <c:pt idx="43" formatCode="0.0%">
                  <c:v>0.33649999999999997</c:v>
                </c:pt>
                <c:pt idx="44" formatCode="0.0%">
                  <c:v>0.33449999999999996</c:v>
                </c:pt>
                <c:pt idx="45" formatCode="0.0%">
                  <c:v>0.33649999999999997</c:v>
                </c:pt>
                <c:pt idx="46" formatCode="0.0%">
                  <c:v>0.34149999999999997</c:v>
                </c:pt>
                <c:pt idx="47" formatCode="0.0%">
                  <c:v>0.33390000000000003</c:v>
                </c:pt>
                <c:pt idx="48" formatCode="0.0%">
                  <c:v>0.32909999999999995</c:v>
                </c:pt>
                <c:pt idx="49" formatCode="0.0%">
                  <c:v>0.32250000000000001</c:v>
                </c:pt>
                <c:pt idx="50">
                  <c:v>#N/A</c:v>
                </c:pt>
                <c:pt idx="51" formatCode="0.0%">
                  <c:v>0.31670000000000004</c:v>
                </c:pt>
                <c:pt idx="52" formatCode="0.0%">
                  <c:v>0.30980000000000002</c:v>
                </c:pt>
                <c:pt idx="53" formatCode="0.0%">
                  <c:v>0.30499999999999999</c:v>
                </c:pt>
                <c:pt idx="54" formatCode="0.0%">
                  <c:v>0.30630000000000002</c:v>
                </c:pt>
                <c:pt idx="55" formatCode="0.0%">
                  <c:v>0.30259999999999998</c:v>
                </c:pt>
                <c:pt idx="56" formatCode="0.0%">
                  <c:v>0.29709999999999992</c:v>
                </c:pt>
                <c:pt idx="57" formatCode="0.0%">
                  <c:v>0.29659999999999997</c:v>
                </c:pt>
                <c:pt idx="58" formatCode="0.0%">
                  <c:v>0.29719999999999996</c:v>
                </c:pt>
                <c:pt idx="59" formatCode="0.0%">
                  <c:v>0.29960000000000003</c:v>
                </c:pt>
                <c:pt idx="60" formatCode="0.0%">
                  <c:v>0.30229999999999996</c:v>
                </c:pt>
                <c:pt idx="61">
                  <c:v>#N/A</c:v>
                </c:pt>
                <c:pt idx="62" formatCode="0.0%">
                  <c:v>0.29370000000000002</c:v>
                </c:pt>
                <c:pt idx="63" formatCode="0.0%">
                  <c:v>0.2994</c:v>
                </c:pt>
                <c:pt idx="64" formatCode="0.0%">
                  <c:v>0.29909999999999998</c:v>
                </c:pt>
                <c:pt idx="65" formatCode="0.0%">
                  <c:v>0.29880000000000001</c:v>
                </c:pt>
                <c:pt idx="66" formatCode="0.0%">
                  <c:v>0.28939999999999999</c:v>
                </c:pt>
                <c:pt idx="67" formatCode="0.0%">
                  <c:v>0.2878</c:v>
                </c:pt>
                <c:pt idx="68" formatCode="0.0%">
                  <c:v>0.28550000000000003</c:v>
                </c:pt>
                <c:pt idx="69" formatCode="0.0%">
                  <c:v>0.28720000000000001</c:v>
                </c:pt>
                <c:pt idx="70" formatCode="0.0%">
                  <c:v>0.28820000000000001</c:v>
                </c:pt>
                <c:pt idx="71" formatCode="0.0%">
                  <c:v>0.29289999999999999</c:v>
                </c:pt>
                <c:pt idx="72" formatCode="0.0%">
                  <c:v>0.28899999999999998</c:v>
                </c:pt>
                <c:pt idx="74" formatCode="0.0%">
                  <c:v>0.28309999999999996</c:v>
                </c:pt>
                <c:pt idx="75" formatCode="0.0%">
                  <c:v>0.28100000000000003</c:v>
                </c:pt>
                <c:pt idx="76" formatCode="0.0%">
                  <c:v>0.2782</c:v>
                </c:pt>
                <c:pt idx="77" formatCode="0.0%">
                  <c:v>0.27889999999999998</c:v>
                </c:pt>
                <c:pt idx="78" formatCode="0.0%">
                  <c:v>0.27960000000000002</c:v>
                </c:pt>
                <c:pt idx="79" formatCode="0.0%">
                  <c:v>0.27779999999999999</c:v>
                </c:pt>
                <c:pt idx="80" formatCode="0.0%">
                  <c:v>0.28370000000000001</c:v>
                </c:pt>
                <c:pt idx="81" formatCode="0.0%">
                  <c:v>#N/A</c:v>
                </c:pt>
                <c:pt idx="82" formatCode="0.0%">
                  <c:v>0.31030000000000002</c:v>
                </c:pt>
                <c:pt idx="83" formatCode="0.0%">
                  <c:v>0.31230000000000002</c:v>
                </c:pt>
                <c:pt idx="84" formatCode="0.0%">
                  <c:v>0.31759999999999999</c:v>
                </c:pt>
                <c:pt idx="85" formatCode="0.0%">
                  <c:v>0.32520000000000004</c:v>
                </c:pt>
                <c:pt idx="86" formatCode="0.0%">
                  <c:v>0.32650000000000001</c:v>
                </c:pt>
                <c:pt idx="87" formatCode="0.0%">
                  <c:v>0.32939999999999997</c:v>
                </c:pt>
                <c:pt idx="88" formatCode="0.0%">
                  <c:v>0.33270000000000005</c:v>
                </c:pt>
                <c:pt idx="89" formatCode="0.0%">
                  <c:v>0.34210000000000002</c:v>
                </c:pt>
                <c:pt idx="90" formatCode="0.0%">
                  <c:v>0.34149999999999997</c:v>
                </c:pt>
                <c:pt idx="91" formatCode="0.0%">
                  <c:v>0.36899999999999999</c:v>
                </c:pt>
                <c:pt idx="92" formatCode="0.0%">
                  <c:v>0.3765</c:v>
                </c:pt>
                <c:pt idx="93" formatCode="0.0%">
                  <c:v>0.37640000000000001</c:v>
                </c:pt>
                <c:pt idx="94" formatCode="0.0%">
                  <c:v>0.38340000000000002</c:v>
                </c:pt>
                <c:pt idx="95" formatCode="0.0%">
                  <c:v>0.38329999999999997</c:v>
                </c:pt>
                <c:pt idx="96" formatCode="0.0%">
                  <c:v>0.3851</c:v>
                </c:pt>
                <c:pt idx="97" formatCode="0.0%">
                  <c:v>0.39299999999999996</c:v>
                </c:pt>
                <c:pt idx="98" formatCode="0.0%">
                  <c:v>0.38939999999999997</c:v>
                </c:pt>
                <c:pt idx="99" formatCode="0.0%">
                  <c:v>0.3947</c:v>
                </c:pt>
                <c:pt idx="100" formatCode="0.0%">
                  <c:v>0.38969999999999999</c:v>
                </c:pt>
                <c:pt idx="101" formatCode="0.0%">
                  <c:v>0.38429999999999997</c:v>
                </c:pt>
                <c:pt idx="102" formatCode="0.0%">
                  <c:v>0.39329999999999998</c:v>
                </c:pt>
                <c:pt idx="103" formatCode="0.0%">
                  <c:v>0.38689999999999997</c:v>
                </c:pt>
                <c:pt idx="104" formatCode="0.0%">
                  <c:v>0.3775</c:v>
                </c:pt>
                <c:pt idx="105" formatCode="0.0%">
                  <c:v>0.39539999999999997</c:v>
                </c:pt>
                <c:pt idx="106" formatCode="0.0%">
                  <c:v>0.41619999999999996</c:v>
                </c:pt>
                <c:pt idx="107" formatCode="0.0%">
                  <c:v>0.4199</c:v>
                </c:pt>
                <c:pt idx="108" formatCode="0.0%">
                  <c:v>0.42609999999999998</c:v>
                </c:pt>
                <c:pt idx="109" formatCode="0.0%">
                  <c:v>0.41676666666666667</c:v>
                </c:pt>
                <c:pt idx="110" formatCode="0.0%">
                  <c:v>0.40429999999999999</c:v>
                </c:pt>
                <c:pt idx="111" formatCode="0.0%">
                  <c:v>0.41572222222222227</c:v>
                </c:pt>
              </c:numCache>
            </c:numRef>
          </c:yVal>
          <c:smooth val="0"/>
          <c:extLst>
            <c:ext xmlns:c16="http://schemas.microsoft.com/office/drawing/2014/chart" uri="{C3380CC4-5D6E-409C-BE32-E72D297353CC}">
              <c16:uniqueId val="{00000000-9F18-443E-95C0-64E2BBA0E210}"/>
            </c:ext>
          </c:extLst>
        </c:ser>
        <c:dLbls>
          <c:showLegendKey val="0"/>
          <c:showVal val="0"/>
          <c:showCatName val="0"/>
          <c:showSerName val="0"/>
          <c:showPercent val="0"/>
          <c:showBubbleSize val="0"/>
        </c:dLbls>
        <c:axId val="553821680"/>
        <c:axId val="553812168"/>
      </c:scatterChart>
      <c:valAx>
        <c:axId val="553821680"/>
        <c:scaling>
          <c:orientation val="minMax"/>
          <c:min val="190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812168"/>
        <c:crosses val="autoZero"/>
        <c:crossBetween val="midCat"/>
      </c:valAx>
      <c:valAx>
        <c:axId val="553812168"/>
        <c:scaling>
          <c:orientation val="minMax"/>
          <c:max val="0.5"/>
          <c:min val="0.2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Top 10% Income Share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82168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333333"/>
                </a:solidFill>
                <a:latin typeface="Calibri"/>
                <a:ea typeface="Calibri"/>
                <a:cs typeface="Calibri"/>
              </a:defRPr>
            </a:pPr>
            <a:r>
              <a:rPr lang="en-US" sz="1000"/>
              <a:t>Path of K/Y</a:t>
            </a:r>
          </a:p>
        </c:rich>
      </c:tx>
      <c:layout>
        <c:manualLayout>
          <c:xMode val="edge"/>
          <c:yMode val="edge"/>
          <c:x val="0.35974744278460519"/>
          <c:y val="0"/>
        </c:manualLayout>
      </c:layout>
      <c:overlay val="0"/>
      <c:spPr>
        <a:noFill/>
        <a:ln>
          <a:noFill/>
        </a:ln>
        <a:effectLst/>
      </c:spPr>
    </c:title>
    <c:autoTitleDeleted val="0"/>
    <c:plotArea>
      <c:layout>
        <c:manualLayout>
          <c:layoutTarget val="inner"/>
          <c:xMode val="edge"/>
          <c:yMode val="edge"/>
          <c:x val="7.2557509750533516E-2"/>
          <c:y val="0.12296296296296295"/>
          <c:w val="0.8794424902494663"/>
          <c:h val="0.72761180214791987"/>
        </c:manualLayout>
      </c:layout>
      <c:scatterChart>
        <c:scatterStyle val="lineMarker"/>
        <c:varyColors val="0"/>
        <c:ser>
          <c:idx val="0"/>
          <c:order val="0"/>
          <c:tx>
            <c:strRef>
              <c:f>Model!$L$12</c:f>
              <c:strCache>
                <c:ptCount val="1"/>
                <c:pt idx="0">
                  <c:v>K/Y</c:v>
                </c:pt>
              </c:strCache>
            </c:strRef>
          </c:tx>
          <c:spPr>
            <a:ln w="28575" cap="rnd">
              <a:noFill/>
              <a:round/>
            </a:ln>
            <a:effectLst/>
          </c:spPr>
          <c:marker>
            <c:symbol val="circle"/>
            <c:size val="5"/>
            <c:spPr>
              <a:solidFill>
                <a:schemeClr val="accent1"/>
              </a:solidFill>
              <a:ln w="9525">
                <a:solidFill>
                  <a:schemeClr val="accent1"/>
                </a:solidFill>
              </a:ln>
              <a:effectLst/>
            </c:spPr>
          </c:marker>
          <c:xVal>
            <c:numRef>
              <c:f>Model!$A$14:$A$313</c:f>
              <c:numCache>
                <c:formatCode>General</c:formatCode>
                <c:ptCount val="3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numCache>
            </c:numRef>
          </c:xVal>
          <c:yVal>
            <c:numRef>
              <c:f>Model!$L$14:$L$313</c:f>
              <c:numCache>
                <c:formatCode>General</c:formatCode>
                <c:ptCount val="300"/>
                <c:pt idx="0">
                  <c:v>1</c:v>
                </c:pt>
                <c:pt idx="1">
                  <c:v>1.1321096599817053</c:v>
                </c:pt>
                <c:pt idx="2">
                  <c:v>1.2603165528374349</c:v>
                </c:pt>
                <c:pt idx="3">
                  <c:v>1.3846177390894909</c:v>
                </c:pt>
                <c:pt idx="4">
                  <c:v>1.5050498451708563</c:v>
                </c:pt>
                <c:pt idx="5">
                  <c:v>1.6216739404118206</c:v>
                </c:pt>
                <c:pt idx="6">
                  <c:v>1.7345664347305108</c:v>
                </c:pt>
                <c:pt idx="7">
                  <c:v>1.8438133531106571</c:v>
                </c:pt>
                <c:pt idx="8">
                  <c:v>1.9495066044261802</c:v>
                </c:pt>
                <c:pt idx="9">
                  <c:v>2.051741479918733</c:v>
                </c:pt>
                <c:pt idx="10">
                  <c:v>2.1506149378610755</c:v>
                </c:pt>
                <c:pt idx="11">
                  <c:v>2.2462244066573978</c:v>
                </c:pt>
                <c:pt idx="12">
                  <c:v>2.3386669390126471</c:v>
                </c:pt>
                <c:pt idx="13">
                  <c:v>2.4280386093400428</c:v>
                </c:pt>
                <c:pt idx="14">
                  <c:v>2.514434083066365</c:v>
                </c:pt>
                <c:pt idx="15">
                  <c:v>2.5979463095165833</c:v>
                </c:pt>
                <c:pt idx="16">
                  <c:v>2.6786663049625581</c:v>
                </c:pt>
                <c:pt idx="17">
                  <c:v>2.7566830022925579</c:v>
                </c:pt>
                <c:pt idx="18">
                  <c:v>2.8320831504344763</c:v>
                </c:pt>
                <c:pt idx="19">
                  <c:v>2.9049512512657549</c:v>
                </c:pt>
                <c:pt idx="20">
                  <c:v>2.9753695249670185</c:v>
                </c:pt>
                <c:pt idx="21">
                  <c:v>3.0434178970713042</c:v>
                </c:pt>
                <c:pt idx="22">
                  <c:v>3.1091740021175269</c:v>
                </c:pt>
                <c:pt idx="23">
                  <c:v>3.1727132000286438</c:v>
                </c:pt>
                <c:pt idx="24">
                  <c:v>3.2341086022319763</c:v>
                </c:pt>
                <c:pt idx="25">
                  <c:v>3.2934311052104479</c:v>
                </c:pt>
                <c:pt idx="26">
                  <c:v>3.3507494296811182</c:v>
                </c:pt>
                <c:pt idx="27">
                  <c:v>3.4061301639847574</c:v>
                </c:pt>
                <c:pt idx="28">
                  <c:v>3.4596378105684686</c:v>
                </c:pt>
                <c:pt idx="29">
                  <c:v>3.5113348346748476</c:v>
                </c:pt>
                <c:pt idx="30">
                  <c:v>3.5612817145321634</c:v>
                </c:pt>
                <c:pt idx="31">
                  <c:v>3.6095369924825316</c:v>
                </c:pt>
                <c:pt idx="32">
                  <c:v>3.6561573265979583</c:v>
                </c:pt>
                <c:pt idx="33">
                  <c:v>3.7011975424241235</c:v>
                </c:pt>
                <c:pt idx="34">
                  <c:v>3.7447106845638083</c:v>
                </c:pt>
                <c:pt idx="35">
                  <c:v>3.7867480678699965</c:v>
                </c:pt>
                <c:pt idx="36">
                  <c:v>3.8273593280655098</c:v>
                </c:pt>
                <c:pt idx="37">
                  <c:v>3.866592471644231</c:v>
                </c:pt>
                <c:pt idx="38">
                  <c:v>3.9044939249399895</c:v>
                </c:pt>
                <c:pt idx="39">
                  <c:v>3.9411085822744965</c:v>
                </c:pt>
                <c:pt idx="40">
                  <c:v>3.9764798531166083</c:v>
                </c:pt>
                <c:pt idx="41">
                  <c:v>4.0106497082021981</c:v>
                </c:pt>
                <c:pt idx="42">
                  <c:v>4.0436587245779512</c:v>
                </c:pt>
                <c:pt idx="43">
                  <c:v>4.0755461295439988</c:v>
                </c:pt>
                <c:pt idx="44">
                  <c:v>4.1063498434798102</c:v>
                </c:pt>
                <c:pt idx="45">
                  <c:v>4.136106521545555</c:v>
                </c:pt>
                <c:pt idx="46">
                  <c:v>4.1648515942577164</c:v>
                </c:pt>
                <c:pt idx="47">
                  <c:v>4.192619306942877</c:v>
                </c:pt>
                <c:pt idx="48">
                  <c:v>4.2194427580781166</c:v>
                </c:pt>
                <c:pt idx="49">
                  <c:v>4.2453539365298489</c:v>
                </c:pt>
                <c:pt idx="50">
                  <c:v>4.2703837577059192</c:v>
                </c:pt>
                <c:pt idx="51">
                  <c:v>4.2945620986380186</c:v>
                </c:pt>
                <c:pt idx="52">
                  <c:v>4.3179178320133911</c:v>
                </c:pt>
                <c:pt idx="53">
                  <c:v>4.3404788591762227</c:v>
                </c:pt>
                <c:pt idx="54">
                  <c:v>4.3622721421202186</c:v>
                </c:pt>
                <c:pt idx="55">
                  <c:v>4.3833237344947875</c:v>
                </c:pt>
                <c:pt idx="56">
                  <c:v>4.4036588116477837</c:v>
                </c:pt>
                <c:pt idx="57">
                  <c:v>4.4233016997282633</c:v>
                </c:pt>
                <c:pt idx="58">
                  <c:v>4.4422759038728623</c:v>
                </c:pt>
                <c:pt idx="59">
                  <c:v>4.4606041354996533</c:v>
                </c:pt>
                <c:pt idx="60">
                  <c:v>4.4783083387331715</c:v>
                </c:pt>
                <c:pt idx="61">
                  <c:v>4.4954097159843887</c:v>
                </c:pt>
                <c:pt idx="62">
                  <c:v>4.5119287527090437</c:v>
                </c:pt>
                <c:pt idx="63">
                  <c:v>4.5278852413676649</c:v>
                </c:pt>
                <c:pt idx="64">
                  <c:v>4.5432983046101834</c:v>
                </c:pt>
                <c:pt idx="65">
                  <c:v>4.558186417707768</c:v>
                </c:pt>
                <c:pt idx="66">
                  <c:v>4.5725674302541073</c:v>
                </c:pt>
                <c:pt idx="67">
                  <c:v>4.5864585871579298</c:v>
                </c:pt>
                <c:pt idx="68">
                  <c:v>4.599876548948143</c:v>
                </c:pt>
                <c:pt idx="69">
                  <c:v>4.6128374114125084</c:v>
                </c:pt>
                <c:pt idx="70">
                  <c:v>4.6253567245902811</c:v>
                </c:pt>
                <c:pt idx="71">
                  <c:v>4.6374495111387928</c:v>
                </c:pt>
                <c:pt idx="72">
                  <c:v>4.6491302840934559</c:v>
                </c:pt>
                <c:pt idx="73">
                  <c:v>4.6604130640401706</c:v>
                </c:pt>
                <c:pt idx="74">
                  <c:v>4.6713113957186438</c:v>
                </c:pt>
                <c:pt idx="75">
                  <c:v>4.6818383640746291</c:v>
                </c:pt>
                <c:pt idx="76">
                  <c:v>4.6920066097785851</c:v>
                </c:pt>
                <c:pt idx="77">
                  <c:v>4.701828344227847</c:v>
                </c:pt>
                <c:pt idx="78">
                  <c:v>4.7113153640488168</c:v>
                </c:pt>
                <c:pt idx="79">
                  <c:v>4.7204790651152955</c:v>
                </c:pt>
                <c:pt idx="80">
                  <c:v>4.729330456098559</c:v>
                </c:pt>
                <c:pt idx="81">
                  <c:v>4.7378801715643952</c:v>
                </c:pt>
                <c:pt idx="82">
                  <c:v>4.74613848463175</c:v>
                </c:pt>
                <c:pt idx="83">
                  <c:v>4.754115319207342</c:v>
                </c:pt>
                <c:pt idx="84">
                  <c:v>4.7618202618100298</c:v>
                </c:pt>
                <c:pt idx="85">
                  <c:v>4.7692625729984259</c:v>
                </c:pt>
                <c:pt idx="86">
                  <c:v>4.7764511984147138</c:v>
                </c:pt>
                <c:pt idx="87">
                  <c:v>4.7833947794573453</c:v>
                </c:pt>
                <c:pt idx="88">
                  <c:v>4.7901016635948128</c:v>
                </c:pt>
                <c:pt idx="89">
                  <c:v>4.796579914332332</c:v>
                </c:pt>
                <c:pt idx="90">
                  <c:v>4.8028373208429613</c:v>
                </c:pt>
                <c:pt idx="91">
                  <c:v>4.808881407274189</c:v>
                </c:pt>
                <c:pt idx="92">
                  <c:v>4.8147194417408548</c:v>
                </c:pt>
                <c:pt idx="93">
                  <c:v>4.8203584450146995</c:v>
                </c:pt>
                <c:pt idx="94">
                  <c:v>4.8258051989207491</c:v>
                </c:pt>
                <c:pt idx="95">
                  <c:v>4.8310662544502048</c:v>
                </c:pt>
                <c:pt idx="96">
                  <c:v>4.8361479395993268</c:v>
                </c:pt>
                <c:pt idx="97">
                  <c:v>4.8410563669434703</c:v>
                </c:pt>
                <c:pt idx="98">
                  <c:v>4.845797440955077</c:v>
                </c:pt>
                <c:pt idx="99">
                  <c:v>4.8503768650742121</c:v>
                </c:pt>
                <c:pt idx="100">
                  <c:v>4.8548001485399226</c:v>
                </c:pt>
                <c:pt idx="101">
                  <c:v>4.8590726129904249</c:v>
                </c:pt>
                <c:pt idx="102">
                  <c:v>4.8631993988398863</c:v>
                </c:pt>
                <c:pt idx="103">
                  <c:v>4.8671854714392504</c:v>
                </c:pt>
                <c:pt idx="104">
                  <c:v>4.871035627028423</c:v>
                </c:pt>
                <c:pt idx="105">
                  <c:v>4.874754498486765</c:v>
                </c:pt>
                <c:pt idx="106">
                  <c:v>4.8783465608887209</c:v>
                </c:pt>
                <c:pt idx="107">
                  <c:v>4.8818161368711079</c:v>
                </c:pt>
                <c:pt idx="108">
                  <c:v>4.8851674018184106</c:v>
                </c:pt>
                <c:pt idx="109">
                  <c:v>4.8884043888722246</c:v>
                </c:pt>
                <c:pt idx="110">
                  <c:v>4.8915309937707621</c:v>
                </c:pt>
                <c:pt idx="111">
                  <c:v>4.8945509795241495</c:v>
                </c:pt>
                <c:pt idx="112">
                  <c:v>4.8974679809310562</c:v>
                </c:pt>
                <c:pt idx="113">
                  <c:v>4.9002855089420256</c:v>
                </c:pt>
                <c:pt idx="114">
                  <c:v>4.9030069548746411</c:v>
                </c:pt>
                <c:pt idx="115">
                  <c:v>4.9056355944855854</c:v>
                </c:pt>
                <c:pt idx="116">
                  <c:v>4.9081745919043982</c:v>
                </c:pt>
                <c:pt idx="117">
                  <c:v>4.9106270034335964</c:v>
                </c:pt>
                <c:pt idx="118">
                  <c:v>4.9129957812197107</c:v>
                </c:pt>
                <c:pt idx="119">
                  <c:v>4.9152837767995665</c:v>
                </c:pt>
                <c:pt idx="120">
                  <c:v>4.9174937445260749</c:v>
                </c:pt>
                <c:pt idx="121">
                  <c:v>4.91962834487755</c:v>
                </c:pt>
                <c:pt idx="122">
                  <c:v>4.9216901476545711</c:v>
                </c:pt>
                <c:pt idx="123">
                  <c:v>4.9236816350681289</c:v>
                </c:pt>
                <c:pt idx="124">
                  <c:v>4.9256052047228058</c:v>
                </c:pt>
                <c:pt idx="125">
                  <c:v>4.9274631724984577</c:v>
                </c:pt>
                <c:pt idx="126">
                  <c:v>4.9292577753339444</c:v>
                </c:pt>
                <c:pt idx="127">
                  <c:v>4.9309911739161629</c:v>
                </c:pt>
                <c:pt idx="128">
                  <c:v>4.9326654552775704</c:v>
                </c:pt>
                <c:pt idx="129">
                  <c:v>4.9342826353053999</c:v>
                </c:pt>
                <c:pt idx="130">
                  <c:v>4.9358446611654587</c:v>
                </c:pt>
                <c:pt idx="131">
                  <c:v>4.9373534136434669</c:v>
                </c:pt>
                <c:pt idx="132">
                  <c:v>4.9388107094067335</c:v>
                </c:pt>
                <c:pt idx="133">
                  <c:v>4.94021830318884</c:v>
                </c:pt>
                <c:pt idx="134">
                  <c:v>4.9415778898999827</c:v>
                </c:pt>
                <c:pt idx="135">
                  <c:v>4.9428911066654715</c:v>
                </c:pt>
                <c:pt idx="136">
                  <c:v>4.944159534794851</c:v>
                </c:pt>
                <c:pt idx="137">
                  <c:v>4.9453847016839809</c:v>
                </c:pt>
                <c:pt idx="138">
                  <c:v>4.9465680826523446</c:v>
                </c:pt>
                <c:pt idx="139">
                  <c:v>4.9477111027178253</c:v>
                </c:pt>
                <c:pt idx="140">
                  <c:v>4.9488151383110379</c:v>
                </c:pt>
                <c:pt idx="141">
                  <c:v>4.9498815189312744</c:v>
                </c:pt>
                <c:pt idx="142">
                  <c:v>4.9509115287460794</c:v>
                </c:pt>
                <c:pt idx="143">
                  <c:v>4.9519064081363293</c:v>
                </c:pt>
                <c:pt idx="144">
                  <c:v>4.9528673551887152</c:v>
                </c:pt>
                <c:pt idx="145">
                  <c:v>4.9537955271373457</c:v>
                </c:pt>
                <c:pt idx="146">
                  <c:v>4.9546920417562985</c:v>
                </c:pt>
                <c:pt idx="147">
                  <c:v>4.9555579787047002</c:v>
                </c:pt>
                <c:pt idx="148">
                  <c:v>4.9563943808260102</c:v>
                </c:pt>
                <c:pt idx="149">
                  <c:v>4.9572022554030104</c:v>
                </c:pt>
                <c:pt idx="150">
                  <c:v>4.9579825753700835</c:v>
                </c:pt>
                <c:pt idx="151">
                  <c:v>4.9587362804841479</c:v>
                </c:pt>
                <c:pt idx="152">
                  <c:v>4.9594642784557186</c:v>
                </c:pt>
                <c:pt idx="153">
                  <c:v>4.9601674460414245</c:v>
                </c:pt>
                <c:pt idx="154">
                  <c:v>4.9608466300993026</c:v>
                </c:pt>
                <c:pt idx="155">
                  <c:v>4.9615026486081435</c:v>
                </c:pt>
                <c:pt idx="156">
                  <c:v>4.9621362916520608</c:v>
                </c:pt>
                <c:pt idx="157">
                  <c:v>4.9627483223715618</c:v>
                </c:pt>
                <c:pt idx="158">
                  <c:v>4.9633394778821689</c:v>
                </c:pt>
                <c:pt idx="159">
                  <c:v>4.9639104701617534</c:v>
                </c:pt>
                <c:pt idx="160">
                  <c:v>4.9644619869076188</c:v>
                </c:pt>
                <c:pt idx="161">
                  <c:v>4.9649946923643844</c:v>
                </c:pt>
                <c:pt idx="162">
                  <c:v>4.9655092281236302</c:v>
                </c:pt>
                <c:pt idx="163">
                  <c:v>4.9660062138963168</c:v>
                </c:pt>
                <c:pt idx="164">
                  <c:v>4.9664862482588541</c:v>
                </c:pt>
                <c:pt idx="165">
                  <c:v>4.966949909373743</c:v>
                </c:pt>
                <c:pt idx="166">
                  <c:v>4.9673977556856661</c:v>
                </c:pt>
                <c:pt idx="167">
                  <c:v>4.9678303265938508</c:v>
                </c:pt>
                <c:pt idx="168">
                  <c:v>4.9682481431014844</c:v>
                </c:pt>
                <c:pt idx="169">
                  <c:v>4.9686517084430202</c:v>
                </c:pt>
                <c:pt idx="170">
                  <c:v>4.969041508690089</c:v>
                </c:pt>
                <c:pt idx="171">
                  <c:v>4.9694180133367674</c:v>
                </c:pt>
                <c:pt idx="172">
                  <c:v>4.9697816758648683</c:v>
                </c:pt>
                <c:pt idx="173">
                  <c:v>4.9701329342899756</c:v>
                </c:pt>
                <c:pt idx="174">
                  <c:v>4.9704722116888718</c:v>
                </c:pt>
                <c:pt idx="175">
                  <c:v>4.9707999167089651</c:v>
                </c:pt>
                <c:pt idx="176">
                  <c:v>4.9711164440603577</c:v>
                </c:pt>
                <c:pt idx="177">
                  <c:v>4.9714221749911349</c:v>
                </c:pt>
                <c:pt idx="178">
                  <c:v>4.9717174777464823</c:v>
                </c:pt>
                <c:pt idx="179">
                  <c:v>4.9720027080120595</c:v>
                </c:pt>
                <c:pt idx="180">
                  <c:v>4.9722782093423703</c:v>
                </c:pt>
                <c:pt idx="181">
                  <c:v>4.972544313574442</c:v>
                </c:pt>
                <c:pt idx="182">
                  <c:v>4.972801341227453</c:v>
                </c:pt>
                <c:pt idx="183">
                  <c:v>4.9730496018886932</c:v>
                </c:pt>
                <c:pt idx="184">
                  <c:v>4.9732893945863879</c:v>
                </c:pt>
                <c:pt idx="185">
                  <c:v>4.9735210081498114</c:v>
                </c:pt>
                <c:pt idx="186">
                  <c:v>4.9737447215571047</c:v>
                </c:pt>
                <c:pt idx="187">
                  <c:v>4.9739608042712451</c:v>
                </c:pt>
                <c:pt idx="188">
                  <c:v>4.9741695165645705</c:v>
                </c:pt>
                <c:pt idx="189">
                  <c:v>4.974371109832199</c:v>
                </c:pt>
                <c:pt idx="190">
                  <c:v>4.9745658268948052</c:v>
                </c:pt>
                <c:pt idx="191">
                  <c:v>4.9747539022910425</c:v>
                </c:pt>
                <c:pt idx="192">
                  <c:v>4.9749355625600069</c:v>
                </c:pt>
                <c:pt idx="193">
                  <c:v>4.9751110265140772</c:v>
                </c:pt>
                <c:pt idx="194">
                  <c:v>4.9752805055024245</c:v>
                </c:pt>
                <c:pt idx="195">
                  <c:v>4.9754442036655426</c:v>
                </c:pt>
                <c:pt idx="196">
                  <c:v>4.9756023181811262</c:v>
                </c:pt>
                <c:pt idx="197">
                  <c:v>4.9757550395015437</c:v>
                </c:pt>
                <c:pt idx="198">
                  <c:v>4.9759025515831903</c:v>
                </c:pt>
                <c:pt idx="199">
                  <c:v>4.9760450321080665</c:v>
                </c:pt>
                <c:pt idx="200">
                  <c:v>4.9761826526977604</c:v>
                </c:pt>
                <c:pt idx="201">
                  <c:v>4.9763155791201399</c:v>
                </c:pt>
                <c:pt idx="202">
                  <c:v>4.9764439714890409</c:v>
                </c:pt>
                <c:pt idx="203">
                  <c:v>4.9765679844570547</c:v>
                </c:pt>
                <c:pt idx="204">
                  <c:v>4.976687767401839</c:v>
                </c:pt>
                <c:pt idx="205">
                  <c:v>4.9768034646060046</c:v>
                </c:pt>
                <c:pt idx="206">
                  <c:v>4.9769152154308927</c:v>
                </c:pt>
                <c:pt idx="207">
                  <c:v>4.9770231544844528</c:v>
                </c:pt>
                <c:pt idx="208">
                  <c:v>4.9771274117833206</c:v>
                </c:pt>
                <c:pt idx="209">
                  <c:v>4.9772281129094651</c:v>
                </c:pt>
                <c:pt idx="210">
                  <c:v>4.9773253791613987</c:v>
                </c:pt>
                <c:pt idx="211">
                  <c:v>4.9774193277003231</c:v>
                </c:pt>
                <c:pt idx="212">
                  <c:v>4.9775100716911984</c:v>
                </c:pt>
                <c:pt idx="213">
                  <c:v>4.9775977204390633</c:v>
                </c:pt>
                <c:pt idx="214">
                  <c:v>4.977682379520707</c:v>
                </c:pt>
                <c:pt idx="215">
                  <c:v>4.9777641509117982</c:v>
                </c:pt>
                <c:pt idx="216">
                  <c:v>4.9778431331097224</c:v>
                </c:pt>
                <c:pt idx="217">
                  <c:v>4.9779194212522446</c:v>
                </c:pt>
                <c:pt idx="218">
                  <c:v>4.977993107232062</c:v>
                </c:pt>
                <c:pt idx="219">
                  <c:v>4.9780642798075103</c:v>
                </c:pt>
                <c:pt idx="220">
                  <c:v>4.9781330247094591</c:v>
                </c:pt>
                <c:pt idx="221">
                  <c:v>4.9781994247445907</c:v>
                </c:pt>
                <c:pt idx="222">
                  <c:v>4.9782635598951188</c:v>
                </c:pt>
                <c:pt idx="223">
                  <c:v>4.9783255074151311</c:v>
                </c:pt>
                <c:pt idx="224">
                  <c:v>4.9783853419236435</c:v>
                </c:pt>
                <c:pt idx="225">
                  <c:v>4.9784431354944987</c:v>
                </c:pt>
                <c:pt idx="226">
                  <c:v>4.9784989577431382</c:v>
                </c:pt>
                <c:pt idx="227">
                  <c:v>4.978552875910478</c:v>
                </c:pt>
                <c:pt idx="228">
                  <c:v>4.9786049549439095</c:v>
                </c:pt>
                <c:pt idx="229">
                  <c:v>4.9786552575755092</c:v>
                </c:pt>
                <c:pt idx="230">
                  <c:v>4.9787038443976002</c:v>
                </c:pt>
                <c:pt idx="231">
                  <c:v>4.9787507739357642</c:v>
                </c:pt>
                <c:pt idx="232">
                  <c:v>4.9787961027192935</c:v>
                </c:pt>
                <c:pt idx="233">
                  <c:v>4.9788398853493181</c:v>
                </c:pt>
                <c:pt idx="234">
                  <c:v>4.9788821745645491</c:v>
                </c:pt>
                <c:pt idx="235">
                  <c:v>4.9789230213048183</c:v>
                </c:pt>
                <c:pt idx="236">
                  <c:v>4.9789624747724277</c:v>
                </c:pt>
                <c:pt idx="237">
                  <c:v>4.9790005824914223</c:v>
                </c:pt>
                <c:pt idx="238">
                  <c:v>4.9790373903648284</c:v>
                </c:pt>
                <c:pt idx="239">
                  <c:v>4.9790729427299434</c:v>
                </c:pt>
                <c:pt idx="240">
                  <c:v>4.9791072824117402</c:v>
                </c:pt>
                <c:pt idx="241">
                  <c:v>4.9791404507744623</c:v>
                </c:pt>
                <c:pt idx="242">
                  <c:v>4.9791724877714287</c:v>
                </c:pt>
                <c:pt idx="243">
                  <c:v>4.9792034319931924</c:v>
                </c:pt>
                <c:pt idx="244">
                  <c:v>4.9792333207139796</c:v>
                </c:pt>
                <c:pt idx="245">
                  <c:v>4.979262189936617</c:v>
                </c:pt>
                <c:pt idx="246">
                  <c:v>4.9792900744358892</c:v>
                </c:pt>
                <c:pt idx="247">
                  <c:v>4.9793170078004421</c:v>
                </c:pt>
                <c:pt idx="248">
                  <c:v>4.9793430224732145</c:v>
                </c:pt>
                <c:pt idx="249">
                  <c:v>4.9793681497905267</c:v>
                </c:pt>
                <c:pt idx="250">
                  <c:v>4.9793924200198507</c:v>
                </c:pt>
                <c:pt idx="251">
                  <c:v>4.9794158623962224</c:v>
                </c:pt>
                <c:pt idx="252">
                  <c:v>4.9794385051574954</c:v>
                </c:pt>
                <c:pt idx="253">
                  <c:v>4.9794603755783458</c:v>
                </c:pt>
                <c:pt idx="254">
                  <c:v>4.9794815000031143</c:v>
                </c:pt>
                <c:pt idx="255">
                  <c:v>4.9795019038775372</c:v>
                </c:pt>
                <c:pt idx="256">
                  <c:v>4.9795216117794237</c:v>
                </c:pt>
                <c:pt idx="257">
                  <c:v>4.9795406474482338</c:v>
                </c:pt>
                <c:pt idx="258">
                  <c:v>4.979559033813679</c:v>
                </c:pt>
                <c:pt idx="259">
                  <c:v>4.9795767930233499</c:v>
                </c:pt>
                <c:pt idx="260">
                  <c:v>4.979593946469393</c:v>
                </c:pt>
                <c:pt idx="261">
                  <c:v>4.9796105148142784</c:v>
                </c:pt>
                <c:pt idx="262">
                  <c:v>4.9796265180156674</c:v>
                </c:pt>
                <c:pt idx="263">
                  <c:v>4.9796419753504928</c:v>
                </c:pt>
                <c:pt idx="264">
                  <c:v>4.9796569054381443</c:v>
                </c:pt>
                <c:pt idx="265">
                  <c:v>4.9796713262629222</c:v>
                </c:pt>
                <c:pt idx="266">
                  <c:v>4.9796852551956761</c:v>
                </c:pt>
                <c:pt idx="267">
                  <c:v>4.9796987090147411</c:v>
                </c:pt>
                <c:pt idx="268">
                  <c:v>4.9797117039261485</c:v>
                </c:pt>
                <c:pt idx="269">
                  <c:v>4.9797242555831582</c:v>
                </c:pt>
                <c:pt idx="270">
                  <c:v>4.9797363791050957</c:v>
                </c:pt>
                <c:pt idx="271">
                  <c:v>4.9797480890955459</c:v>
                </c:pt>
                <c:pt idx="272">
                  <c:v>4.9797593996600087</c:v>
                </c:pt>
                <c:pt idx="273">
                  <c:v>4.9797703244228311</c:v>
                </c:pt>
                <c:pt idx="274">
                  <c:v>4.9797808765436269</c:v>
                </c:pt>
                <c:pt idx="275">
                  <c:v>4.9797910687331548</c:v>
                </c:pt>
                <c:pt idx="276">
                  <c:v>4.9798009132686047</c:v>
                </c:pt>
                <c:pt idx="277">
                  <c:v>4.9798104220083941</c:v>
                </c:pt>
                <c:pt idx="278">
                  <c:v>4.9798196064064602</c:v>
                </c:pt>
                <c:pt idx="279">
                  <c:v>4.9798284775260351</c:v>
                </c:pt>
                <c:pt idx="280">
                  <c:v>4.9798370460529995</c:v>
                </c:pt>
                <c:pt idx="281">
                  <c:v>4.979845322308738</c:v>
                </c:pt>
                <c:pt idx="282">
                  <c:v>4.9798533162625711</c:v>
                </c:pt>
                <c:pt idx="283">
                  <c:v>4.9798610375437704</c:v>
                </c:pt>
                <c:pt idx="284">
                  <c:v>4.9798684954531485</c:v>
                </c:pt>
                <c:pt idx="285">
                  <c:v>4.9798756989742943</c:v>
                </c:pt>
                <c:pt idx="286">
                  <c:v>4.9798826567843246</c:v>
                </c:pt>
                <c:pt idx="287">
                  <c:v>4.9798893772644179</c:v>
                </c:pt>
                <c:pt idx="288">
                  <c:v>4.9798958685098693</c:v>
                </c:pt>
                <c:pt idx="289">
                  <c:v>4.9799021383398232</c:v>
                </c:pt>
                <c:pt idx="290">
                  <c:v>4.9799081943067423</c:v>
                </c:pt>
                <c:pt idx="291">
                  <c:v>4.979914043705441</c:v>
                </c:pt>
                <c:pt idx="292">
                  <c:v>4.9799196935819428</c:v>
                </c:pt>
                <c:pt idx="293">
                  <c:v>4.979925150741928</c:v>
                </c:pt>
                <c:pt idx="294">
                  <c:v>4.9799304217589055</c:v>
                </c:pt>
                <c:pt idx="295">
                  <c:v>4.9799355129822152</c:v>
                </c:pt>
                <c:pt idx="296">
                  <c:v>4.9799404305445591</c:v>
                </c:pt>
                <c:pt idx="297">
                  <c:v>4.9799451803695076</c:v>
                </c:pt>
                <c:pt idx="298">
                  <c:v>4.9799497681785603</c:v>
                </c:pt>
                <c:pt idx="299">
                  <c:v>4.9799541994980441</c:v>
                </c:pt>
              </c:numCache>
            </c:numRef>
          </c:yVal>
          <c:smooth val="0"/>
          <c:extLst>
            <c:ext xmlns:c16="http://schemas.microsoft.com/office/drawing/2014/chart" uri="{C3380CC4-5D6E-409C-BE32-E72D297353CC}">
              <c16:uniqueId val="{00000000-33C5-444C-B08C-8E5887E80B5A}"/>
            </c:ext>
          </c:extLst>
        </c:ser>
        <c:dLbls>
          <c:showLegendKey val="0"/>
          <c:showVal val="0"/>
          <c:showCatName val="0"/>
          <c:showSerName val="0"/>
          <c:showPercent val="0"/>
          <c:showBubbleSize val="0"/>
        </c:dLbls>
        <c:axId val="331784464"/>
        <c:axId val="1"/>
      </c:scatterChart>
      <c:valAx>
        <c:axId val="33178446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vert="horz"/>
          <a:lstStyle/>
          <a:p>
            <a:pPr>
              <a:defRPr sz="900" b="0" i="0" u="none" strike="noStrike" baseline="0">
                <a:solidFill>
                  <a:srgbClr val="333333"/>
                </a:solidFill>
                <a:latin typeface="Calibri"/>
                <a:ea typeface="Calibri"/>
                <a:cs typeface="Calibri"/>
              </a:defRPr>
            </a:pPr>
            <a:endParaRPr lang="en-US"/>
          </a:p>
        </c:txPr>
        <c:crossAx val="1"/>
        <c:crosses val="autoZero"/>
        <c:crossBetween val="midCat"/>
      </c:valAx>
      <c:valAx>
        <c:axId val="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vert="horz"/>
          <a:lstStyle/>
          <a:p>
            <a:pPr>
              <a:defRPr sz="900" b="0" i="0" u="none" strike="noStrike" baseline="0">
                <a:solidFill>
                  <a:srgbClr val="333333"/>
                </a:solidFill>
                <a:latin typeface="Calibri"/>
                <a:ea typeface="Calibri"/>
                <a:cs typeface="Calibri"/>
              </a:defRPr>
            </a:pPr>
            <a:endParaRPr lang="en-US"/>
          </a:p>
        </c:txPr>
        <c:crossAx val="331784464"/>
        <c:crosses val="autoZero"/>
        <c:crossBetween val="midCat"/>
      </c:valAx>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333333"/>
                </a:solidFill>
                <a:latin typeface="Calibri"/>
                <a:ea typeface="Calibri"/>
                <a:cs typeface="Calibri"/>
              </a:defRPr>
            </a:pPr>
            <a:r>
              <a:rPr lang="en-US" sz="1000"/>
              <a:t>Path of y</a:t>
            </a:r>
            <a:r>
              <a:rPr lang="en-US" sz="1000" baseline="0"/>
              <a:t> (per capita income)</a:t>
            </a:r>
            <a:endParaRPr lang="en-US" sz="1000"/>
          </a:p>
        </c:rich>
      </c:tx>
      <c:overlay val="0"/>
      <c:spPr>
        <a:noFill/>
        <a:ln>
          <a:noFill/>
        </a:ln>
        <a:effectLst/>
      </c:spPr>
    </c:title>
    <c:autoTitleDeleted val="0"/>
    <c:plotArea>
      <c:layout>
        <c:manualLayout>
          <c:layoutTarget val="inner"/>
          <c:xMode val="edge"/>
          <c:yMode val="edge"/>
          <c:x val="0.14920939760578708"/>
          <c:y val="0.16187052954258579"/>
          <c:w val="0.78119710645925355"/>
          <c:h val="0.66104345735409031"/>
        </c:manualLayout>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Model!$A$14:$A$313</c:f>
              <c:numCache>
                <c:formatCode>General</c:formatCode>
                <c:ptCount val="3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numCache>
            </c:numRef>
          </c:xVal>
          <c:yVal>
            <c:numRef>
              <c:f>Model!$P$14:$P$313</c:f>
              <c:numCache>
                <c:formatCode>General</c:formatCode>
                <c:ptCount val="300"/>
                <c:pt idx="0">
                  <c:v>1</c:v>
                </c:pt>
                <c:pt idx="1">
                  <c:v>1.0757100881887163</c:v>
                </c:pt>
                <c:pt idx="2">
                  <c:v>1.1488492537921178</c:v>
                </c:pt>
                <c:pt idx="3">
                  <c:v>1.2200298842073969</c:v>
                </c:pt>
                <c:pt idx="4">
                  <c:v>1.2897155104081965</c:v>
                </c:pt>
                <c:pt idx="5">
                  <c:v>1.3582672590342082</c:v>
                </c:pt>
                <c:pt idx="6">
                  <c:v>1.4259734274351563</c:v>
                </c:pt>
                <c:pt idx="7">
                  <c:v>1.4930690661112482</c:v>
                </c:pt>
                <c:pt idx="8">
                  <c:v>1.5597493796854782</c:v>
                </c:pt>
                <c:pt idx="9">
                  <c:v>1.6261791594276784</c:v>
                </c:pt>
                <c:pt idx="10">
                  <c:v>1.6924995857401082</c:v>
                </c:pt>
                <c:pt idx="11">
                  <c:v>1.7588332389357135</c:v>
                </c:pt>
                <c:pt idx="12">
                  <c:v>1.8252878596672726</c:v>
                </c:pt>
                <c:pt idx="13">
                  <c:v>1.8919592180747542</c:v>
                </c:pt>
                <c:pt idx="14">
                  <c:v>1.9589333355145322</c:v>
                </c:pt>
                <c:pt idx="15">
                  <c:v>2.0262882280216492</c:v>
                </c:pt>
                <c:pt idx="16">
                  <c:v>2.0940952910719846</c:v>
                </c:pt>
                <c:pt idx="17">
                  <c:v>2.1624204116139705</c:v>
                </c:pt>
                <c:pt idx="18">
                  <c:v>2.2313248701443658</c:v>
                </c:pt>
                <c:pt idx="19">
                  <c:v>2.3008660793142059</c:v>
                </c:pt>
                <c:pt idx="20">
                  <c:v>2.3710981939341309</c:v>
                </c:pt>
                <c:pt idx="21">
                  <c:v>2.4420726188445756</c:v>
                </c:pt>
                <c:pt idx="22">
                  <c:v>2.5138384349572194</c:v>
                </c:pt>
                <c:pt idx="23">
                  <c:v>2.5864427592054846</c:v>
                </c:pt>
                <c:pt idx="24">
                  <c:v>2.6599310507150582</c:v>
                </c:pt>
                <c:pt idx="25">
                  <c:v>2.7343473729084535</c:v>
                </c:pt>
                <c:pt idx="26">
                  <c:v>2.8097346192704591</c:v>
                </c:pt>
                <c:pt idx="27">
                  <c:v>2.8861347089671909</c:v>
                </c:pt>
                <c:pt idx="28">
                  <c:v>2.9635887573170501</c:v>
                </c:pt>
                <c:pt idx="29">
                  <c:v>3.0421372251746948</c:v>
                </c:pt>
                <c:pt idx="30">
                  <c:v>3.1218200505483029</c:v>
                </c:pt>
                <c:pt idx="31">
                  <c:v>3.2026767651807559</c:v>
                </c:pt>
                <c:pt idx="32">
                  <c:v>3.2847465983529536</c:v>
                </c:pt>
                <c:pt idx="33">
                  <c:v>3.3680685697866521</c:v>
                </c:pt>
                <c:pt idx="34">
                  <c:v>3.4526815732154783</c:v>
                </c:pt>
                <c:pt idx="35">
                  <c:v>3.5386244519409891</c:v>
                </c:pt>
                <c:pt idx="36">
                  <c:v>3.6259360674844174</c:v>
                </c:pt>
                <c:pt idx="37">
                  <c:v>3.7146553622747454</c:v>
                </c:pt>
                <c:pt idx="38">
                  <c:v>3.8048214171731845</c:v>
                </c:pt>
                <c:pt idx="39">
                  <c:v>3.8964735045172931</c:v>
                </c:pt>
                <c:pt idx="40">
                  <c:v>3.9896511372703354</c:v>
                </c:pt>
                <c:pt idx="41">
                  <c:v>4.0843941147797569</c:v>
                </c:pt>
                <c:pt idx="42">
                  <c:v>4.1807425655798705</c:v>
                </c:pt>
                <c:pt idx="43">
                  <c:v>4.2787369876156838</c:v>
                </c:pt>
                <c:pt idx="44">
                  <c:v>4.378418286215604</c:v>
                </c:pt>
                <c:pt idx="45">
                  <c:v>4.4798278100988904</c:v>
                </c:pt>
                <c:pt idx="46">
                  <c:v>4.5830073856679192</c:v>
                </c:pt>
                <c:pt idx="47">
                  <c:v>4.6879993498049162</c:v>
                </c:pt>
                <c:pt idx="48">
                  <c:v>4.7948465813663823</c:v>
                </c:pt>
                <c:pt idx="49">
                  <c:v>4.9035925315460469</c:v>
                </c:pt>
                <c:pt idx="50">
                  <c:v>5.014281253257554</c:v>
                </c:pt>
                <c:pt idx="51">
                  <c:v>5.1269574296713447</c:v>
                </c:pt>
                <c:pt idx="52">
                  <c:v>5.2416664020254888</c:v>
                </c:pt>
                <c:pt idx="53">
                  <c:v>5.3584541968175694</c:v>
                </c:pt>
                <c:pt idx="54">
                  <c:v>5.4773675524736607</c:v>
                </c:pt>
                <c:pt idx="55">
                  <c:v>5.5984539455807036</c:v>
                </c:pt>
                <c:pt idx="56">
                  <c:v>5.7217616167602445</c:v>
                </c:pt>
                <c:pt idx="57">
                  <c:v>5.8473395962539589</c:v>
                </c:pt>
                <c:pt idx="58">
                  <c:v>5.9752377292850296</c:v>
                </c:pt>
                <c:pt idx="59">
                  <c:v>6.10550670125357</c:v>
                </c:pt>
                <c:pt idx="60">
                  <c:v>6.2381980628194196</c:v>
                </c:pt>
                <c:pt idx="61">
                  <c:v>6.373364254921011</c:v>
                </c:pt>
                <c:pt idx="62">
                  <c:v>6.5110586337752752</c:v>
                </c:pt>
                <c:pt idx="63">
                  <c:v>6.6513354958999233</c:v>
                </c:pt>
                <c:pt idx="64">
                  <c:v>6.7942501031964992</c:v>
                </c:pt>
                <c:pt idx="65">
                  <c:v>6.9398587081298055</c:v>
                </c:pt>
                <c:pt idx="66">
                  <c:v>7.0882185790369219</c:v>
                </c:pt>
                <c:pt idx="67">
                  <c:v>7.2393880255969272</c:v>
                </c:pt>
                <c:pt idx="68">
                  <c:v>7.3934264244904906</c:v>
                </c:pt>
                <c:pt idx="69">
                  <c:v>7.5503942452768857</c:v>
                </c:pt>
                <c:pt idx="70">
                  <c:v>7.7103530765144344</c:v>
                </c:pt>
                <c:pt idx="71">
                  <c:v>7.8733656521491033</c:v>
                </c:pt>
                <c:pt idx="72">
                  <c:v>8.0394958781948063</c:v>
                </c:pt>
                <c:pt idx="73">
                  <c:v>8.2088088597279096</c:v>
                </c:pt>
                <c:pt idx="74">
                  <c:v>8.3813709282175619</c:v>
                </c:pt>
                <c:pt idx="75">
                  <c:v>8.5572496692126343</c:v>
                </c:pt>
                <c:pt idx="76">
                  <c:v>8.7365139504053779</c:v>
                </c:pt>
                <c:pt idx="77">
                  <c:v>8.919233950091245</c:v>
                </c:pt>
                <c:pt idx="78">
                  <c:v>9.1054811860438232</c:v>
                </c:pt>
                <c:pt idx="79">
                  <c:v>9.2953285448233558</c:v>
                </c:pt>
                <c:pt idx="80">
                  <c:v>9.4888503115369183</c:v>
                </c:pt>
                <c:pt idx="81">
                  <c:v>9.686122200067885</c:v>
                </c:pt>
                <c:pt idx="82">
                  <c:v>9.8872213837922462</c:v>
                </c:pt>
                <c:pt idx="83">
                  <c:v>10.092226526798818</c:v>
                </c:pt>
                <c:pt idx="84">
                  <c:v>10.301217815630443</c:v>
                </c:pt>
                <c:pt idx="85">
                  <c:v>10.514276991562889</c:v>
                </c:pt>
                <c:pt idx="86">
                  <c:v>10.731487383438278</c:v>
                </c:pt>
                <c:pt idx="87">
                  <c:v>10.952933941069551</c:v>
                </c:pt>
                <c:pt idx="88">
                  <c:v>11.178703269232576</c:v>
                </c:pt>
                <c:pt idx="89">
                  <c:v>11.408883662262495</c:v>
                </c:pt>
                <c:pt idx="90">
                  <c:v>11.6435651392707</c:v>
                </c:pt>
                <c:pt idx="91">
                  <c:v>11.882839479999239</c:v>
                </c:pt>
                <c:pt idx="92">
                  <c:v>12.126800261328981</c:v>
                </c:pt>
                <c:pt idx="93">
                  <c:v>12.375542894458553</c:v>
                </c:pt>
                <c:pt idx="94">
                  <c:v>12.629164662770572</c:v>
                </c:pt>
                <c:pt idx="95">
                  <c:v>12.887764760402257</c:v>
                </c:pt>
                <c:pt idx="96">
                  <c:v>13.151444331537391</c:v>
                </c:pt>
                <c:pt idx="97">
                  <c:v>13.42030651043679</c:v>
                </c:pt>
                <c:pt idx="98">
                  <c:v>13.694456462224721</c:v>
                </c:pt>
                <c:pt idx="99">
                  <c:v>13.974001424448783</c:v>
                </c:pt>
                <c:pt idx="100">
                  <c:v>14.259050749430955</c:v>
                </c:pt>
                <c:pt idx="101">
                  <c:v>14.549715947427822</c:v>
                </c:pt>
                <c:pt idx="102">
                  <c:v>14.846110730618085</c:v>
                </c:pt>
                <c:pt idx="103">
                  <c:v>15.148351057935953</c:v>
                </c:pt>
                <c:pt idx="104">
                  <c:v>15.45655518076884</c:v>
                </c:pt>
                <c:pt idx="105">
                  <c:v>15.77084368953857</c:v>
                </c:pt>
                <c:pt idx="106">
                  <c:v>16.091339561185151</c:v>
                </c:pt>
                <c:pt idx="107">
                  <c:v>16.418168207572691</c:v>
                </c:pt>
                <c:pt idx="108">
                  <c:v>16.751457524837335</c:v>
                </c:pt>
                <c:pt idx="109">
                  <c:v>17.091337943697269</c:v>
                </c:pt>
                <c:pt idx="110">
                  <c:v>17.43794248074531</c:v>
                </c:pt>
                <c:pt idx="111">
                  <c:v>17.791406790744912</c:v>
                </c:pt>
                <c:pt idx="112">
                  <c:v>18.151869219950736</c:v>
                </c:pt>
                <c:pt idx="113">
                  <c:v>18.519470860475188</c:v>
                </c:pt>
                <c:pt idx="114">
                  <c:v>18.894355605723074</c:v>
                </c:pt>
                <c:pt idx="115">
                  <c:v>19.276670206916393</c:v>
                </c:pt>
                <c:pt idx="116">
                  <c:v>19.666564330732029</c:v>
                </c:pt>
                <c:pt idx="117">
                  <c:v>20.064190618075511</c:v>
                </c:pt>
                <c:pt idx="118">
                  <c:v>20.469704744014173</c:v>
                </c:pt>
                <c:pt idx="119">
                  <c:v>20.883265478893804</c:v>
                </c:pt>
                <c:pt idx="120">
                  <c:v>21.305034750662919</c:v>
                </c:pt>
                <c:pt idx="121">
                  <c:v>21.735177708429809</c:v>
                </c:pt>
                <c:pt idx="122">
                  <c:v>22.173862787277237</c:v>
                </c:pt>
                <c:pt idx="123">
                  <c:v>22.621261774360885</c:v>
                </c:pt>
                <c:pt idx="124">
                  <c:v>23.077549876317455</c:v>
                </c:pt>
                <c:pt idx="125">
                  <c:v>23.542905788009545</c:v>
                </c:pt>
                <c:pt idx="126">
                  <c:v>24.017511762634065</c:v>
                </c:pt>
                <c:pt idx="127">
                  <c:v>24.501553683222291</c:v>
                </c:pt>
                <c:pt idx="128">
                  <c:v>24.995221135559813</c:v>
                </c:pt>
                <c:pt idx="129">
                  <c:v>25.49870748255492</c:v>
                </c:pt>
                <c:pt idx="130">
                  <c:v>26.012209940085171</c:v>
                </c:pt>
                <c:pt idx="131">
                  <c:v>26.535929654351825</c:v>
                </c:pt>
                <c:pt idx="132">
                  <c:v>27.070071780772775</c:v>
                </c:pt>
                <c:pt idx="133">
                  <c:v>27.614845564445123</c:v>
                </c:pt>
                <c:pt idx="134">
                  <c:v>28.170464422209008</c:v>
                </c:pt>
                <c:pt idx="135">
                  <c:v>28.73714602634519</c:v>
                </c:pt>
                <c:pt idx="136">
                  <c:v>29.315112389939198</c:v>
                </c:pt>
                <c:pt idx="137">
                  <c:v>29.904589953945713</c:v>
                </c:pt>
                <c:pt idx="138">
                  <c:v>30.505809675987628</c:v>
                </c:pt>
                <c:pt idx="139">
                  <c:v>31.119007120924387</c:v>
                </c:pt>
                <c:pt idx="140">
                  <c:v>31.744422553225611</c:v>
                </c:pt>
                <c:pt idx="141">
                  <c:v>32.382301031186124</c:v>
                </c:pt>
                <c:pt idx="142">
                  <c:v>33.032892503019433</c:v>
                </c:pt>
                <c:pt idx="143">
                  <c:v>33.69645190486758</c:v>
                </c:pt>
                <c:pt idx="144">
                  <c:v>34.373239260765693</c:v>
                </c:pt>
                <c:pt idx="145">
                  <c:v>35.063519784600885</c:v>
                </c:pt>
                <c:pt idx="146">
                  <c:v>35.767563984105038</c:v>
                </c:pt>
                <c:pt idx="147">
                  <c:v>36.485647766922838</c:v>
                </c:pt>
                <c:pt idx="148">
                  <c:v>37.218052548796351</c:v>
                </c:pt>
                <c:pt idx="149">
                  <c:v>37.965065363909069</c:v>
                </c:pt>
                <c:pt idx="150">
                  <c:v>38.726978977432083</c:v>
                </c:pt>
                <c:pt idx="151">
                  <c:v>39.504092000317435</c:v>
                </c:pt>
                <c:pt idx="152">
                  <c:v>40.29670900638294</c:v>
                </c:pt>
                <c:pt idx="153">
                  <c:v>41.105140651735063</c:v>
                </c:pt>
                <c:pt idx="154">
                  <c:v>41.929703796576234</c:v>
                </c:pt>
                <c:pt idx="155">
                  <c:v>42.770721629444679</c:v>
                </c:pt>
                <c:pt idx="156">
                  <c:v>43.62852379393577</c:v>
                </c:pt>
                <c:pt idx="157">
                  <c:v>44.503446517954039</c:v>
                </c:pt>
                <c:pt idx="158">
                  <c:v>45.395832745547054</c:v>
                </c:pt>
                <c:pt idx="159">
                  <c:v>46.306032271372743</c:v>
                </c:pt>
                <c:pt idx="160">
                  <c:v>47.234401877852974</c:v>
                </c:pt>
                <c:pt idx="161">
                  <c:v>48.181305475067028</c:v>
                </c:pt>
                <c:pt idx="162">
                  <c:v>49.147114243440313</c:v>
                </c:pt>
                <c:pt idx="163">
                  <c:v>50.132206779283671</c:v>
                </c:pt>
                <c:pt idx="164">
                  <c:v>51.136969243240841</c:v>
                </c:pt>
                <c:pt idx="165">
                  <c:v>52.161795511702358</c:v>
                </c:pt>
                <c:pt idx="166">
                  <c:v>53.207087331244857</c:v>
                </c:pt>
                <c:pt idx="167">
                  <c:v>54.273254476156609</c:v>
                </c:pt>
                <c:pt idx="168">
                  <c:v>55.360714909111501</c:v>
                </c:pt>
                <c:pt idx="169">
                  <c:v>56.469894945053724</c:v>
                </c:pt>
                <c:pt idx="170">
                  <c:v>57.601229418358031</c:v>
                </c:pt>
                <c:pt idx="171">
                  <c:v>58.755161853330634</c:v>
                </c:pt>
                <c:pt idx="172">
                  <c:v>59.932144638118459</c:v>
                </c:pt>
                <c:pt idx="173">
                  <c:v>61.132639202093962</c:v>
                </c:pt>
                <c:pt idx="174">
                  <c:v>62.357116196785725</c:v>
                </c:pt>
                <c:pt idx="175">
                  <c:v>63.606055680425698</c:v>
                </c:pt>
                <c:pt idx="176">
                  <c:v>64.879947306185429</c:v>
                </c:pt>
                <c:pt idx="177">
                  <c:v>66.179290514174951</c:v>
                </c:pt>
                <c:pt idx="178">
                  <c:v>67.504594727279482</c:v>
                </c:pt>
                <c:pt idx="179">
                  <c:v>68.856379550912223</c:v>
                </c:pt>
                <c:pt idx="180">
                  <c:v>70.235174976758756</c:v>
                </c:pt>
                <c:pt idx="181">
                  <c:v>71.641521590595985</c:v>
                </c:pt>
                <c:pt idx="182">
                  <c:v>73.075970784264769</c:v>
                </c:pt>
                <c:pt idx="183">
                  <c:v>74.539084971881095</c:v>
                </c:pt>
                <c:pt idx="184">
                  <c:v>76.031437810369511</c:v>
                </c:pt>
                <c:pt idx="185">
                  <c:v>77.553614424405481</c:v>
                </c:pt>
                <c:pt idx="186">
                  <c:v>79.106211635855502</c:v>
                </c:pt>
                <c:pt idx="187">
                  <c:v>80.689838197804121</c:v>
                </c:pt>
                <c:pt idx="188">
                  <c:v>82.305115033259995</c:v>
                </c:pt>
                <c:pt idx="189">
                  <c:v>83.952675478635229</c:v>
                </c:pt>
                <c:pt idx="190">
                  <c:v>85.633165532092093</c:v>
                </c:pt>
                <c:pt idx="191">
                  <c:v>87.347244106855868</c:v>
                </c:pt>
                <c:pt idx="192">
                  <c:v>89.095583289592383</c:v>
                </c:pt>
                <c:pt idx="193">
                  <c:v>90.878868603951574</c:v>
                </c:pt>
                <c:pt idx="194">
                  <c:v>92.697799279381144</c:v>
                </c:pt>
                <c:pt idx="195">
                  <c:v>94.553088525315061</c:v>
                </c:pt>
                <c:pt idx="196">
                  <c:v>96.445463810844259</c:v>
                </c:pt>
                <c:pt idx="197">
                  <c:v>98.375667149979606</c:v>
                </c:pt>
                <c:pt idx="198">
                  <c:v>100.34445539261971</c:v>
                </c:pt>
                <c:pt idx="199">
                  <c:v>102.35260052133576</c:v>
                </c:pt>
                <c:pt idx="200">
                  <c:v>104.40088995409189</c:v>
                </c:pt>
                <c:pt idx="201">
                  <c:v>106.49012685301857</c:v>
                </c:pt>
                <c:pt idx="202">
                  <c:v>108.62113043935942</c:v>
                </c:pt>
                <c:pt idx="203">
                  <c:v>110.79473631471811</c:v>
                </c:pt>
                <c:pt idx="204">
                  <c:v>113.0117967887265</c:v>
                </c:pt>
                <c:pt idx="205">
                  <c:v>115.27318121326734</c:v>
                </c:pt>
                <c:pt idx="206">
                  <c:v>117.57977632337916</c:v>
                </c:pt>
                <c:pt idx="207">
                  <c:v>119.93248658497819</c:v>
                </c:pt>
                <c:pt idx="208">
                  <c:v>122.33223454953522</c:v>
                </c:pt>
                <c:pt idx="209">
                  <c:v>124.77996121584286</c:v>
                </c:pt>
                <c:pt idx="210">
                  <c:v>127.27662639901934</c:v>
                </c:pt>
                <c:pt idx="211">
                  <c:v>129.82320910688952</c:v>
                </c:pt>
                <c:pt idx="212">
                  <c:v>132.42070792389464</c:v>
                </c:pt>
                <c:pt idx="213">
                  <c:v>135.07014140267776</c:v>
                </c:pt>
                <c:pt idx="214">
                  <c:v>137.7725484635005</c:v>
                </c:pt>
                <c:pt idx="215">
                  <c:v>140.52898880164784</c:v>
                </c:pt>
                <c:pt idx="216">
                  <c:v>143.34054330298002</c:v>
                </c:pt>
                <c:pt idx="217">
                  <c:v>146.20831446779334</c:v>
                </c:pt>
                <c:pt idx="218">
                  <c:v>149.13342684315955</c:v>
                </c:pt>
                <c:pt idx="219">
                  <c:v>152.11702746390955</c:v>
                </c:pt>
                <c:pt idx="220">
                  <c:v>155.16028630243704</c:v>
                </c:pt>
                <c:pt idx="221">
                  <c:v>158.26439672749621</c:v>
                </c:pt>
                <c:pt idx="222">
                  <c:v>161.43057597217637</c:v>
                </c:pt>
                <c:pt idx="223">
                  <c:v>164.66006561123424</c:v>
                </c:pt>
                <c:pt idx="224">
                  <c:v>167.95413204797217</c:v>
                </c:pt>
                <c:pt idx="225">
                  <c:v>171.3140670108528</c:v>
                </c:pt>
                <c:pt idx="226">
                  <c:v>174.74118806004745</c:v>
                </c:pt>
                <c:pt idx="227">
                  <c:v>178.23683910411228</c:v>
                </c:pt>
                <c:pt idx="228">
                  <c:v>181.80239092699799</c:v>
                </c:pt>
                <c:pt idx="229">
                  <c:v>185.43924172560028</c:v>
                </c:pt>
                <c:pt idx="230">
                  <c:v>189.14881765805956</c:v>
                </c:pt>
                <c:pt idx="231">
                  <c:v>192.9325734030252</c:v>
                </c:pt>
                <c:pt idx="232">
                  <c:v>196.7919927301073</c:v>
                </c:pt>
                <c:pt idx="233">
                  <c:v>200.72858908173342</c:v>
                </c:pt>
                <c:pt idx="234">
                  <c:v>204.74390616664445</c:v>
                </c:pt>
                <c:pt idx="235">
                  <c:v>208.83951856525826</c:v>
                </c:pt>
                <c:pt idx="236">
                  <c:v>213.01703234714117</c:v>
                </c:pt>
                <c:pt idx="237">
                  <c:v>217.27808570082709</c:v>
                </c:pt>
                <c:pt idx="238">
                  <c:v>221.62434957623339</c:v>
                </c:pt>
                <c:pt idx="239">
                  <c:v>226.05752833992457</c:v>
                </c:pt>
                <c:pt idx="240">
                  <c:v>230.57936044347997</c:v>
                </c:pt>
                <c:pt idx="241">
                  <c:v>235.19161910522854</c:v>
                </c:pt>
                <c:pt idx="242">
                  <c:v>239.89611300561859</c:v>
                </c:pt>
                <c:pt idx="243">
                  <c:v>244.69468699649229</c:v>
                </c:pt>
                <c:pt idx="244">
                  <c:v>249.58922282454847</c:v>
                </c:pt>
                <c:pt idx="245">
                  <c:v>254.58163986927107</c:v>
                </c:pt>
                <c:pt idx="246">
                  <c:v>259.67389589561731</c:v>
                </c:pt>
                <c:pt idx="247">
                  <c:v>264.86798782175788</c:v>
                </c:pt>
                <c:pt idx="248">
                  <c:v>270.16595250217375</c:v>
                </c:pt>
                <c:pt idx="249">
                  <c:v>275.56986752641217</c:v>
                </c:pt>
                <c:pt idx="250">
                  <c:v>281.08185203381731</c:v>
                </c:pt>
                <c:pt idx="251">
                  <c:v>286.70406754455792</c:v>
                </c:pt>
                <c:pt idx="252">
                  <c:v>292.43871880727153</c:v>
                </c:pt>
                <c:pt idx="253">
                  <c:v>298.28805466366219</c:v>
                </c:pt>
                <c:pt idx="254">
                  <c:v>304.25436893039176</c:v>
                </c:pt>
                <c:pt idx="255">
                  <c:v>310.34000129860647</c:v>
                </c:pt>
                <c:pt idx="256">
                  <c:v>316.5473382514528</c:v>
                </c:pt>
                <c:pt idx="257">
                  <c:v>322.87881399994626</c:v>
                </c:pt>
                <c:pt idx="258">
                  <c:v>329.3369114375551</c:v>
                </c:pt>
                <c:pt idx="259">
                  <c:v>335.92416311387501</c:v>
                </c:pt>
                <c:pt idx="260">
                  <c:v>342.64315222777748</c:v>
                </c:pt>
                <c:pt idx="261">
                  <c:v>349.49651364042171</c:v>
                </c:pt>
                <c:pt idx="262">
                  <c:v>356.4869349085256</c:v>
                </c:pt>
                <c:pt idx="263">
                  <c:v>363.61715733830016</c:v>
                </c:pt>
                <c:pt idx="264">
                  <c:v>370.88997706046536</c:v>
                </c:pt>
                <c:pt idx="265">
                  <c:v>378.3082461267627</c:v>
                </c:pt>
                <c:pt idx="266">
                  <c:v>385.87487362840102</c:v>
                </c:pt>
                <c:pt idx="267">
                  <c:v>393.59282683686848</c:v>
                </c:pt>
                <c:pt idx="268">
                  <c:v>401.46513236756084</c:v>
                </c:pt>
                <c:pt idx="269">
                  <c:v>409.49487736668141</c:v>
                </c:pt>
                <c:pt idx="270">
                  <c:v>417.68521072188071</c:v>
                </c:pt>
                <c:pt idx="271">
                  <c:v>426.0393442971091</c:v>
                </c:pt>
                <c:pt idx="272">
                  <c:v>434.56055419215892</c:v>
                </c:pt>
                <c:pt idx="273">
                  <c:v>443.25218202740746</c:v>
                </c:pt>
                <c:pt idx="274">
                  <c:v>452.11763625424913</c:v>
                </c:pt>
                <c:pt idx="275">
                  <c:v>461.16039349173388</c:v>
                </c:pt>
                <c:pt idx="276">
                  <c:v>470.38399988994269</c:v>
                </c:pt>
                <c:pt idx="277">
                  <c:v>479.79207252062821</c:v>
                </c:pt>
                <c:pt idx="278">
                  <c:v>489.3883007956664</c:v>
                </c:pt>
                <c:pt idx="279">
                  <c:v>499.17644791388096</c:v>
                </c:pt>
                <c:pt idx="280">
                  <c:v>509.16035233679861</c:v>
                </c:pt>
                <c:pt idx="281">
                  <c:v>519.34392929392345</c:v>
                </c:pt>
                <c:pt idx="282">
                  <c:v>529.73117231811614</c:v>
                </c:pt>
                <c:pt idx="283">
                  <c:v>540.32615481167693</c:v>
                </c:pt>
                <c:pt idx="284">
                  <c:v>551.1330316437552</c:v>
                </c:pt>
                <c:pt idx="285">
                  <c:v>562.15604077969942</c:v>
                </c:pt>
                <c:pt idx="286">
                  <c:v>573.3995049430074</c:v>
                </c:pt>
                <c:pt idx="287">
                  <c:v>584.86783331049651</c:v>
                </c:pt>
                <c:pt idx="288">
                  <c:v>596.56552324139216</c:v>
                </c:pt>
                <c:pt idx="289">
                  <c:v>608.49716204099479</c:v>
                </c:pt>
                <c:pt idx="290">
                  <c:v>620.66742875961165</c:v>
                </c:pt>
                <c:pt idx="291">
                  <c:v>633.08109602748118</c:v>
                </c:pt>
                <c:pt idx="292">
                  <c:v>645.7430319263791</c:v>
                </c:pt>
                <c:pt idx="293">
                  <c:v>658.65820189866918</c:v>
                </c:pt>
                <c:pt idx="294">
                  <c:v>671.83167069453464</c:v>
                </c:pt>
                <c:pt idx="295">
                  <c:v>685.26860435813842</c:v>
                </c:pt>
                <c:pt idx="296">
                  <c:v>698.97427225353351</c:v>
                </c:pt>
                <c:pt idx="297">
                  <c:v>712.95404913105983</c:v>
                </c:pt>
                <c:pt idx="298">
                  <c:v>727.2134172350942</c:v>
                </c:pt>
                <c:pt idx="299">
                  <c:v>741.75796845394507</c:v>
                </c:pt>
              </c:numCache>
            </c:numRef>
          </c:yVal>
          <c:smooth val="0"/>
          <c:extLst>
            <c:ext xmlns:c16="http://schemas.microsoft.com/office/drawing/2014/chart" uri="{C3380CC4-5D6E-409C-BE32-E72D297353CC}">
              <c16:uniqueId val="{00000000-9419-4453-ABE0-2E390CE0BA3B}"/>
            </c:ext>
          </c:extLst>
        </c:ser>
        <c:dLbls>
          <c:showLegendKey val="0"/>
          <c:showVal val="0"/>
          <c:showCatName val="0"/>
          <c:showSerName val="0"/>
          <c:showPercent val="0"/>
          <c:showBubbleSize val="0"/>
        </c:dLbls>
        <c:axId val="331784464"/>
        <c:axId val="1"/>
      </c:scatterChart>
      <c:valAx>
        <c:axId val="33178446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vert="horz"/>
          <a:lstStyle/>
          <a:p>
            <a:pPr>
              <a:defRPr sz="900" b="0" i="0" u="none" strike="noStrike" baseline="0">
                <a:solidFill>
                  <a:srgbClr val="333333"/>
                </a:solidFill>
                <a:latin typeface="Calibri"/>
                <a:ea typeface="Calibri"/>
                <a:cs typeface="Calibri"/>
              </a:defRPr>
            </a:pPr>
            <a:endParaRPr lang="en-US"/>
          </a:p>
        </c:txPr>
        <c:crossAx val="1"/>
        <c:crosses val="autoZero"/>
        <c:crossBetween val="midCat"/>
      </c:valAx>
      <c:valAx>
        <c:axId val="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vert="horz"/>
          <a:lstStyle/>
          <a:p>
            <a:pPr>
              <a:defRPr sz="900" b="0" i="0" u="none" strike="noStrike" baseline="0">
                <a:solidFill>
                  <a:srgbClr val="333333"/>
                </a:solidFill>
                <a:latin typeface="Calibri"/>
                <a:ea typeface="Calibri"/>
                <a:cs typeface="Calibri"/>
              </a:defRPr>
            </a:pPr>
            <a:endParaRPr lang="en-US"/>
          </a:p>
        </c:txPr>
        <c:crossAx val="331784464"/>
        <c:crosses val="autoZero"/>
        <c:crossBetween val="midCat"/>
      </c:valAx>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333333"/>
                </a:solidFill>
                <a:latin typeface="Calibri"/>
                <a:ea typeface="Calibri"/>
                <a:cs typeface="Calibri"/>
              </a:defRPr>
            </a:pPr>
            <a:r>
              <a:rPr lang="en-US" sz="1000"/>
              <a:t>%</a:t>
            </a:r>
            <a:r>
              <a:rPr lang="en-US" sz="1000">
                <a:latin typeface="Symbol" panose="05050102010706020507" pitchFamily="18" charset="2"/>
              </a:rPr>
              <a:t>D</a:t>
            </a:r>
            <a:r>
              <a:rPr lang="en-US" sz="1000"/>
              <a:t>y</a:t>
            </a:r>
          </a:p>
        </c:rich>
      </c:tx>
      <c:overlay val="0"/>
      <c:spPr>
        <a:noFill/>
        <a:ln>
          <a:noFill/>
        </a:ln>
        <a:effectLst/>
      </c:spPr>
    </c:title>
    <c:autoTitleDeleted val="0"/>
    <c:plotArea>
      <c:layout>
        <c:manualLayout>
          <c:layoutTarget val="inner"/>
          <c:xMode val="edge"/>
          <c:yMode val="edge"/>
          <c:x val="0.14920939760578708"/>
          <c:y val="0.16187052954258579"/>
          <c:w val="0.78119710645925355"/>
          <c:h val="0.66104345735409031"/>
        </c:manualLayout>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Model!$A$14:$A$313</c:f>
              <c:numCache>
                <c:formatCode>General</c:formatCode>
                <c:ptCount val="3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numCache>
            </c:numRef>
          </c:xVal>
          <c:yVal>
            <c:numRef>
              <c:f>Model!$Q$14:$Q$313</c:f>
              <c:numCache>
                <c:formatCode>0.00%</c:formatCode>
                <c:ptCount val="300"/>
                <c:pt idx="1">
                  <c:v>7.5710088188716274E-2</c:v>
                </c:pt>
                <c:pt idx="2">
                  <c:v>6.7991521513527345E-2</c:v>
                </c:pt>
                <c:pt idx="3">
                  <c:v>6.1958198763089521E-2</c:v>
                </c:pt>
                <c:pt idx="4">
                  <c:v>5.711796661937632E-2</c:v>
                </c:pt>
                <c:pt idx="5">
                  <c:v>5.3152612396136063E-2</c:v>
                </c:pt>
                <c:pt idx="6">
                  <c:v>4.984745671414504E-2</c:v>
                </c:pt>
                <c:pt idx="7">
                  <c:v>4.7052516817774274E-2</c:v>
                </c:pt>
                <c:pt idx="8">
                  <c:v>4.4659898920752041E-2</c:v>
                </c:pt>
                <c:pt idx="9">
                  <c:v>4.2590034403857689E-2</c:v>
                </c:pt>
                <c:pt idx="10">
                  <c:v>4.0782976419259188E-2</c:v>
                </c:pt>
                <c:pt idx="11">
                  <c:v>3.9192714582909932E-2</c:v>
                </c:pt>
                <c:pt idx="12">
                  <c:v>3.7783355044945233E-2</c:v>
                </c:pt>
                <c:pt idx="13">
                  <c:v>3.6526489810563348E-2</c:v>
                </c:pt>
                <c:pt idx="14">
                  <c:v>3.5399345186695109E-2</c:v>
                </c:pt>
                <c:pt idx="15">
                  <c:v>3.4383453120126528E-2</c:v>
                </c:pt>
                <c:pt idx="16">
                  <c:v>3.3463681085754642E-2</c:v>
                </c:pt>
                <c:pt idx="17">
                  <c:v>3.2627512622412577E-2</c:v>
                </c:pt>
                <c:pt idx="18">
                  <c:v>3.1864506161855412E-2</c:v>
                </c:pt>
                <c:pt idx="19">
                  <c:v>3.116588270059523E-2</c:v>
                </c:pt>
                <c:pt idx="20">
                  <c:v>3.0524207928198183E-2</c:v>
                </c:pt>
                <c:pt idx="21">
                  <c:v>2.9933144520127946E-2</c:v>
                </c:pt>
                <c:pt idx="22">
                  <c:v>2.938725718426773E-2</c:v>
                </c:pt>
                <c:pt idx="23">
                  <c:v>2.8881857814979595E-2</c:v>
                </c:pt>
                <c:pt idx="24">
                  <c:v>2.8412881455821611E-2</c:v>
                </c:pt>
                <c:pt idx="25">
                  <c:v>2.7976786155186353E-2</c:v>
                </c:pt>
                <c:pt idx="26">
                  <c:v>2.7570471516871729E-2</c:v>
                </c:pt>
                <c:pt idx="27">
                  <c:v>2.7191212000145744E-2</c:v>
                </c:pt>
                <c:pt idx="28">
                  <c:v>2.683660194696048E-2</c:v>
                </c:pt>
                <c:pt idx="29">
                  <c:v>2.6504510001163238E-2</c:v>
                </c:pt>
                <c:pt idx="30">
                  <c:v>2.6193041100909698E-2</c:v>
                </c:pt>
                <c:pt idx="31">
                  <c:v>2.5900504616930661E-2</c:v>
                </c:pt>
                <c:pt idx="32">
                  <c:v>2.5625387508491099E-2</c:v>
                </c:pt>
                <c:pt idx="33">
                  <c:v>2.5366331599362368E-2</c:v>
                </c:pt>
                <c:pt idx="34">
                  <c:v>2.5122114254991522E-2</c:v>
                </c:pt>
                <c:pt idx="35">
                  <c:v>2.489163188178754E-2</c:v>
                </c:pt>
                <c:pt idx="36">
                  <c:v>2.4673885779412569E-2</c:v>
                </c:pt>
                <c:pt idx="37">
                  <c:v>2.4467969963926892E-2</c:v>
                </c:pt>
                <c:pt idx="38">
                  <c:v>2.4273060648949157E-2</c:v>
                </c:pt>
                <c:pt idx="39">
                  <c:v>2.4088407127449928E-2</c:v>
                </c:pt>
                <c:pt idx="40">
                  <c:v>2.3913323841421932E-2</c:v>
                </c:pt>
                <c:pt idx="41">
                  <c:v>2.3747183462823607E-2</c:v>
                </c:pt>
                <c:pt idx="42">
                  <c:v>2.3589410838554439E-2</c:v>
                </c:pt>
                <c:pt idx="43">
                  <c:v>2.3439477676191589E-2</c:v>
                </c:pt>
                <c:pt idx="44">
                  <c:v>2.3296897866925778E-2</c:v>
                </c:pt>
                <c:pt idx="45">
                  <c:v>2.3161223358341497E-2</c:v>
                </c:pt>
                <c:pt idx="46">
                  <c:v>2.3032040503081556E-2</c:v>
                </c:pt>
                <c:pt idx="47">
                  <c:v>2.290896682063619E-2</c:v>
                </c:pt>
                <c:pt idx="48">
                  <c:v>2.279164811870386E-2</c:v>
                </c:pt>
                <c:pt idx="49">
                  <c:v>2.2679755928431682E-2</c:v>
                </c:pt>
                <c:pt idx="50">
                  <c:v>2.2572985214293129E-2</c:v>
                </c:pt>
                <c:pt idx="51">
                  <c:v>2.2471052324914965E-2</c:v>
                </c:pt>
                <c:pt idx="52">
                  <c:v>2.2373693155766528E-2</c:v>
                </c:pt>
                <c:pt idx="53">
                  <c:v>2.2280661498593528E-2</c:v>
                </c:pt>
                <c:pt idx="54">
                  <c:v>2.219172755581543E-2</c:v>
                </c:pt>
                <c:pt idx="55">
                  <c:v>2.210667660094465E-2</c:v>
                </c:pt>
                <c:pt idx="56">
                  <c:v>2.2025307768563006E-2</c:v>
                </c:pt>
                <c:pt idx="57">
                  <c:v>2.1947432959435093E-2</c:v>
                </c:pt>
                <c:pt idx="58">
                  <c:v>2.1872875848190407E-2</c:v>
                </c:pt>
                <c:pt idx="59">
                  <c:v>2.1801470982498929E-2</c:v>
                </c:pt>
                <c:pt idx="60">
                  <c:v>2.1733062964062539E-2</c:v>
                </c:pt>
                <c:pt idx="61">
                  <c:v>2.1667505702840994E-2</c:v>
                </c:pt>
                <c:pt idx="62">
                  <c:v>2.1604661737001363E-2</c:v>
                </c:pt>
                <c:pt idx="63">
                  <c:v>2.1544401611894585E-2</c:v>
                </c:pt>
                <c:pt idx="64">
                  <c:v>2.1486603312172815E-2</c:v>
                </c:pt>
                <c:pt idx="65">
                  <c:v>2.1431151741794378E-2</c:v>
                </c:pt>
                <c:pt idx="66">
                  <c:v>2.1377938247261124E-2</c:v>
                </c:pt>
                <c:pt idx="67">
                  <c:v>2.13268601799445E-2</c:v>
                </c:pt>
                <c:pt idx="68">
                  <c:v>2.1277820493792652E-2</c:v>
                </c:pt>
                <c:pt idx="69">
                  <c:v>2.1230727375123964E-2</c:v>
                </c:pt>
                <c:pt idx="70">
                  <c:v>2.1185493901541647E-2</c:v>
                </c:pt>
                <c:pt idx="71">
                  <c:v>2.1142037727325574E-2</c:v>
                </c:pt>
                <c:pt idx="72">
                  <c:v>2.1100280792923195E-2</c:v>
                </c:pt>
                <c:pt idx="73">
                  <c:v>2.1060149056400912E-2</c:v>
                </c:pt>
                <c:pt idx="74">
                  <c:v>2.1021572244937378E-2</c:v>
                </c:pt>
                <c:pt idx="75">
                  <c:v>2.0984483624622963E-2</c:v>
                </c:pt>
                <c:pt idx="76">
                  <c:v>2.0948819787005E-2</c:v>
                </c:pt>
                <c:pt idx="77">
                  <c:v>2.0914520450961881E-2</c:v>
                </c:pt>
                <c:pt idx="78">
                  <c:v>2.0881528278633488E-2</c:v>
                </c:pt>
                <c:pt idx="79">
                  <c:v>2.0849788704249476E-2</c:v>
                </c:pt>
                <c:pt idx="80">
                  <c:v>2.0819249774806113E-2</c:v>
                </c:pt>
                <c:pt idx="81">
                  <c:v>2.0789862001628988E-2</c:v>
                </c:pt>
                <c:pt idx="82">
                  <c:v>2.0761578221979462E-2</c:v>
                </c:pt>
                <c:pt idx="83">
                  <c:v>2.0734353469886807E-2</c:v>
                </c:pt>
                <c:pt idx="84">
                  <c:v>2.0708144855515354E-2</c:v>
                </c:pt>
                <c:pt idx="85">
                  <c:v>2.0682911452388052E-2</c:v>
                </c:pt>
                <c:pt idx="86">
                  <c:v>2.065861419189239E-2</c:v>
                </c:pt>
                <c:pt idx="87">
                  <c:v>2.0635215764501356E-2</c:v>
                </c:pt>
                <c:pt idx="88">
                  <c:v>2.0612680527221275E-2</c:v>
                </c:pt>
                <c:pt idx="89">
                  <c:v>2.0590974416813613E-2</c:v>
                </c:pt>
                <c:pt idx="90">
                  <c:v>2.0570064868350658E-2</c:v>
                </c:pt>
                <c:pt idx="91">
                  <c:v>2.0549920738754571E-2</c:v>
                </c:pt>
                <c:pt idx="92">
                  <c:v>2.053051223492227E-2</c:v>
                </c:pt>
                <c:pt idx="93">
                  <c:v>2.0511810846162323E-2</c:v>
                </c:pt>
                <c:pt idx="94">
                  <c:v>2.049378928059669E-2</c:v>
                </c:pt>
                <c:pt idx="95">
                  <c:v>2.0476421405289838E-2</c:v>
                </c:pt>
                <c:pt idx="96">
                  <c:v>2.0459682189830998E-2</c:v>
                </c:pt>
                <c:pt idx="97">
                  <c:v>2.0443547653139712E-2</c:v>
                </c:pt>
                <c:pt idx="98">
                  <c:v>2.0427994813287526E-2</c:v>
                </c:pt>
                <c:pt idx="99">
                  <c:v>2.0413001640128516E-2</c:v>
                </c:pt>
                <c:pt idx="100">
                  <c:v>2.0398547010554335E-2</c:v>
                </c:pt>
                <c:pt idx="101">
                  <c:v>2.038461066620913E-2</c:v>
                </c:pt>
                <c:pt idx="102">
                  <c:v>2.0371173173498312E-2</c:v>
                </c:pt>
                <c:pt idx="103">
                  <c:v>2.0358215885763174E-2</c:v>
                </c:pt>
                <c:pt idx="104">
                  <c:v>2.0345720907453107E-2</c:v>
                </c:pt>
                <c:pt idx="105">
                  <c:v>2.033367106020945E-2</c:v>
                </c:pt>
                <c:pt idx="106">
                  <c:v>2.0322049850711506E-2</c:v>
                </c:pt>
                <c:pt idx="107">
                  <c:v>2.0310841440193211E-2</c:v>
                </c:pt>
                <c:pt idx="108">
                  <c:v>2.0300030615529797E-2</c:v>
                </c:pt>
                <c:pt idx="109">
                  <c:v>2.0289602761789212E-2</c:v>
                </c:pt>
                <c:pt idx="110">
                  <c:v>2.0279543836172132E-2</c:v>
                </c:pt>
                <c:pt idx="111">
                  <c:v>2.026984034325674E-2</c:v>
                </c:pt>
                <c:pt idx="112">
                  <c:v>2.026047931146947E-2</c:v>
                </c:pt>
                <c:pt idx="113">
                  <c:v>2.0251448270705942E-2</c:v>
                </c:pt>
                <c:pt idx="114">
                  <c:v>2.0242735231057633E-2</c:v>
                </c:pt>
                <c:pt idx="115">
                  <c:v>2.0234328662551249E-2</c:v>
                </c:pt>
                <c:pt idx="116">
                  <c:v>2.0226217475865949E-2</c:v>
                </c:pt>
                <c:pt idx="117">
                  <c:v>2.0218391003970587E-2</c:v>
                </c:pt>
                <c:pt idx="118">
                  <c:v>2.0210838984620744E-2</c:v>
                </c:pt>
                <c:pt idx="119">
                  <c:v>2.0203551543681461E-2</c:v>
                </c:pt>
                <c:pt idx="120">
                  <c:v>2.0196519179214896E-2</c:v>
                </c:pt>
                <c:pt idx="121">
                  <c:v>2.0189732746317423E-2</c:v>
                </c:pt>
                <c:pt idx="122">
                  <c:v>2.018318344263122E-2</c:v>
                </c:pt>
                <c:pt idx="123">
                  <c:v>2.0176862794530945E-2</c:v>
                </c:pt>
                <c:pt idx="124">
                  <c:v>2.017076264391806E-2</c:v>
                </c:pt>
                <c:pt idx="125">
                  <c:v>2.0164875135624562E-2</c:v>
                </c:pt>
                <c:pt idx="126">
                  <c:v>2.015919270535577E-2</c:v>
                </c:pt>
                <c:pt idx="127">
                  <c:v>2.0153708068180808E-2</c:v>
                </c:pt>
                <c:pt idx="128">
                  <c:v>2.0148414207527037E-2</c:v>
                </c:pt>
                <c:pt idx="129">
                  <c:v>2.014330436464172E-2</c:v>
                </c:pt>
                <c:pt idx="130">
                  <c:v>2.0138372028526013E-2</c:v>
                </c:pt>
                <c:pt idx="131">
                  <c:v>2.0133610926290246E-2</c:v>
                </c:pt>
                <c:pt idx="132">
                  <c:v>2.0129015013926652E-2</c:v>
                </c:pt>
                <c:pt idx="133">
                  <c:v>2.0124578467475191E-2</c:v>
                </c:pt>
                <c:pt idx="134">
                  <c:v>2.0120295674557757E-2</c:v>
                </c:pt>
                <c:pt idx="135">
                  <c:v>2.011616122627435E-2</c:v>
                </c:pt>
                <c:pt idx="136">
                  <c:v>2.0112169909431831E-2</c:v>
                </c:pt>
                <c:pt idx="137">
                  <c:v>2.0108316699096834E-2</c:v>
                </c:pt>
                <c:pt idx="138">
                  <c:v>2.0104596751462485E-2</c:v>
                </c:pt>
                <c:pt idx="139">
                  <c:v>2.0101005396995962E-2</c:v>
                </c:pt>
                <c:pt idx="140">
                  <c:v>2.0097538133878819E-2</c:v>
                </c:pt>
                <c:pt idx="141">
                  <c:v>2.0094190621706445E-2</c:v>
                </c:pt>
                <c:pt idx="142">
                  <c:v>2.0090958675442788E-2</c:v>
                </c:pt>
                <c:pt idx="143">
                  <c:v>2.0087838259622379E-2</c:v>
                </c:pt>
                <c:pt idx="144">
                  <c:v>2.0084825482778772E-2</c:v>
                </c:pt>
                <c:pt idx="145">
                  <c:v>2.0081916592105759E-2</c:v>
                </c:pt>
                <c:pt idx="146">
                  <c:v>2.0079107968315087E-2</c:v>
                </c:pt>
                <c:pt idx="147">
                  <c:v>2.0076396120711867E-2</c:v>
                </c:pt>
                <c:pt idx="148">
                  <c:v>2.0073777682453428E-2</c:v>
                </c:pt>
                <c:pt idx="149">
                  <c:v>2.0071249406005721E-2</c:v>
                </c:pt>
                <c:pt idx="150">
                  <c:v>2.0068808158758382E-2</c:v>
                </c:pt>
                <c:pt idx="151">
                  <c:v>2.0066450918833877E-2</c:v>
                </c:pt>
                <c:pt idx="152">
                  <c:v>2.0064174771037297E-2</c:v>
                </c:pt>
                <c:pt idx="153">
                  <c:v>2.0061976902979051E-2</c:v>
                </c:pt>
                <c:pt idx="154">
                  <c:v>2.0059854601333575E-2</c:v>
                </c:pt>
                <c:pt idx="155">
                  <c:v>2.0057805248247865E-2</c:v>
                </c:pt>
                <c:pt idx="156">
                  <c:v>2.0055826317892964E-2</c:v>
                </c:pt>
                <c:pt idx="157">
                  <c:v>2.0053915373132121E-2</c:v>
                </c:pt>
                <c:pt idx="158">
                  <c:v>2.0052070062326503E-2</c:v>
                </c:pt>
                <c:pt idx="159">
                  <c:v>2.0050288116258249E-2</c:v>
                </c:pt>
                <c:pt idx="160">
                  <c:v>2.004856734516999E-2</c:v>
                </c:pt>
                <c:pt idx="161">
                  <c:v>2.0046905635911789E-2</c:v>
                </c:pt>
                <c:pt idx="162">
                  <c:v>2.0045300949204765E-2</c:v>
                </c:pt>
                <c:pt idx="163">
                  <c:v>2.0043751316992896E-2</c:v>
                </c:pt>
                <c:pt idx="164">
                  <c:v>2.004225483990409E-2</c:v>
                </c:pt>
                <c:pt idx="165">
                  <c:v>2.0040809684805011E-2</c:v>
                </c:pt>
                <c:pt idx="166">
                  <c:v>2.0039414082438749E-2</c:v>
                </c:pt>
                <c:pt idx="167">
                  <c:v>2.0038066325154123E-2</c:v>
                </c:pt>
                <c:pt idx="168">
                  <c:v>2.0036764764726538E-2</c:v>
                </c:pt>
                <c:pt idx="169">
                  <c:v>2.0035507810244518E-2</c:v>
                </c:pt>
                <c:pt idx="170">
                  <c:v>2.003429392608427E-2</c:v>
                </c:pt>
                <c:pt idx="171">
                  <c:v>2.0033121629949698E-2</c:v>
                </c:pt>
                <c:pt idx="172">
                  <c:v>2.0031989490998322E-2</c:v>
                </c:pt>
                <c:pt idx="173">
                  <c:v>2.003089612801803E-2</c:v>
                </c:pt>
                <c:pt idx="174">
                  <c:v>2.0029840207681091E-2</c:v>
                </c:pt>
                <c:pt idx="175">
                  <c:v>2.0028820442859908E-2</c:v>
                </c:pt>
                <c:pt idx="176">
                  <c:v>2.0027835591002727E-2</c:v>
                </c:pt>
                <c:pt idx="177">
                  <c:v>2.0026884452565639E-2</c:v>
                </c:pt>
                <c:pt idx="178">
                  <c:v>2.0025965869499059E-2</c:v>
                </c:pt>
                <c:pt idx="179">
                  <c:v>2.0025078723811183E-2</c:v>
                </c:pt>
                <c:pt idx="180">
                  <c:v>2.002422193613964E-2</c:v>
                </c:pt>
                <c:pt idx="181">
                  <c:v>2.0023394464420394E-2</c:v>
                </c:pt>
                <c:pt idx="182">
                  <c:v>2.0022595302569283E-2</c:v>
                </c:pt>
                <c:pt idx="183">
                  <c:v>2.0021823479235597E-2</c:v>
                </c:pt>
                <c:pt idx="184">
                  <c:v>2.0021078056584485E-2</c:v>
                </c:pt>
                <c:pt idx="185">
                  <c:v>2.0020358129126017E-2</c:v>
                </c:pt>
                <c:pt idx="186">
                  <c:v>2.001966282259349E-2</c:v>
                </c:pt>
                <c:pt idx="187">
                  <c:v>2.0018991292851E-2</c:v>
                </c:pt>
                <c:pt idx="188">
                  <c:v>2.0018342724844266E-2</c:v>
                </c:pt>
                <c:pt idx="189">
                  <c:v>2.0017716331596703E-2</c:v>
                </c:pt>
                <c:pt idx="190">
                  <c:v>2.0017111353223347E-2</c:v>
                </c:pt>
                <c:pt idx="191">
                  <c:v>2.0016527055996811E-2</c:v>
                </c:pt>
                <c:pt idx="192">
                  <c:v>2.0015962731436521E-2</c:v>
                </c:pt>
                <c:pt idx="193">
                  <c:v>2.0015417695430287E-2</c:v>
                </c:pt>
                <c:pt idx="194">
                  <c:v>2.0014891287395271E-2</c:v>
                </c:pt>
                <c:pt idx="195">
                  <c:v>2.0014382869460324E-2</c:v>
                </c:pt>
                <c:pt idx="196">
                  <c:v>2.0013891825675742E-2</c:v>
                </c:pt>
                <c:pt idx="197">
                  <c:v>2.0013417561255124E-2</c:v>
                </c:pt>
                <c:pt idx="198">
                  <c:v>2.001295950185086E-2</c:v>
                </c:pt>
                <c:pt idx="199">
                  <c:v>2.0012517092835306E-2</c:v>
                </c:pt>
                <c:pt idx="200">
                  <c:v>2.0012089798628636E-2</c:v>
                </c:pt>
                <c:pt idx="201">
                  <c:v>2.0011677102037825E-2</c:v>
                </c:pt>
                <c:pt idx="202">
                  <c:v>2.0011278503613197E-2</c:v>
                </c:pt>
                <c:pt idx="203">
                  <c:v>2.0010893521055381E-2</c:v>
                </c:pt>
                <c:pt idx="204">
                  <c:v>2.0010521688600062E-2</c:v>
                </c:pt>
                <c:pt idx="205">
                  <c:v>2.001016255646703E-2</c:v>
                </c:pt>
                <c:pt idx="206">
                  <c:v>2.0009815690298235E-2</c:v>
                </c:pt>
                <c:pt idx="207">
                  <c:v>2.000948067062468E-2</c:v>
                </c:pt>
                <c:pt idx="208">
                  <c:v>2.0009157092366964E-2</c:v>
                </c:pt>
                <c:pt idx="209">
                  <c:v>2.0008844564320474E-2</c:v>
                </c:pt>
                <c:pt idx="210">
                  <c:v>2.0008542708694819E-2</c:v>
                </c:pt>
                <c:pt idx="211">
                  <c:v>2.0008251160637362E-2</c:v>
                </c:pt>
                <c:pt idx="212">
                  <c:v>2.000796956780259E-2</c:v>
                </c:pt>
                <c:pt idx="213">
                  <c:v>2.0007697589910306E-2</c:v>
                </c:pt>
                <c:pt idx="214">
                  <c:v>2.0007434898333207E-2</c:v>
                </c:pt>
                <c:pt idx="215">
                  <c:v>2.0007181175701303E-2</c:v>
                </c:pt>
                <c:pt idx="216">
                  <c:v>2.00069361155128E-2</c:v>
                </c:pt>
                <c:pt idx="217">
                  <c:v>2.0006699421751803E-2</c:v>
                </c:pt>
                <c:pt idx="218">
                  <c:v>2.0006470808543196E-2</c:v>
                </c:pt>
                <c:pt idx="219">
                  <c:v>2.0006249999792371E-2</c:v>
                </c:pt>
                <c:pt idx="220">
                  <c:v>2.0006036728856796E-2</c:v>
                </c:pt>
                <c:pt idx="221">
                  <c:v>2.0005830738212594E-2</c:v>
                </c:pt>
                <c:pt idx="222">
                  <c:v>2.0005631779153564E-2</c:v>
                </c:pt>
                <c:pt idx="223">
                  <c:v>2.0005439611480404E-2</c:v>
                </c:pt>
                <c:pt idx="224">
                  <c:v>2.0005254003209735E-2</c:v>
                </c:pt>
                <c:pt idx="225">
                  <c:v>2.0005074730289712E-2</c:v>
                </c:pt>
                <c:pt idx="226">
                  <c:v>2.0004901576340162E-2</c:v>
                </c:pt>
                <c:pt idx="227">
                  <c:v>2.0004734332375006E-2</c:v>
                </c:pt>
                <c:pt idx="228">
                  <c:v>2.0004572796552947E-2</c:v>
                </c:pt>
                <c:pt idx="229">
                  <c:v>2.0004416773939233E-2</c:v>
                </c:pt>
                <c:pt idx="230">
                  <c:v>2.0004266076262534E-2</c:v>
                </c:pt>
                <c:pt idx="231">
                  <c:v>2.0004120521682899E-2</c:v>
                </c:pt>
                <c:pt idx="232">
                  <c:v>2.0003979934585674E-2</c:v>
                </c:pt>
                <c:pt idx="233">
                  <c:v>2.0003844145351043E-2</c:v>
                </c:pt>
                <c:pt idx="234">
                  <c:v>2.0003712990161359E-2</c:v>
                </c:pt>
                <c:pt idx="235">
                  <c:v>2.0003586310795119E-2</c:v>
                </c:pt>
                <c:pt idx="236">
                  <c:v>2.0003463954440772E-2</c:v>
                </c:pt>
                <c:pt idx="237">
                  <c:v>2.0003345773505748E-2</c:v>
                </c:pt>
                <c:pt idx="238">
                  <c:v>2.0003231625442056E-2</c:v>
                </c:pt>
                <c:pt idx="239">
                  <c:v>2.0003121372574102E-2</c:v>
                </c:pt>
                <c:pt idx="240">
                  <c:v>2.000301488192811E-2</c:v>
                </c:pt>
                <c:pt idx="241">
                  <c:v>2.0002912025073184E-2</c:v>
                </c:pt>
                <c:pt idx="242">
                  <c:v>2.0002812677968686E-2</c:v>
                </c:pt>
                <c:pt idx="243">
                  <c:v>2.0002716720805388E-2</c:v>
                </c:pt>
                <c:pt idx="244">
                  <c:v>2.0002624037874353E-2</c:v>
                </c:pt>
                <c:pt idx="245">
                  <c:v>2.0002534517414142E-2</c:v>
                </c:pt>
                <c:pt idx="246">
                  <c:v>2.0002448051482161E-2</c:v>
                </c:pt>
                <c:pt idx="247">
                  <c:v>2.000236453581947E-2</c:v>
                </c:pt>
                <c:pt idx="248">
                  <c:v>2.0002283869733337E-2</c:v>
                </c:pt>
                <c:pt idx="249">
                  <c:v>2.000220595596677E-2</c:v>
                </c:pt>
                <c:pt idx="250">
                  <c:v>2.0002130700581208E-2</c:v>
                </c:pt>
                <c:pt idx="251">
                  <c:v>2.000205801285309E-2</c:v>
                </c:pt>
                <c:pt idx="252">
                  <c:v>2.0001987805151614E-2</c:v>
                </c:pt>
                <c:pt idx="253">
                  <c:v>2.0001919992836539E-2</c:v>
                </c:pt>
                <c:pt idx="254">
                  <c:v>2.0001854494163196E-2</c:v>
                </c:pt>
                <c:pt idx="255">
                  <c:v>2.0001791230176199E-2</c:v>
                </c:pt>
                <c:pt idx="256">
                  <c:v>2.0001730124611577E-2</c:v>
                </c:pt>
                <c:pt idx="257">
                  <c:v>2.0001671103814445E-2</c:v>
                </c:pt>
                <c:pt idx="258">
                  <c:v>2.0001614096643444E-2</c:v>
                </c:pt>
                <c:pt idx="259">
                  <c:v>2.0001559034383862E-2</c:v>
                </c:pt>
                <c:pt idx="260">
                  <c:v>2.0001505850666644E-2</c:v>
                </c:pt>
                <c:pt idx="261">
                  <c:v>2.0001454481391043E-2</c:v>
                </c:pt>
                <c:pt idx="262">
                  <c:v>2.0001404864644683E-2</c:v>
                </c:pt>
                <c:pt idx="263">
                  <c:v>2.0001356940624413E-2</c:v>
                </c:pt>
                <c:pt idx="264">
                  <c:v>2.000131065157288E-2</c:v>
                </c:pt>
                <c:pt idx="265">
                  <c:v>2.0001265941699896E-2</c:v>
                </c:pt>
                <c:pt idx="266">
                  <c:v>2.000122275712413E-2</c:v>
                </c:pt>
                <c:pt idx="267">
                  <c:v>2.0001181045801602E-2</c:v>
                </c:pt>
                <c:pt idx="268">
                  <c:v>2.0001140757463995E-2</c:v>
                </c:pt>
                <c:pt idx="269">
                  <c:v>2.0001101843556728E-2</c:v>
                </c:pt>
                <c:pt idx="270">
                  <c:v>2.0001064257185522E-2</c:v>
                </c:pt>
                <c:pt idx="271">
                  <c:v>2.0001027953060708E-2</c:v>
                </c:pt>
                <c:pt idx="272">
                  <c:v>2.0000992887425309E-2</c:v>
                </c:pt>
                <c:pt idx="273">
                  <c:v>2.0000959018027155E-2</c:v>
                </c:pt>
                <c:pt idx="274">
                  <c:v>2.0000926304054839E-2</c:v>
                </c:pt>
                <c:pt idx="275">
                  <c:v>2.0000894706083839E-2</c:v>
                </c:pt>
                <c:pt idx="276">
                  <c:v>2.0000864186039712E-2</c:v>
                </c:pt>
                <c:pt idx="277">
                  <c:v>2.000083470714727E-2</c:v>
                </c:pt>
                <c:pt idx="278">
                  <c:v>2.0000806233882919E-2</c:v>
                </c:pt>
                <c:pt idx="279">
                  <c:v>2.000077873194071E-2</c:v>
                </c:pt>
                <c:pt idx="280">
                  <c:v>2.0000752168179401E-2</c:v>
                </c:pt>
                <c:pt idx="281">
                  <c:v>2.0000726510591746E-2</c:v>
                </c:pt>
                <c:pt idx="282">
                  <c:v>2.0000701728264566E-2</c:v>
                </c:pt>
                <c:pt idx="283">
                  <c:v>2.0000677791334985E-2</c:v>
                </c:pt>
                <c:pt idx="284">
                  <c:v>2.0000654670964166E-2</c:v>
                </c:pt>
                <c:pt idx="285">
                  <c:v>2.0000632339288536E-2</c:v>
                </c:pt>
                <c:pt idx="286">
                  <c:v>2.0000610769411127E-2</c:v>
                </c:pt>
                <c:pt idx="287">
                  <c:v>2.0000589935334864E-2</c:v>
                </c:pt>
                <c:pt idx="288">
                  <c:v>2.0000569811958767E-2</c:v>
                </c:pt>
                <c:pt idx="289">
                  <c:v>2.0000550375041806E-2</c:v>
                </c:pt>
                <c:pt idx="290">
                  <c:v>2.0000531601159614E-2</c:v>
                </c:pt>
                <c:pt idx="291">
                  <c:v>2.0000513467700296E-2</c:v>
                </c:pt>
                <c:pt idx="292">
                  <c:v>2.000049595280963E-2</c:v>
                </c:pt>
                <c:pt idx="293">
                  <c:v>2.0000479035385901E-2</c:v>
                </c:pt>
                <c:pt idx="294">
                  <c:v>2.0000462695053668E-2</c:v>
                </c:pt>
                <c:pt idx="295">
                  <c:v>2.0000446912115319E-2</c:v>
                </c:pt>
                <c:pt idx="296">
                  <c:v>2.0000431667568666E-2</c:v>
                </c:pt>
                <c:pt idx="297">
                  <c:v>2.0000416943036701E-2</c:v>
                </c:pt>
                <c:pt idx="298">
                  <c:v>2.0000402720783364E-2</c:v>
                </c:pt>
                <c:pt idx="299">
                  <c:v>2.0000388983676981E-2</c:v>
                </c:pt>
              </c:numCache>
            </c:numRef>
          </c:yVal>
          <c:smooth val="0"/>
          <c:extLst>
            <c:ext xmlns:c16="http://schemas.microsoft.com/office/drawing/2014/chart" uri="{C3380CC4-5D6E-409C-BE32-E72D297353CC}">
              <c16:uniqueId val="{00000000-397F-496F-9718-387C621D69A0}"/>
            </c:ext>
          </c:extLst>
        </c:ser>
        <c:dLbls>
          <c:showLegendKey val="0"/>
          <c:showVal val="0"/>
          <c:showCatName val="0"/>
          <c:showSerName val="0"/>
          <c:showPercent val="0"/>
          <c:showBubbleSize val="0"/>
        </c:dLbls>
        <c:axId val="331784464"/>
        <c:axId val="1"/>
      </c:scatterChart>
      <c:valAx>
        <c:axId val="33178446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vert="horz"/>
          <a:lstStyle/>
          <a:p>
            <a:pPr>
              <a:defRPr sz="900" b="0" i="0" u="none" strike="noStrike" baseline="0">
                <a:solidFill>
                  <a:srgbClr val="333333"/>
                </a:solidFill>
                <a:latin typeface="Calibri"/>
                <a:ea typeface="Calibri"/>
                <a:cs typeface="Calibri"/>
              </a:defRPr>
            </a:pPr>
            <a:endParaRPr lang="en-US"/>
          </a:p>
        </c:txPr>
        <c:crossAx val="1"/>
        <c:crosses val="autoZero"/>
        <c:crossBetween val="midCat"/>
      </c:valAx>
      <c:valAx>
        <c:axId val="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0" vert="horz"/>
          <a:lstStyle/>
          <a:p>
            <a:pPr>
              <a:defRPr sz="900" b="0" i="0" u="none" strike="noStrike" baseline="0">
                <a:solidFill>
                  <a:srgbClr val="333333"/>
                </a:solidFill>
                <a:latin typeface="Calibri"/>
                <a:ea typeface="Calibri"/>
                <a:cs typeface="Calibri"/>
              </a:defRPr>
            </a:pPr>
            <a:endParaRPr lang="en-US"/>
          </a:p>
        </c:txPr>
        <c:crossAx val="331784464"/>
        <c:crosses val="autoZero"/>
        <c:crossBetween val="midCat"/>
      </c:valAx>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firstButton="1" fmlaLink="$C$17"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checked="Checked" lockText="1" noThreeD="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Radio" firstButton="1" fmlaLink="L60"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Radio" checked="Checked" lockText="1" noThreeD="1"/>
</file>

<file path=xl/ctrlProps/ctrlProp19.xml><?xml version="1.0" encoding="utf-8"?>
<formControlPr xmlns="http://schemas.microsoft.com/office/spreadsheetml/2009/9/main" objectType="GBox" noThreeD="1"/>
</file>

<file path=xl/ctrlProps/ctrlProp20.xml><?xml version="1.0" encoding="utf-8"?>
<formControlPr xmlns="http://schemas.microsoft.com/office/spreadsheetml/2009/9/main" objectType="Radio" checked="Checked" firstButton="1" fmlaLink="N60" lockText="1" noThreeD="1"/>
</file>

<file path=xl/ctrlProps/ctrlProp21.xml><?xml version="1.0" encoding="utf-8"?>
<formControlPr xmlns="http://schemas.microsoft.com/office/spreadsheetml/2009/9/main" objectType="Radio" lockText="1" noThreeD="1"/>
</file>

<file path=xl/ctrlProps/ctrlProp22.xml><?xml version="1.0" encoding="utf-8"?>
<formControlPr xmlns="http://schemas.microsoft.com/office/spreadsheetml/2009/9/main" objectType="Radio" lockText="1" noThreeD="1"/>
</file>

<file path=xl/ctrlProps/ctrlProp23.xml><?xml version="1.0" encoding="utf-8"?>
<formControlPr xmlns="http://schemas.microsoft.com/office/spreadsheetml/2009/9/main" objectType="GBox" noThreeD="1"/>
</file>

<file path=xl/ctrlProps/ctrlProp24.xml><?xml version="1.0" encoding="utf-8"?>
<formControlPr xmlns="http://schemas.microsoft.com/office/spreadsheetml/2009/9/main" objectType="Radio" firstButton="1" fmlaLink="K108" lockText="1" noThreeD="1"/>
</file>

<file path=xl/ctrlProps/ctrlProp25.xml><?xml version="1.0" encoding="utf-8"?>
<formControlPr xmlns="http://schemas.microsoft.com/office/spreadsheetml/2009/9/main" objectType="Radio" lockText="1" noThreeD="1"/>
</file>

<file path=xl/ctrlProps/ctrlProp26.xml><?xml version="1.0" encoding="utf-8"?>
<formControlPr xmlns="http://schemas.microsoft.com/office/spreadsheetml/2009/9/main" objectType="Radio" checked="Checked" lockText="1" noThreeD="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Radio" lockText="1" noThreeD="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3.png"/><Relationship Id="rId5" Type="http://schemas.openxmlformats.org/officeDocument/2006/relationships/image" Target="../media/image2.png"/><Relationship Id="rId4" Type="http://schemas.openxmlformats.org/officeDocument/2006/relationships/chart" Target="../charts/chart4.xml"/></Relationships>
</file>

<file path=xl/drawings/_rels/drawing7.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s>
</file>

<file path=xl/drawings/_rels/drawing8.x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5.vml.rels><?xml version="1.0" encoding="UTF-8" standalone="yes"?>
<Relationships xmlns="http://schemas.openxmlformats.org/package/2006/relationships"><Relationship Id="rId8" Type="http://schemas.openxmlformats.org/officeDocument/2006/relationships/image" Target="../media/image11.emf"/><Relationship Id="rId13" Type="http://schemas.openxmlformats.org/officeDocument/2006/relationships/image" Target="../media/image16.emf"/><Relationship Id="rId3" Type="http://schemas.openxmlformats.org/officeDocument/2006/relationships/image" Target="../media/image6.emf"/><Relationship Id="rId7" Type="http://schemas.openxmlformats.org/officeDocument/2006/relationships/image" Target="../media/image10.emf"/><Relationship Id="rId12" Type="http://schemas.openxmlformats.org/officeDocument/2006/relationships/image" Target="../media/image15.emf"/><Relationship Id="rId2" Type="http://schemas.openxmlformats.org/officeDocument/2006/relationships/image" Target="../media/image5.emf"/><Relationship Id="rId16" Type="http://schemas.openxmlformats.org/officeDocument/2006/relationships/image" Target="../media/image19.emf"/><Relationship Id="rId1" Type="http://schemas.openxmlformats.org/officeDocument/2006/relationships/image" Target="../media/image4.emf"/><Relationship Id="rId6" Type="http://schemas.openxmlformats.org/officeDocument/2006/relationships/image" Target="../media/image9.emf"/><Relationship Id="rId11" Type="http://schemas.openxmlformats.org/officeDocument/2006/relationships/image" Target="../media/image14.emf"/><Relationship Id="rId5" Type="http://schemas.openxmlformats.org/officeDocument/2006/relationships/image" Target="../media/image8.emf"/><Relationship Id="rId15" Type="http://schemas.openxmlformats.org/officeDocument/2006/relationships/image" Target="../media/image18.emf"/><Relationship Id="rId10" Type="http://schemas.openxmlformats.org/officeDocument/2006/relationships/image" Target="../media/image13.emf"/><Relationship Id="rId4" Type="http://schemas.openxmlformats.org/officeDocument/2006/relationships/image" Target="../media/image7.emf"/><Relationship Id="rId9" Type="http://schemas.openxmlformats.org/officeDocument/2006/relationships/image" Target="../media/image12.emf"/><Relationship Id="rId14"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381000</xdr:colOff>
          <xdr:row>8</xdr:row>
          <xdr:rowOff>114300</xdr:rowOff>
        </xdr:from>
        <xdr:to>
          <xdr:col>5</xdr:col>
          <xdr:colOff>525780</xdr:colOff>
          <xdr:row>10</xdr:row>
          <xdr:rowOff>106680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0.6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8</xdr:row>
          <xdr:rowOff>106680</xdr:rowOff>
        </xdr:from>
        <xdr:to>
          <xdr:col>7</xdr:col>
          <xdr:colOff>144780</xdr:colOff>
          <xdr:row>10</xdr:row>
          <xdr:rowOff>99060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000-000002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0.7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243840</xdr:colOff>
          <xdr:row>8</xdr:row>
          <xdr:rowOff>106680</xdr:rowOff>
        </xdr:from>
        <xdr:to>
          <xdr:col>8</xdr:col>
          <xdr:colOff>381000</xdr:colOff>
          <xdr:row>10</xdr:row>
          <xdr:rowOff>99060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000-000003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0.8</a:t>
              </a:r>
            </a:p>
          </xdr:txBody>
        </xdr:sp>
        <xdr:clientData fPrintsWithSheet="0"/>
      </xdr:twoCellAnchor>
    </mc:Choice>
    <mc:Fallback/>
  </mc:AlternateContent>
  <xdr:oneCellAnchor>
    <xdr:from>
      <xdr:col>2</xdr:col>
      <xdr:colOff>247650</xdr:colOff>
      <xdr:row>10</xdr:row>
      <xdr:rowOff>100012</xdr:rowOff>
    </xdr:from>
    <xdr:ext cx="2177348" cy="1106886"/>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466850" y="1824037"/>
              <a:ext cx="1422889" cy="21929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𝑌</m:t>
                    </m:r>
                    <m:r>
                      <a:rPr lang="en-US" sz="1100" b="0" i="1">
                        <a:latin typeface="Cambria Math" panose="02040503050406030204" pitchFamily="18" charset="0"/>
                      </a:rPr>
                      <m:t>=</m:t>
                    </m:r>
                    <m:r>
                      <a:rPr lang="en-US" sz="1100" b="0" i="1">
                        <a:latin typeface="Cambria Math" panose="02040503050406030204" pitchFamily="18" charset="0"/>
                      </a:rPr>
                      <m:t>𝐴</m:t>
                    </m:r>
                    <m:sSup>
                      <m:sSupPr>
                        <m:ctrlPr>
                          <a:rPr lang="en-US" sz="1100" b="0" i="1">
                            <a:latin typeface="Cambria Math" panose="02040503050406030204" pitchFamily="18" charset="0"/>
                          </a:rPr>
                        </m:ctrlPr>
                      </m:sSupPr>
                      <m:e>
                        <m:d>
                          <m:dPr>
                            <m:begChr m:val="["/>
                            <m:endChr m:val="]"/>
                            <m:ctrlPr>
                              <a:rPr lang="en-US" sz="1100" b="0" i="1">
                                <a:solidFill>
                                  <a:schemeClr val="tx1"/>
                                </a:solidFill>
                                <a:effectLst/>
                                <a:latin typeface="Cambria Math" panose="02040503050406030204" pitchFamily="18" charset="0"/>
                                <a:ea typeface="+mn-ea"/>
                                <a:cs typeface="+mn-cs"/>
                              </a:rPr>
                            </m:ctrlPr>
                          </m:dPr>
                          <m:e>
                            <m:sSup>
                              <m:sSupPr>
                                <m:ctrlPr>
                                  <a:rPr lang="en-US" sz="1100" b="0" i="1">
                                    <a:solidFill>
                                      <a:schemeClr val="tx1"/>
                                    </a:solidFill>
                                    <a:effectLst/>
                                    <a:latin typeface="Cambria Math" panose="02040503050406030204" pitchFamily="18" charset="0"/>
                                    <a:ea typeface="+mn-ea"/>
                                    <a:cs typeface="+mn-cs"/>
                                  </a:rPr>
                                </m:ctrlPr>
                              </m:sSupPr>
                              <m:e>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𝛼</m:t>
                                    </m:r>
                                  </m:e>
                                  <m:sub>
                                    <m:r>
                                      <a:rPr lang="en-US" sz="1100" b="0" i="1">
                                        <a:solidFill>
                                          <a:schemeClr val="tx1"/>
                                        </a:solidFill>
                                        <a:effectLst/>
                                        <a:latin typeface="Cambria Math" panose="02040503050406030204" pitchFamily="18" charset="0"/>
                                        <a:ea typeface="+mn-ea"/>
                                        <a:cs typeface="+mn-cs"/>
                                      </a:rPr>
                                      <m:t>1</m:t>
                                    </m:r>
                                  </m:sub>
                                </m:sSub>
                                <m:r>
                                  <a:rPr lang="en-US" sz="1100" b="0" i="1">
                                    <a:solidFill>
                                      <a:schemeClr val="tx1"/>
                                    </a:solidFill>
                                    <a:effectLst/>
                                    <a:latin typeface="Cambria Math" panose="02040503050406030204" pitchFamily="18" charset="0"/>
                                    <a:ea typeface="+mn-ea"/>
                                    <a:cs typeface="+mn-cs"/>
                                  </a:rPr>
                                  <m:t>𝐾</m:t>
                                </m:r>
                              </m:e>
                              <m:sup>
                                <m:r>
                                  <a:rPr lang="en-US" sz="1100" b="0" i="1">
                                    <a:solidFill>
                                      <a:schemeClr val="tx1"/>
                                    </a:solidFill>
                                    <a:effectLst/>
                                    <a:latin typeface="Cambria Math" panose="02040503050406030204" pitchFamily="18" charset="0"/>
                                    <a:ea typeface="+mn-ea"/>
                                    <a:cs typeface="+mn-cs"/>
                                  </a:rPr>
                                  <m:t>𝜌</m:t>
                                </m:r>
                              </m:sup>
                            </m:sSup>
                            <m:sSup>
                              <m:sSupPr>
                                <m:ctrlPr>
                                  <a:rPr lang="en-US" sz="1100" b="0" i="1">
                                    <a:solidFill>
                                      <a:schemeClr val="tx1"/>
                                    </a:solidFill>
                                    <a:effectLst/>
                                    <a:latin typeface="Cambria Math" panose="02040503050406030204" pitchFamily="18" charset="0"/>
                                    <a:ea typeface="+mn-ea"/>
                                    <a:cs typeface="+mn-cs"/>
                                  </a:rPr>
                                </m:ctrlPr>
                              </m:sSupPr>
                              <m:e>
                                <m:r>
                                  <a:rPr lang="en-US" sz="1100" b="0" i="1">
                                    <a:solidFill>
                                      <a:schemeClr val="tx1"/>
                                    </a:solidFill>
                                    <a:effectLst/>
                                    <a:latin typeface="Cambria Math" panose="02040503050406030204" pitchFamily="18" charset="0"/>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𝛼</m:t>
                                    </m:r>
                                  </m:e>
                                  <m:sub>
                                    <m:r>
                                      <a:rPr lang="en-US" sz="1100" b="0" i="1">
                                        <a:solidFill>
                                          <a:schemeClr val="tx1"/>
                                        </a:solidFill>
                                        <a:effectLst/>
                                        <a:latin typeface="Cambria Math" panose="02040503050406030204" pitchFamily="18" charset="0"/>
                                        <a:ea typeface="+mn-ea"/>
                                        <a:cs typeface="+mn-cs"/>
                                      </a:rPr>
                                      <m:t>2</m:t>
                                    </m:r>
                                  </m:sub>
                                </m:sSub>
                                <m:r>
                                  <a:rPr lang="en-US" sz="1100" b="0" i="1">
                                    <a:solidFill>
                                      <a:schemeClr val="tx1"/>
                                    </a:solidFill>
                                    <a:effectLst/>
                                    <a:latin typeface="Cambria Math" panose="02040503050406030204" pitchFamily="18" charset="0"/>
                                    <a:ea typeface="+mn-ea"/>
                                    <a:cs typeface="+mn-cs"/>
                                  </a:rPr>
                                  <m:t>𝐿</m:t>
                                </m:r>
                              </m:e>
                              <m:sup>
                                <m:r>
                                  <a:rPr lang="en-US" sz="1100" b="0" i="1">
                                    <a:solidFill>
                                      <a:schemeClr val="tx1"/>
                                    </a:solidFill>
                                    <a:effectLst/>
                                    <a:latin typeface="Cambria Math" panose="02040503050406030204" pitchFamily="18" charset="0"/>
                                    <a:ea typeface="+mn-ea"/>
                                    <a:cs typeface="+mn-cs"/>
                                  </a:rPr>
                                  <m:t>𝜌</m:t>
                                </m:r>
                              </m:sup>
                            </m:sSup>
                          </m:e>
                        </m:d>
                      </m:e>
                      <m:sup>
                        <m:f>
                          <m:fPr>
                            <m:type m:val="skw"/>
                            <m:ctrlPr>
                              <a:rPr lang="en-US" sz="1100" b="0" i="1">
                                <a:latin typeface="Cambria Math" panose="02040503050406030204" pitchFamily="18" charset="0"/>
                              </a:rPr>
                            </m:ctrlPr>
                          </m:fPr>
                          <m:num>
                            <m:r>
                              <a:rPr lang="en-US" sz="1100" b="0" i="1">
                                <a:latin typeface="Cambria Math" panose="02040503050406030204" pitchFamily="18" charset="0"/>
                              </a:rPr>
                              <m:t>1</m:t>
                            </m:r>
                          </m:num>
                          <m:den>
                            <m:r>
                              <a:rPr lang="en-US" sz="1100" b="0" i="1">
                                <a:latin typeface="Cambria Math" panose="02040503050406030204" pitchFamily="18" charset="0"/>
                                <a:ea typeface="Cambria Math" panose="02040503050406030204" pitchFamily="18" charset="0"/>
                              </a:rPr>
                              <m:t>𝜌</m:t>
                            </m:r>
                          </m:den>
                        </m:f>
                      </m:sup>
                    </m:sSup>
                  </m:oMath>
                </m:oMathPara>
              </a14:m>
              <a:endParaRPr lang="en-US" sz="1100"/>
            </a:p>
          </xdr:txBody>
        </xdr:sp>
      </mc:Choice>
      <mc:Fallback xmlns="">
        <xdr:sp macro="" textlink="">
          <xdr:nvSpPr>
            <xdr:cNvPr id="5" name="TextBox 4"/>
            <xdr:cNvSpPr txBox="1"/>
          </xdr:nvSpPr>
          <xdr:spPr>
            <a:xfrm>
              <a:off x="1466850" y="1824037"/>
              <a:ext cx="1422889" cy="21929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𝑌=𝐴</a:t>
              </a:r>
              <a:r>
                <a:rPr lang="en-US" sz="1100" b="0" i="0">
                  <a:solidFill>
                    <a:schemeClr val="tx1"/>
                  </a:solidFill>
                  <a:effectLst/>
                  <a:latin typeface="Cambria Math" panose="02040503050406030204" pitchFamily="18" charset="0"/>
                  <a:ea typeface="+mn-ea"/>
                  <a:cs typeface="+mn-cs"/>
                </a:rPr>
                <a:t>[〖𝛼_1 𝐾〗^𝜌 〖+𝛼_2 𝐿〗^𝜌 ]^(</a:t>
              </a:r>
              <a:r>
                <a:rPr lang="en-US" sz="1100" b="0" i="0">
                  <a:latin typeface="Cambria Math" panose="02040503050406030204" pitchFamily="18" charset="0"/>
                </a:rPr>
                <a:t>1⁄</a:t>
              </a:r>
              <a:r>
                <a:rPr lang="en-US" sz="1100" b="0" i="0">
                  <a:latin typeface="Cambria Math" panose="02040503050406030204" pitchFamily="18" charset="0"/>
                  <a:ea typeface="Cambria Math" panose="02040503050406030204" pitchFamily="18" charset="0"/>
                </a:rPr>
                <a:t>𝜌)</a:t>
              </a:r>
              <a:endParaRPr lang="en-US" sz="1100"/>
            </a:p>
          </xdr:txBody>
        </xdr:sp>
      </mc:Fallback>
    </mc:AlternateContent>
    <xdr:clientData/>
  </xdr:oneCellAnchor>
  <xdr:twoCellAnchor>
    <xdr:from>
      <xdr:col>12</xdr:col>
      <xdr:colOff>0</xdr:colOff>
      <xdr:row>5</xdr:row>
      <xdr:rowOff>0</xdr:rowOff>
    </xdr:from>
    <xdr:to>
      <xdr:col>19</xdr:col>
      <xdr:colOff>257175</xdr:colOff>
      <xdr:row>11</xdr:row>
      <xdr:rowOff>142875</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7315200" y="876300"/>
          <a:ext cx="4524375" cy="1152525"/>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a:t>
          </a:r>
          <a:r>
            <a:rPr lang="en-US" sz="1100" baseline="0"/>
            <a:t> used this to see if a CES prod fn could give LR K/Y = 6 with reasonable parameter values.</a:t>
          </a:r>
        </a:p>
        <a:p>
          <a:r>
            <a:rPr lang="en-US" sz="1100" baseline="0"/>
            <a:t>I don't think it can.</a:t>
          </a:r>
        </a:p>
        <a:p>
          <a:r>
            <a:rPr lang="en-US" sz="1100" baseline="0"/>
            <a:t>This sheet can also be used to explore shares to L and K with different elasticities of substitution.</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17</xdr:row>
          <xdr:rowOff>38100</xdr:rowOff>
        </xdr:from>
        <xdr:to>
          <xdr:col>4</xdr:col>
          <xdr:colOff>0</xdr:colOff>
          <xdr:row>18</xdr:row>
          <xdr:rowOff>129540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100-0000014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Piketty's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40</xdr:row>
          <xdr:rowOff>0</xdr:rowOff>
        </xdr:from>
        <xdr:to>
          <xdr:col>2</xdr:col>
          <xdr:colOff>518160</xdr:colOff>
          <xdr:row>41</xdr:row>
          <xdr:rowOff>91440</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100-0000024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Start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13</xdr:row>
          <xdr:rowOff>0</xdr:rowOff>
        </xdr:from>
        <xdr:to>
          <xdr:col>2</xdr:col>
          <xdr:colOff>518160</xdr:colOff>
          <xdr:row>14</xdr:row>
          <xdr:rowOff>91440</xdr:rowOff>
        </xdr:to>
        <xdr:sp macro="" textlink="">
          <xdr:nvSpPr>
            <xdr:cNvPr id="20483" name="Button 3" hidden="1">
              <a:extLst>
                <a:ext uri="{63B3BB69-23CF-44E3-9099-C40C66FF867C}">
                  <a14:compatExt spid="_x0000_s20483"/>
                </a:ext>
                <a:ext uri="{FF2B5EF4-FFF2-40B4-BE49-F238E27FC236}">
                  <a16:creationId xmlns:a16="http://schemas.microsoft.com/office/drawing/2014/main" id="{00000000-0008-0000-0200-000003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Capital</a:t>
              </a:r>
            </a:p>
          </xdr:txBody>
        </xdr:sp>
        <xdr:clientData fPrintsWithSheet="0"/>
      </xdr:twoCellAnchor>
    </mc:Choice>
    <mc:Fallback/>
  </mc:AlternateContent>
  <xdr:twoCellAnchor editAs="oneCell">
    <xdr:from>
      <xdr:col>54</xdr:col>
      <xdr:colOff>266700</xdr:colOff>
      <xdr:row>13</xdr:row>
      <xdr:rowOff>19050</xdr:rowOff>
    </xdr:from>
    <xdr:to>
      <xdr:col>61</xdr:col>
      <xdr:colOff>491523</xdr:colOff>
      <xdr:row>28</xdr:row>
      <xdr:rowOff>0</xdr:rowOff>
    </xdr:to>
    <xdr:pic>
      <xdr:nvPicPr>
        <xdr:cNvPr id="5" name="Picture 4" descr="C:\Users\hbarreto\AppData\Local\Temp\SNAGHTML25f7c412.PNG">
          <a:extLst>
            <a:ext uri="{FF2B5EF4-FFF2-40B4-BE49-F238E27FC236}">
              <a16:creationId xmlns:a16="http://schemas.microsoft.com/office/drawing/2014/main" id="{00000000-0008-0000-0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3274000" y="2419350"/>
          <a:ext cx="4492023" cy="2743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0</xdr:colOff>
          <xdr:row>46</xdr:row>
          <xdr:rowOff>0</xdr:rowOff>
        </xdr:from>
        <xdr:to>
          <xdr:col>2</xdr:col>
          <xdr:colOff>518160</xdr:colOff>
          <xdr:row>47</xdr:row>
          <xdr:rowOff>91440</xdr:rowOff>
        </xdr:to>
        <xdr:sp macro="" textlink="">
          <xdr:nvSpPr>
            <xdr:cNvPr id="20485" name="Button 5" hidden="1">
              <a:extLst>
                <a:ext uri="{63B3BB69-23CF-44E3-9099-C40C66FF867C}">
                  <a14:compatExt spid="_x0000_s20485"/>
                </a:ext>
                <a:ext uri="{FF2B5EF4-FFF2-40B4-BE49-F238E27FC236}">
                  <a16:creationId xmlns:a16="http://schemas.microsoft.com/office/drawing/2014/main" id="{00000000-0008-0000-0200-000005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Data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0</xdr:colOff>
      <xdr:row>21</xdr:row>
      <xdr:rowOff>9524</xdr:rowOff>
    </xdr:from>
    <xdr:to>
      <xdr:col>10</xdr:col>
      <xdr:colOff>323850</xdr:colOff>
      <xdr:row>38</xdr:row>
      <xdr:rowOff>152399</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59</xdr:row>
      <xdr:rowOff>0</xdr:rowOff>
    </xdr:from>
    <xdr:to>
      <xdr:col>11</xdr:col>
      <xdr:colOff>0</xdr:colOff>
      <xdr:row>70</xdr:row>
      <xdr:rowOff>0</xdr:rowOff>
    </xdr:to>
    <xdr:graphicFrame macro="">
      <xdr:nvGraphicFramePr>
        <xdr:cNvPr id="5" name="Chart 4">
          <a:extLst>
            <a:ext uri="{FF2B5EF4-FFF2-40B4-BE49-F238E27FC236}">
              <a16:creationId xmlns:a16="http://schemas.microsoft.com/office/drawing/2014/main"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19243</xdr:colOff>
      <xdr:row>97</xdr:row>
      <xdr:rowOff>108078</xdr:rowOff>
    </xdr:from>
    <xdr:to>
      <xdr:col>9</xdr:col>
      <xdr:colOff>409513</xdr:colOff>
      <xdr:row>113</xdr:row>
      <xdr:rowOff>12828</xdr:rowOff>
    </xdr:to>
    <xdr:graphicFrame macro="">
      <xdr:nvGraphicFramePr>
        <xdr:cNvPr id="6" name="Chart 5">
          <a:extLst>
            <a:ext uri="{FF2B5EF4-FFF2-40B4-BE49-F238E27FC236}">
              <a16:creationId xmlns:a16="http://schemas.microsoft.com/office/drawing/2014/main"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1</xdr:col>
          <xdr:colOff>0</xdr:colOff>
          <xdr:row>171</xdr:row>
          <xdr:rowOff>0</xdr:rowOff>
        </xdr:from>
        <xdr:to>
          <xdr:col>1</xdr:col>
          <xdr:colOff>518160</xdr:colOff>
          <xdr:row>172</xdr:row>
          <xdr:rowOff>91440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300-0000015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Cycle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53340</xdr:colOff>
          <xdr:row>14</xdr:row>
          <xdr:rowOff>205740</xdr:rowOff>
        </xdr:from>
        <xdr:to>
          <xdr:col>3</xdr:col>
          <xdr:colOff>99060</xdr:colOff>
          <xdr:row>19</xdr:row>
          <xdr:rowOff>175260</xdr:rowOff>
        </xdr:to>
        <xdr:sp macro="" textlink="">
          <xdr:nvSpPr>
            <xdr:cNvPr id="21506" name="Group Box 2" hidden="1">
              <a:extLst>
                <a:ext uri="{63B3BB69-23CF-44E3-9099-C40C66FF867C}">
                  <a14:compatExt spid="_x0000_s21506"/>
                </a:ext>
                <a:ext uri="{FF2B5EF4-FFF2-40B4-BE49-F238E27FC236}">
                  <a16:creationId xmlns:a16="http://schemas.microsoft.com/office/drawing/2014/main" id="{00000000-0008-0000-0300-0000025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Country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xdr:colOff>
          <xdr:row>15</xdr:row>
          <xdr:rowOff>106680</xdr:rowOff>
        </xdr:from>
        <xdr:to>
          <xdr:col>3</xdr:col>
          <xdr:colOff>99060</xdr:colOff>
          <xdr:row>16</xdr:row>
          <xdr:rowOff>121920</xdr:rowOff>
        </xdr:to>
        <xdr:sp macro="" textlink="">
          <xdr:nvSpPr>
            <xdr:cNvPr id="21507" name="Option Button 3" hidden="1">
              <a:extLst>
                <a:ext uri="{63B3BB69-23CF-44E3-9099-C40C66FF867C}">
                  <a14:compatExt spid="_x0000_s21507"/>
                </a:ext>
                <a:ext uri="{FF2B5EF4-FFF2-40B4-BE49-F238E27FC236}">
                  <a16:creationId xmlns:a16="http://schemas.microsoft.com/office/drawing/2014/main" id="{00000000-0008-0000-0300-000003540000}"/>
                </a:ext>
              </a:extLst>
            </xdr:cNvPr>
            <xdr:cNvSpPr/>
          </xdr:nvSpPr>
          <xdr:spPr bwMode="auto">
            <a:xfrm>
              <a:off x="0" y="0"/>
              <a:ext cx="0" cy="0"/>
            </a:xfrm>
            <a:prstGeom prst="rect">
              <a:avLst/>
            </a:prstGeom>
            <a:solidFill>
              <a:srgbClr val="9DBB6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xdr:colOff>
          <xdr:row>16</xdr:row>
          <xdr:rowOff>68580</xdr:rowOff>
        </xdr:from>
        <xdr:to>
          <xdr:col>3</xdr:col>
          <xdr:colOff>99060</xdr:colOff>
          <xdr:row>17</xdr:row>
          <xdr:rowOff>83820</xdr:rowOff>
        </xdr:to>
        <xdr:sp macro="" textlink="">
          <xdr:nvSpPr>
            <xdr:cNvPr id="21508" name="Option Button 4" hidden="1">
              <a:extLst>
                <a:ext uri="{63B3BB69-23CF-44E3-9099-C40C66FF867C}">
                  <a14:compatExt spid="_x0000_s21508"/>
                </a:ext>
                <a:ext uri="{FF2B5EF4-FFF2-40B4-BE49-F238E27FC236}">
                  <a16:creationId xmlns:a16="http://schemas.microsoft.com/office/drawing/2014/main" id="{00000000-0008-0000-0300-000004540000}"/>
                </a:ext>
              </a:extLst>
            </xdr:cNvPr>
            <xdr:cNvSpPr/>
          </xdr:nvSpPr>
          <xdr:spPr bwMode="auto">
            <a:xfrm>
              <a:off x="0" y="0"/>
              <a:ext cx="0" cy="0"/>
            </a:xfrm>
            <a:prstGeom prst="rect">
              <a:avLst/>
            </a:prstGeom>
            <a:solidFill>
              <a:srgbClr val="9DBB6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Germany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60960</xdr:colOff>
          <xdr:row>17</xdr:row>
          <xdr:rowOff>53340</xdr:rowOff>
        </xdr:from>
        <xdr:to>
          <xdr:col>3</xdr:col>
          <xdr:colOff>99060</xdr:colOff>
          <xdr:row>18</xdr:row>
          <xdr:rowOff>45720</xdr:rowOff>
        </xdr:to>
        <xdr:sp macro="" textlink="">
          <xdr:nvSpPr>
            <xdr:cNvPr id="21509" name="Option Button 5" hidden="1">
              <a:extLst>
                <a:ext uri="{63B3BB69-23CF-44E3-9099-C40C66FF867C}">
                  <a14:compatExt spid="_x0000_s21509"/>
                </a:ext>
                <a:ext uri="{FF2B5EF4-FFF2-40B4-BE49-F238E27FC236}">
                  <a16:creationId xmlns:a16="http://schemas.microsoft.com/office/drawing/2014/main" id="{00000000-0008-0000-0300-000005540000}"/>
                </a:ext>
              </a:extLst>
            </xdr:cNvPr>
            <xdr:cNvSpPr/>
          </xdr:nvSpPr>
          <xdr:spPr bwMode="auto">
            <a:xfrm>
              <a:off x="0" y="0"/>
              <a:ext cx="0" cy="0"/>
            </a:xfrm>
            <a:prstGeom prst="rect">
              <a:avLst/>
            </a:prstGeom>
            <a:solidFill>
              <a:srgbClr val="9DBB6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 France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60960</xdr:colOff>
          <xdr:row>18</xdr:row>
          <xdr:rowOff>0</xdr:rowOff>
        </xdr:from>
        <xdr:to>
          <xdr:col>3</xdr:col>
          <xdr:colOff>99060</xdr:colOff>
          <xdr:row>19</xdr:row>
          <xdr:rowOff>15240</xdr:rowOff>
        </xdr:to>
        <xdr:sp macro="" textlink="">
          <xdr:nvSpPr>
            <xdr:cNvPr id="21510" name="Option Button 6" hidden="1">
              <a:extLst>
                <a:ext uri="{63B3BB69-23CF-44E3-9099-C40C66FF867C}">
                  <a14:compatExt spid="_x0000_s21510"/>
                </a:ext>
                <a:ext uri="{FF2B5EF4-FFF2-40B4-BE49-F238E27FC236}">
                  <a16:creationId xmlns:a16="http://schemas.microsoft.com/office/drawing/2014/main" id="{00000000-0008-0000-0300-000006540000}"/>
                </a:ext>
              </a:extLst>
            </xdr:cNvPr>
            <xdr:cNvSpPr/>
          </xdr:nvSpPr>
          <xdr:spPr bwMode="auto">
            <a:xfrm>
              <a:off x="0" y="0"/>
              <a:ext cx="0" cy="0"/>
            </a:xfrm>
            <a:prstGeom prst="rect">
              <a:avLst/>
            </a:prstGeom>
            <a:solidFill>
              <a:srgbClr val="9DBB6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 UK</a:t>
              </a:r>
            </a:p>
          </xdr:txBody>
        </xdr:sp>
        <xdr:clientData/>
      </xdr:twoCellAnchor>
    </mc:Choice>
    <mc:Fallback/>
  </mc:AlternateContent>
  <xdr:twoCellAnchor>
    <xdr:from>
      <xdr:col>37</xdr:col>
      <xdr:colOff>87233</xdr:colOff>
      <xdr:row>12</xdr:row>
      <xdr:rowOff>56637</xdr:rowOff>
    </xdr:from>
    <xdr:to>
      <xdr:col>40</xdr:col>
      <xdr:colOff>307878</xdr:colOff>
      <xdr:row>17</xdr:row>
      <xdr:rowOff>153939</xdr:rowOff>
    </xdr:to>
    <xdr:sp macro="" textlink="">
      <xdr:nvSpPr>
        <xdr:cNvPr id="11" name="TextBox 10">
          <a:extLst>
            <a:ext uri="{FF2B5EF4-FFF2-40B4-BE49-F238E27FC236}">
              <a16:creationId xmlns:a16="http://schemas.microsoft.com/office/drawing/2014/main" id="{00000000-0008-0000-0300-00000B000000}"/>
            </a:ext>
          </a:extLst>
        </xdr:cNvPr>
        <xdr:cNvSpPr txBox="1"/>
      </xdr:nvSpPr>
      <xdr:spPr>
        <a:xfrm>
          <a:off x="18515061" y="2308001"/>
          <a:ext cx="2048676" cy="1027352"/>
        </a:xfrm>
        <a:prstGeom prst="rect">
          <a:avLst/>
        </a:prstGeom>
        <a:solidFill>
          <a:schemeClr val="accent3">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Symbol" panose="05050102010706020507" pitchFamily="18" charset="2"/>
            </a:rPr>
            <a:t>b</a:t>
          </a:r>
          <a:r>
            <a:rPr lang="en-US" sz="1100"/>
            <a:t> (pronounced</a:t>
          </a:r>
          <a:r>
            <a:rPr lang="en-US" sz="1100" baseline="0"/>
            <a:t> </a:t>
          </a:r>
          <a:r>
            <a:rPr lang="en-US" sz="1100"/>
            <a:t>beta) and K/Y are the exact same thing: wealth expressed</a:t>
          </a:r>
          <a:r>
            <a:rPr lang="en-US" sz="1100" baseline="0"/>
            <a:t> as </a:t>
          </a:r>
          <a:r>
            <a:rPr lang="en-US" sz="1100"/>
            <a:t>the</a:t>
          </a:r>
          <a:r>
            <a:rPr lang="en-US" sz="1100" baseline="0"/>
            <a:t> number of years of national income or as a percentage of national income.</a:t>
          </a:r>
          <a:endParaRPr lang="en-US" sz="1100"/>
        </a:p>
      </xdr:txBody>
    </xdr:sp>
    <xdr:clientData/>
  </xdr:twoCellAnchor>
  <mc:AlternateContent xmlns:mc="http://schemas.openxmlformats.org/markup-compatibility/2006">
    <mc:Choice xmlns:a14="http://schemas.microsoft.com/office/drawing/2010/main" Requires="a14">
      <xdr:twoCellAnchor>
        <xdr:from>
          <xdr:col>7</xdr:col>
          <xdr:colOff>518160</xdr:colOff>
          <xdr:row>19</xdr:row>
          <xdr:rowOff>22860</xdr:rowOff>
        </xdr:from>
        <xdr:to>
          <xdr:col>9</xdr:col>
          <xdr:colOff>556260</xdr:colOff>
          <xdr:row>20</xdr:row>
          <xdr:rowOff>167640</xdr:rowOff>
        </xdr:to>
        <xdr:sp macro="" textlink="">
          <xdr:nvSpPr>
            <xdr:cNvPr id="21512" name="Button 8" hidden="1">
              <a:extLst>
                <a:ext uri="{63B3BB69-23CF-44E3-9099-C40C66FF867C}">
                  <a14:compatExt spid="_x0000_s21512"/>
                </a:ext>
                <a:ext uri="{FF2B5EF4-FFF2-40B4-BE49-F238E27FC236}">
                  <a16:creationId xmlns:a16="http://schemas.microsoft.com/office/drawing/2014/main" id="{00000000-0008-0000-0300-0000085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Understanding Beta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53340</xdr:colOff>
          <xdr:row>59</xdr:row>
          <xdr:rowOff>60960</xdr:rowOff>
        </xdr:from>
        <xdr:to>
          <xdr:col>12</xdr:col>
          <xdr:colOff>91440</xdr:colOff>
          <xdr:row>60</xdr:row>
          <xdr:rowOff>15240</xdr:rowOff>
        </xdr:to>
        <xdr:sp macro="" textlink="">
          <xdr:nvSpPr>
            <xdr:cNvPr id="21514" name="Group Box 10" hidden="1">
              <a:extLst>
                <a:ext uri="{63B3BB69-23CF-44E3-9099-C40C66FF867C}">
                  <a14:compatExt spid="_x0000_s21514"/>
                </a:ext>
                <a:ext uri="{FF2B5EF4-FFF2-40B4-BE49-F238E27FC236}">
                  <a16:creationId xmlns:a16="http://schemas.microsoft.com/office/drawing/2014/main" id="{00000000-0008-0000-0300-00000A5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Country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53340</xdr:colOff>
          <xdr:row>59</xdr:row>
          <xdr:rowOff>205740</xdr:rowOff>
        </xdr:from>
        <xdr:to>
          <xdr:col>12</xdr:col>
          <xdr:colOff>91440</xdr:colOff>
          <xdr:row>59</xdr:row>
          <xdr:rowOff>403860</xdr:rowOff>
        </xdr:to>
        <xdr:sp macro="" textlink="">
          <xdr:nvSpPr>
            <xdr:cNvPr id="21515" name="Option Button 11" hidden="1">
              <a:extLst>
                <a:ext uri="{63B3BB69-23CF-44E3-9099-C40C66FF867C}">
                  <a14:compatExt spid="_x0000_s21515"/>
                </a:ext>
                <a:ext uri="{FF2B5EF4-FFF2-40B4-BE49-F238E27FC236}">
                  <a16:creationId xmlns:a16="http://schemas.microsoft.com/office/drawing/2014/main" id="{00000000-0008-0000-0300-00000B540000}"/>
                </a:ext>
              </a:extLst>
            </xdr:cNvPr>
            <xdr:cNvSpPr/>
          </xdr:nvSpPr>
          <xdr:spPr bwMode="auto">
            <a:xfrm>
              <a:off x="0" y="0"/>
              <a:ext cx="0" cy="0"/>
            </a:xfrm>
            <a:prstGeom prst="rect">
              <a:avLst/>
            </a:prstGeom>
            <a:solidFill>
              <a:srgbClr val="9DBB6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 USA</a:t>
              </a:r>
            </a:p>
          </xdr:txBody>
        </xdr:sp>
        <xdr:clientData/>
      </xdr:twoCellAnchor>
    </mc:Choice>
    <mc:Fallback/>
  </mc:AlternateContent>
  <xdr:twoCellAnchor>
    <xdr:from>
      <xdr:col>37</xdr:col>
      <xdr:colOff>38482</xdr:colOff>
      <xdr:row>6</xdr:row>
      <xdr:rowOff>128283</xdr:rowOff>
    </xdr:from>
    <xdr:to>
      <xdr:col>39</xdr:col>
      <xdr:colOff>26874</xdr:colOff>
      <xdr:row>10</xdr:row>
      <xdr:rowOff>147525</xdr:rowOff>
    </xdr:to>
    <xdr:grpSp>
      <xdr:nvGrpSpPr>
        <xdr:cNvPr id="10" name="Group 9">
          <a:extLst>
            <a:ext uri="{FF2B5EF4-FFF2-40B4-BE49-F238E27FC236}">
              <a16:creationId xmlns:a16="http://schemas.microsoft.com/office/drawing/2014/main" id="{00000000-0008-0000-0300-00000A000000}"/>
            </a:ext>
          </a:extLst>
        </xdr:cNvPr>
        <xdr:cNvGrpSpPr/>
      </xdr:nvGrpSpPr>
      <xdr:grpSpPr>
        <a:xfrm>
          <a:off x="23637622" y="1248423"/>
          <a:ext cx="1497152" cy="750762"/>
          <a:chOff x="10228749" y="698969"/>
          <a:chExt cx="1207601" cy="755165"/>
        </a:xfrm>
        <a:solidFill>
          <a:schemeClr val="accent3">
            <a:lumMod val="20000"/>
            <a:lumOff val="80000"/>
          </a:schemeClr>
        </a:solidFill>
      </xdr:grpSpPr>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10247998" y="958850"/>
            <a:ext cx="526187" cy="26035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t>$</a:t>
            </a:r>
          </a:p>
        </xdr:txBody>
      </xdr:sp>
      <xdr:sp macro="" textlink="">
        <xdr:nvSpPr>
          <xdr:cNvPr id="14" name="TextBox 13">
            <a:extLst>
              <a:ext uri="{FF2B5EF4-FFF2-40B4-BE49-F238E27FC236}">
                <a16:creationId xmlns:a16="http://schemas.microsoft.com/office/drawing/2014/main" id="{00000000-0008-0000-0300-00000E000000}"/>
              </a:ext>
            </a:extLst>
          </xdr:cNvPr>
          <xdr:cNvSpPr txBox="1"/>
        </xdr:nvSpPr>
        <xdr:spPr>
          <a:xfrm>
            <a:off x="10248003" y="698969"/>
            <a:ext cx="515249" cy="297982"/>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t>$</a:t>
            </a:r>
          </a:p>
        </xdr:txBody>
      </xdr:sp>
      <xdr:sp macro="" textlink="">
        <xdr:nvSpPr>
          <xdr:cNvPr id="15" name="TextBox 14">
            <a:extLst>
              <a:ext uri="{FF2B5EF4-FFF2-40B4-BE49-F238E27FC236}">
                <a16:creationId xmlns:a16="http://schemas.microsoft.com/office/drawing/2014/main" id="{00000000-0008-0000-0300-00000F000000}"/>
              </a:ext>
            </a:extLst>
          </xdr:cNvPr>
          <xdr:cNvSpPr txBox="1"/>
        </xdr:nvSpPr>
        <xdr:spPr>
          <a:xfrm>
            <a:off x="10228749" y="1193783"/>
            <a:ext cx="596772" cy="26035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t>year</a:t>
            </a:r>
          </a:p>
        </xdr:txBody>
      </xdr:sp>
      <xdr:cxnSp macro="">
        <xdr:nvCxnSpPr>
          <xdr:cNvPr id="8" name="Straight Connector 7">
            <a:extLst>
              <a:ext uri="{FF2B5EF4-FFF2-40B4-BE49-F238E27FC236}">
                <a16:creationId xmlns:a16="http://schemas.microsoft.com/office/drawing/2014/main" id="{00000000-0008-0000-0300-000008000000}"/>
              </a:ext>
            </a:extLst>
          </xdr:cNvPr>
          <xdr:cNvCxnSpPr/>
        </xdr:nvCxnSpPr>
        <xdr:spPr>
          <a:xfrm>
            <a:off x="10350500" y="1200150"/>
            <a:ext cx="292100" cy="0"/>
          </a:xfrm>
          <a:prstGeom prst="line">
            <a:avLst/>
          </a:prstGeom>
          <a:grpFill/>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18" name="Straight Connector 17">
            <a:extLst>
              <a:ext uri="{FF2B5EF4-FFF2-40B4-BE49-F238E27FC236}">
                <a16:creationId xmlns:a16="http://schemas.microsoft.com/office/drawing/2014/main" id="{00000000-0008-0000-0300-000012000000}"/>
              </a:ext>
            </a:extLst>
          </xdr:cNvPr>
          <xdr:cNvCxnSpPr/>
        </xdr:nvCxnSpPr>
        <xdr:spPr>
          <a:xfrm flipV="1">
            <a:off x="10254415" y="984238"/>
            <a:ext cx="534436" cy="297"/>
          </a:xfrm>
          <a:prstGeom prst="line">
            <a:avLst/>
          </a:prstGeom>
          <a:grpFill/>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sp macro="" textlink="">
        <xdr:nvSpPr>
          <xdr:cNvPr id="20" name="TextBox 19">
            <a:extLst>
              <a:ext uri="{FF2B5EF4-FFF2-40B4-BE49-F238E27FC236}">
                <a16:creationId xmlns:a16="http://schemas.microsoft.com/office/drawing/2014/main" id="{00000000-0008-0000-0300-000014000000}"/>
              </a:ext>
            </a:extLst>
          </xdr:cNvPr>
          <xdr:cNvSpPr txBox="1"/>
        </xdr:nvSpPr>
        <xdr:spPr>
          <a:xfrm>
            <a:off x="10712450" y="698969"/>
            <a:ext cx="723900" cy="755165"/>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a:p>
            <a:r>
              <a:rPr lang="en-US" sz="1100"/>
              <a:t>= years</a:t>
            </a:r>
          </a:p>
        </xdr:txBody>
      </xdr:sp>
    </xdr:grpSp>
    <xdr:clientData/>
  </xdr:twoCellAnchor>
  <mc:AlternateContent xmlns:mc="http://schemas.openxmlformats.org/markup-compatibility/2006">
    <mc:Choice xmlns:a14="http://schemas.microsoft.com/office/drawing/2010/main" Requires="a14">
      <xdr:twoCellAnchor editAs="oneCell">
        <xdr:from>
          <xdr:col>11</xdr:col>
          <xdr:colOff>60960</xdr:colOff>
          <xdr:row>59</xdr:row>
          <xdr:rowOff>373380</xdr:rowOff>
        </xdr:from>
        <xdr:to>
          <xdr:col>12</xdr:col>
          <xdr:colOff>91440</xdr:colOff>
          <xdr:row>59</xdr:row>
          <xdr:rowOff>571500</xdr:rowOff>
        </xdr:to>
        <xdr:sp macro="" textlink="">
          <xdr:nvSpPr>
            <xdr:cNvPr id="21517" name="Option Button 13" hidden="1">
              <a:extLst>
                <a:ext uri="{63B3BB69-23CF-44E3-9099-C40C66FF867C}">
                  <a14:compatExt spid="_x0000_s21517"/>
                </a:ext>
                <a:ext uri="{FF2B5EF4-FFF2-40B4-BE49-F238E27FC236}">
                  <a16:creationId xmlns:a16="http://schemas.microsoft.com/office/drawing/2014/main" id="{00000000-0008-0000-0300-00000D540000}"/>
                </a:ext>
              </a:extLst>
            </xdr:cNvPr>
            <xdr:cNvSpPr/>
          </xdr:nvSpPr>
          <xdr:spPr bwMode="auto">
            <a:xfrm>
              <a:off x="0" y="0"/>
              <a:ext cx="0" cy="0"/>
            </a:xfrm>
            <a:prstGeom prst="rect">
              <a:avLst/>
            </a:prstGeom>
            <a:solidFill>
              <a:srgbClr val="9DBB6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 France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60960</xdr:colOff>
          <xdr:row>59</xdr:row>
          <xdr:rowOff>556260</xdr:rowOff>
        </xdr:from>
        <xdr:to>
          <xdr:col>12</xdr:col>
          <xdr:colOff>91440</xdr:colOff>
          <xdr:row>60</xdr:row>
          <xdr:rowOff>7620</xdr:rowOff>
        </xdr:to>
        <xdr:sp macro="" textlink="">
          <xdr:nvSpPr>
            <xdr:cNvPr id="21518" name="Option Button 14" hidden="1">
              <a:extLst>
                <a:ext uri="{63B3BB69-23CF-44E3-9099-C40C66FF867C}">
                  <a14:compatExt spid="_x0000_s21518"/>
                </a:ext>
                <a:ext uri="{FF2B5EF4-FFF2-40B4-BE49-F238E27FC236}">
                  <a16:creationId xmlns:a16="http://schemas.microsoft.com/office/drawing/2014/main" id="{00000000-0008-0000-0300-00000E540000}"/>
                </a:ext>
              </a:extLst>
            </xdr:cNvPr>
            <xdr:cNvSpPr/>
          </xdr:nvSpPr>
          <xdr:spPr bwMode="auto">
            <a:xfrm>
              <a:off x="0" y="0"/>
              <a:ext cx="0" cy="0"/>
            </a:xfrm>
            <a:prstGeom prst="rect">
              <a:avLst/>
            </a:prstGeom>
            <a:solidFill>
              <a:srgbClr val="9DBB6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 UK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59</xdr:row>
          <xdr:rowOff>53340</xdr:rowOff>
        </xdr:from>
        <xdr:to>
          <xdr:col>14</xdr:col>
          <xdr:colOff>38100</xdr:colOff>
          <xdr:row>60</xdr:row>
          <xdr:rowOff>0</xdr:rowOff>
        </xdr:to>
        <xdr:sp macro="" textlink="">
          <xdr:nvSpPr>
            <xdr:cNvPr id="21520" name="Group Box 16" hidden="1">
              <a:extLst>
                <a:ext uri="{63B3BB69-23CF-44E3-9099-C40C66FF867C}">
                  <a14:compatExt spid="_x0000_s21520"/>
                </a:ext>
                <a:ext uri="{FF2B5EF4-FFF2-40B4-BE49-F238E27FC236}">
                  <a16:creationId xmlns:a16="http://schemas.microsoft.com/office/drawing/2014/main" id="{00000000-0008-0000-0300-0000105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Percentile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59</xdr:row>
          <xdr:rowOff>190500</xdr:rowOff>
        </xdr:from>
        <xdr:to>
          <xdr:col>14</xdr:col>
          <xdr:colOff>38100</xdr:colOff>
          <xdr:row>59</xdr:row>
          <xdr:rowOff>388620</xdr:rowOff>
        </xdr:to>
        <xdr:sp macro="" textlink="">
          <xdr:nvSpPr>
            <xdr:cNvPr id="21521" name="Option Button 17" hidden="1">
              <a:extLst>
                <a:ext uri="{63B3BB69-23CF-44E3-9099-C40C66FF867C}">
                  <a14:compatExt spid="_x0000_s21521"/>
                </a:ext>
                <a:ext uri="{FF2B5EF4-FFF2-40B4-BE49-F238E27FC236}">
                  <a16:creationId xmlns:a16="http://schemas.microsoft.com/office/drawing/2014/main" id="{00000000-0008-0000-0300-000011540000}"/>
                </a:ext>
              </a:extLst>
            </xdr:cNvPr>
            <xdr:cNvSpPr/>
          </xdr:nvSpPr>
          <xdr:spPr bwMode="auto">
            <a:xfrm>
              <a:off x="0" y="0"/>
              <a:ext cx="0" cy="0"/>
            </a:xfrm>
            <a:prstGeom prst="rect">
              <a:avLst/>
            </a:prstGeom>
            <a:solidFill>
              <a:srgbClr val="9DBB6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 Top 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7620</xdr:colOff>
          <xdr:row>59</xdr:row>
          <xdr:rowOff>365760</xdr:rowOff>
        </xdr:from>
        <xdr:to>
          <xdr:col>14</xdr:col>
          <xdr:colOff>38100</xdr:colOff>
          <xdr:row>59</xdr:row>
          <xdr:rowOff>563880</xdr:rowOff>
        </xdr:to>
        <xdr:sp macro="" textlink="">
          <xdr:nvSpPr>
            <xdr:cNvPr id="21522" name="Option Button 18" hidden="1">
              <a:extLst>
                <a:ext uri="{63B3BB69-23CF-44E3-9099-C40C66FF867C}">
                  <a14:compatExt spid="_x0000_s21522"/>
                </a:ext>
                <a:ext uri="{FF2B5EF4-FFF2-40B4-BE49-F238E27FC236}">
                  <a16:creationId xmlns:a16="http://schemas.microsoft.com/office/drawing/2014/main" id="{00000000-0008-0000-0300-000012540000}"/>
                </a:ext>
              </a:extLst>
            </xdr:cNvPr>
            <xdr:cNvSpPr/>
          </xdr:nvSpPr>
          <xdr:spPr bwMode="auto">
            <a:xfrm>
              <a:off x="0" y="0"/>
              <a:ext cx="0" cy="0"/>
            </a:xfrm>
            <a:prstGeom prst="rect">
              <a:avLst/>
            </a:prstGeom>
            <a:solidFill>
              <a:srgbClr val="9DBB6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 Top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7620</xdr:colOff>
          <xdr:row>59</xdr:row>
          <xdr:rowOff>541020</xdr:rowOff>
        </xdr:from>
        <xdr:to>
          <xdr:col>14</xdr:col>
          <xdr:colOff>38100</xdr:colOff>
          <xdr:row>60</xdr:row>
          <xdr:rowOff>0</xdr:rowOff>
        </xdr:to>
        <xdr:sp macro="" textlink="">
          <xdr:nvSpPr>
            <xdr:cNvPr id="21523" name="Option Button 19" hidden="1">
              <a:extLst>
                <a:ext uri="{63B3BB69-23CF-44E3-9099-C40C66FF867C}">
                  <a14:compatExt spid="_x0000_s21523"/>
                </a:ext>
                <a:ext uri="{FF2B5EF4-FFF2-40B4-BE49-F238E27FC236}">
                  <a16:creationId xmlns:a16="http://schemas.microsoft.com/office/drawing/2014/main" id="{00000000-0008-0000-0300-000013540000}"/>
                </a:ext>
              </a:extLst>
            </xdr:cNvPr>
            <xdr:cNvSpPr/>
          </xdr:nvSpPr>
          <xdr:spPr bwMode="auto">
            <a:xfrm>
              <a:off x="0" y="0"/>
              <a:ext cx="0" cy="0"/>
            </a:xfrm>
            <a:prstGeom prst="rect">
              <a:avLst/>
            </a:prstGeom>
            <a:solidFill>
              <a:srgbClr val="9DBB6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 Top 0.1% </a:t>
              </a:r>
            </a:p>
          </xdr:txBody>
        </xdr:sp>
        <xdr:clientData/>
      </xdr:twoCellAnchor>
    </mc:Choice>
    <mc:Fallback/>
  </mc:AlternateContent>
  <xdr:twoCellAnchor>
    <xdr:from>
      <xdr:col>2</xdr:col>
      <xdr:colOff>0</xdr:colOff>
      <xdr:row>74</xdr:row>
      <xdr:rowOff>0</xdr:rowOff>
    </xdr:from>
    <xdr:to>
      <xdr:col>11</xdr:col>
      <xdr:colOff>0</xdr:colOff>
      <xdr:row>88</xdr:row>
      <xdr:rowOff>6415</xdr:rowOff>
    </xdr:to>
    <xdr:graphicFrame macro="">
      <xdr:nvGraphicFramePr>
        <xdr:cNvPr id="30" name="Chart 29">
          <a:extLst>
            <a:ext uri="{FF2B5EF4-FFF2-40B4-BE49-F238E27FC236}">
              <a16:creationId xmlns:a16="http://schemas.microsoft.com/office/drawing/2014/main" id="{00000000-0008-0000-03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0</xdr:colOff>
          <xdr:row>106</xdr:row>
          <xdr:rowOff>45720</xdr:rowOff>
        </xdr:from>
        <xdr:to>
          <xdr:col>11</xdr:col>
          <xdr:colOff>38100</xdr:colOff>
          <xdr:row>110</xdr:row>
          <xdr:rowOff>0</xdr:rowOff>
        </xdr:to>
        <xdr:sp macro="" textlink="">
          <xdr:nvSpPr>
            <xdr:cNvPr id="21528" name="Group Box 24" hidden="1">
              <a:extLst>
                <a:ext uri="{63B3BB69-23CF-44E3-9099-C40C66FF867C}">
                  <a14:compatExt spid="_x0000_s21528"/>
                </a:ext>
                <a:ext uri="{FF2B5EF4-FFF2-40B4-BE49-F238E27FC236}">
                  <a16:creationId xmlns:a16="http://schemas.microsoft.com/office/drawing/2014/main" id="{00000000-0008-0000-0300-0000185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Country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107</xdr:row>
          <xdr:rowOff>0</xdr:rowOff>
        </xdr:from>
        <xdr:to>
          <xdr:col>11</xdr:col>
          <xdr:colOff>38100</xdr:colOff>
          <xdr:row>108</xdr:row>
          <xdr:rowOff>15240</xdr:rowOff>
        </xdr:to>
        <xdr:sp macro="" textlink="">
          <xdr:nvSpPr>
            <xdr:cNvPr id="21529" name="Option Button 25" hidden="1">
              <a:extLst>
                <a:ext uri="{63B3BB69-23CF-44E3-9099-C40C66FF867C}">
                  <a14:compatExt spid="_x0000_s21529"/>
                </a:ext>
                <a:ext uri="{FF2B5EF4-FFF2-40B4-BE49-F238E27FC236}">
                  <a16:creationId xmlns:a16="http://schemas.microsoft.com/office/drawing/2014/main" id="{00000000-0008-0000-0300-000019540000}"/>
                </a:ext>
              </a:extLst>
            </xdr:cNvPr>
            <xdr:cNvSpPr/>
          </xdr:nvSpPr>
          <xdr:spPr bwMode="auto">
            <a:xfrm>
              <a:off x="0" y="0"/>
              <a:ext cx="0" cy="0"/>
            </a:xfrm>
            <a:prstGeom prst="rect">
              <a:avLst/>
            </a:prstGeom>
            <a:solidFill>
              <a:srgbClr val="9DBB6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 USA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107</xdr:row>
          <xdr:rowOff>175260</xdr:rowOff>
        </xdr:from>
        <xdr:to>
          <xdr:col>11</xdr:col>
          <xdr:colOff>38100</xdr:colOff>
          <xdr:row>109</xdr:row>
          <xdr:rowOff>0</xdr:rowOff>
        </xdr:to>
        <xdr:sp macro="" textlink="">
          <xdr:nvSpPr>
            <xdr:cNvPr id="21530" name="Option Button 26" hidden="1">
              <a:extLst>
                <a:ext uri="{63B3BB69-23CF-44E3-9099-C40C66FF867C}">
                  <a14:compatExt spid="_x0000_s21530"/>
                </a:ext>
                <a:ext uri="{FF2B5EF4-FFF2-40B4-BE49-F238E27FC236}">
                  <a16:creationId xmlns:a16="http://schemas.microsoft.com/office/drawing/2014/main" id="{00000000-0008-0000-0300-00001A540000}"/>
                </a:ext>
              </a:extLst>
            </xdr:cNvPr>
            <xdr:cNvSpPr/>
          </xdr:nvSpPr>
          <xdr:spPr bwMode="auto">
            <a:xfrm>
              <a:off x="0" y="0"/>
              <a:ext cx="0" cy="0"/>
            </a:xfrm>
            <a:prstGeom prst="rect">
              <a:avLst/>
            </a:prstGeom>
            <a:solidFill>
              <a:srgbClr val="9DBB6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 France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108</xdr:row>
          <xdr:rowOff>167640</xdr:rowOff>
        </xdr:from>
        <xdr:to>
          <xdr:col>11</xdr:col>
          <xdr:colOff>38100</xdr:colOff>
          <xdr:row>109</xdr:row>
          <xdr:rowOff>175260</xdr:rowOff>
        </xdr:to>
        <xdr:sp macro="" textlink="">
          <xdr:nvSpPr>
            <xdr:cNvPr id="21531" name="Option Button 27" hidden="1">
              <a:extLst>
                <a:ext uri="{63B3BB69-23CF-44E3-9099-C40C66FF867C}">
                  <a14:compatExt spid="_x0000_s21531"/>
                </a:ext>
                <a:ext uri="{FF2B5EF4-FFF2-40B4-BE49-F238E27FC236}">
                  <a16:creationId xmlns:a16="http://schemas.microsoft.com/office/drawing/2014/main" id="{00000000-0008-0000-0300-00001B540000}"/>
                </a:ext>
              </a:extLst>
            </xdr:cNvPr>
            <xdr:cNvSpPr/>
          </xdr:nvSpPr>
          <xdr:spPr bwMode="auto">
            <a:xfrm>
              <a:off x="0" y="0"/>
              <a:ext cx="0" cy="0"/>
            </a:xfrm>
            <a:prstGeom prst="rect">
              <a:avLst/>
            </a:prstGeom>
            <a:solidFill>
              <a:srgbClr val="9DBB6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 UK</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134</xdr:row>
          <xdr:rowOff>60960</xdr:rowOff>
        </xdr:from>
        <xdr:to>
          <xdr:col>4</xdr:col>
          <xdr:colOff>0</xdr:colOff>
          <xdr:row>135</xdr:row>
          <xdr:rowOff>152400</xdr:rowOff>
        </xdr:to>
        <xdr:sp macro="" textlink="">
          <xdr:nvSpPr>
            <xdr:cNvPr id="21532" name="Button 28" hidden="1">
              <a:extLst>
                <a:ext uri="{63B3BB69-23CF-44E3-9099-C40C66FF867C}">
                  <a14:compatExt spid="_x0000_s21532"/>
                </a:ext>
                <a:ext uri="{FF2B5EF4-FFF2-40B4-BE49-F238E27FC236}">
                  <a16:creationId xmlns:a16="http://schemas.microsoft.com/office/drawing/2014/main" id="{00000000-0008-0000-0300-00001C5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Patrimonial Kism</a:t>
              </a:r>
            </a:p>
          </xdr:txBody>
        </xdr:sp>
        <xdr:clientData fPrintsWithSheet="0"/>
      </xdr:twoCellAnchor>
    </mc:Choice>
    <mc:Fallback/>
  </mc:AlternateContent>
  <xdr:twoCellAnchor>
    <xdr:from>
      <xdr:col>12</xdr:col>
      <xdr:colOff>70555</xdr:colOff>
      <xdr:row>53</xdr:row>
      <xdr:rowOff>178110</xdr:rowOff>
    </xdr:from>
    <xdr:to>
      <xdr:col>18</xdr:col>
      <xdr:colOff>981364</xdr:colOff>
      <xdr:row>57</xdr:row>
      <xdr:rowOff>23232</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7651835" y="10160000"/>
          <a:ext cx="4751785" cy="588537"/>
        </a:xfrm>
        <a:prstGeom prst="rect">
          <a:avLst/>
        </a:prstGeom>
        <a:solidFill>
          <a:schemeClr val="accent3">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a:t>Egalitarian means that all people are equal so an egalitarian distribution would mean the Top 10% get 10% of the income. No</a:t>
          </a:r>
          <a:r>
            <a:rPr lang="en-US" sz="1100" baseline="0"/>
            <a:t> country has ever acheived this.</a:t>
          </a:r>
          <a:endParaRPr lang="en-US" sz="1100"/>
        </a:p>
      </xdr:txBody>
    </xdr:sp>
    <xdr:clientData/>
  </xdr:twoCellAnchor>
  <xdr:twoCellAnchor editAs="oneCell">
    <xdr:from>
      <xdr:col>10</xdr:col>
      <xdr:colOff>569639</xdr:colOff>
      <xdr:row>12</xdr:row>
      <xdr:rowOff>173118</xdr:rowOff>
    </xdr:from>
    <xdr:to>
      <xdr:col>14</xdr:col>
      <xdr:colOff>192892</xdr:colOff>
      <xdr:row>18</xdr:row>
      <xdr:rowOff>35422</xdr:rowOff>
    </xdr:to>
    <xdr:pic>
      <xdr:nvPicPr>
        <xdr:cNvPr id="9" name="Picture 8">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5"/>
        <a:stretch>
          <a:fillRect/>
        </a:stretch>
      </xdr:blipFill>
      <xdr:spPr>
        <a:xfrm>
          <a:off x="6906939" y="2401968"/>
          <a:ext cx="2061653" cy="1030704"/>
        </a:xfrm>
        <a:prstGeom prst="rect">
          <a:avLst/>
        </a:prstGeom>
      </xdr:spPr>
    </xdr:pic>
    <xdr:clientData/>
  </xdr:twoCellAnchor>
  <xdr:twoCellAnchor editAs="oneCell">
    <xdr:from>
      <xdr:col>14</xdr:col>
      <xdr:colOff>433597</xdr:colOff>
      <xdr:row>4</xdr:row>
      <xdr:rowOff>165612</xdr:rowOff>
    </xdr:from>
    <xdr:to>
      <xdr:col>16</xdr:col>
      <xdr:colOff>421766</xdr:colOff>
      <xdr:row>9</xdr:row>
      <xdr:rowOff>441</xdr:rowOff>
    </xdr:to>
    <xdr:pic>
      <xdr:nvPicPr>
        <xdr:cNvPr id="13" name="Picture 12">
          <a:extLst>
            <a:ext uri="{FF2B5EF4-FFF2-40B4-BE49-F238E27FC236}">
              <a16:creationId xmlns:a16="http://schemas.microsoft.com/office/drawing/2014/main" id="{00000000-0008-0000-0300-00000D000000}"/>
            </a:ext>
          </a:extLst>
        </xdr:cNvPr>
        <xdr:cNvPicPr>
          <a:picLocks noChangeAspect="1"/>
        </xdr:cNvPicPr>
      </xdr:nvPicPr>
      <xdr:blipFill>
        <a:blip xmlns:r="http://schemas.openxmlformats.org/officeDocument/2006/relationships" r:embed="rId6"/>
        <a:stretch>
          <a:fillRect/>
        </a:stretch>
      </xdr:blipFill>
      <xdr:spPr>
        <a:xfrm>
          <a:off x="9209297" y="914912"/>
          <a:ext cx="1207369" cy="76065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60960</xdr:colOff>
          <xdr:row>18</xdr:row>
          <xdr:rowOff>160020</xdr:rowOff>
        </xdr:from>
        <xdr:to>
          <xdr:col>3</xdr:col>
          <xdr:colOff>99060</xdr:colOff>
          <xdr:row>19</xdr:row>
          <xdr:rowOff>175260</xdr:rowOff>
        </xdr:to>
        <xdr:sp macro="" textlink="">
          <xdr:nvSpPr>
            <xdr:cNvPr id="21537" name="Option Button 33" hidden="1">
              <a:extLst>
                <a:ext uri="{63B3BB69-23CF-44E3-9099-C40C66FF867C}">
                  <a14:compatExt spid="_x0000_s21537"/>
                </a:ext>
                <a:ext uri="{FF2B5EF4-FFF2-40B4-BE49-F238E27FC236}">
                  <a16:creationId xmlns:a16="http://schemas.microsoft.com/office/drawing/2014/main" id="{00000000-0008-0000-0300-000021540000}"/>
                </a:ext>
              </a:extLst>
            </xdr:cNvPr>
            <xdr:cNvSpPr/>
          </xdr:nvSpPr>
          <xdr:spPr bwMode="auto">
            <a:xfrm>
              <a:off x="0" y="0"/>
              <a:ext cx="0" cy="0"/>
            </a:xfrm>
            <a:prstGeom prst="rect">
              <a:avLst/>
            </a:prstGeom>
            <a:solidFill>
              <a:srgbClr val="9DBB6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 Europe</a:t>
              </a:r>
            </a:p>
          </xdr:txBody>
        </xdr:sp>
        <xdr:clientData/>
      </xdr:twoCellAnchor>
    </mc:Choice>
    <mc:Fallback/>
  </mc:AlternateContent>
  <xdr:twoCellAnchor>
    <xdr:from>
      <xdr:col>11</xdr:col>
      <xdr:colOff>304800</xdr:colOff>
      <xdr:row>151</xdr:row>
      <xdr:rowOff>6350</xdr:rowOff>
    </xdr:from>
    <xdr:to>
      <xdr:col>18</xdr:col>
      <xdr:colOff>606009</xdr:colOff>
      <xdr:row>154</xdr:row>
      <xdr:rowOff>29272</xdr:rowOff>
    </xdr:to>
    <xdr:sp macro="" textlink="">
      <xdr:nvSpPr>
        <xdr:cNvPr id="41" name="TextBox 40">
          <a:extLst>
            <a:ext uri="{FF2B5EF4-FFF2-40B4-BE49-F238E27FC236}">
              <a16:creationId xmlns:a16="http://schemas.microsoft.com/office/drawing/2014/main" id="{00000000-0008-0000-0300-000029000000}"/>
            </a:ext>
          </a:extLst>
        </xdr:cNvPr>
        <xdr:cNvSpPr txBox="1"/>
      </xdr:nvSpPr>
      <xdr:spPr>
        <a:xfrm>
          <a:off x="7251700" y="28536900"/>
          <a:ext cx="4739859" cy="581722"/>
        </a:xfrm>
        <a:prstGeom prst="rect">
          <a:avLst/>
        </a:prstGeom>
        <a:solidFill>
          <a:schemeClr val="accent3">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a:t>The Gini coefficient uses the entire income</a:t>
          </a:r>
          <a:r>
            <a:rPr lang="en-US" sz="1100" baseline="0"/>
            <a:t> distribution to create a single number to measure inequality from 0 (no inequality) to 1 (max inequality). </a:t>
          </a:r>
          <a:endParaRPr lang="en-US"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xdr:colOff>
          <xdr:row>38</xdr:row>
          <xdr:rowOff>0</xdr:rowOff>
        </xdr:from>
        <xdr:to>
          <xdr:col>2</xdr:col>
          <xdr:colOff>541020</xdr:colOff>
          <xdr:row>38</xdr:row>
          <xdr:rowOff>190500</xdr:rowOff>
        </xdr:to>
        <xdr:sp macro="" textlink="">
          <xdr:nvSpPr>
            <xdr:cNvPr id="26625" name="Object 1" hidden="1">
              <a:extLst>
                <a:ext uri="{63B3BB69-23CF-44E3-9099-C40C66FF867C}">
                  <a14:compatExt spid="_x0000_s26625"/>
                </a:ext>
                <a:ext uri="{FF2B5EF4-FFF2-40B4-BE49-F238E27FC236}">
                  <a16:creationId xmlns:a16="http://schemas.microsoft.com/office/drawing/2014/main" id="{00000000-0008-0000-0400-000001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49</xdr:row>
          <xdr:rowOff>99060</xdr:rowOff>
        </xdr:from>
        <xdr:to>
          <xdr:col>2</xdr:col>
          <xdr:colOff>160020</xdr:colOff>
          <xdr:row>50</xdr:row>
          <xdr:rowOff>137160</xdr:rowOff>
        </xdr:to>
        <xdr:sp macro="" textlink="">
          <xdr:nvSpPr>
            <xdr:cNvPr id="26626" name="Object 2" hidden="1">
              <a:extLst>
                <a:ext uri="{63B3BB69-23CF-44E3-9099-C40C66FF867C}">
                  <a14:compatExt spid="_x0000_s26626"/>
                </a:ext>
                <a:ext uri="{FF2B5EF4-FFF2-40B4-BE49-F238E27FC236}">
                  <a16:creationId xmlns:a16="http://schemas.microsoft.com/office/drawing/2014/main" id="{00000000-0008-0000-0400-0000026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609600</xdr:colOff>
          <xdr:row>52</xdr:row>
          <xdr:rowOff>60960</xdr:rowOff>
        </xdr:from>
        <xdr:to>
          <xdr:col>2</xdr:col>
          <xdr:colOff>541020</xdr:colOff>
          <xdr:row>54</xdr:row>
          <xdr:rowOff>152400</xdr:rowOff>
        </xdr:to>
        <xdr:sp macro="" textlink="">
          <xdr:nvSpPr>
            <xdr:cNvPr id="26627" name="Object 3" hidden="1">
              <a:extLst>
                <a:ext uri="{63B3BB69-23CF-44E3-9099-C40C66FF867C}">
                  <a14:compatExt spid="_x0000_s26627"/>
                </a:ext>
                <a:ext uri="{FF2B5EF4-FFF2-40B4-BE49-F238E27FC236}">
                  <a16:creationId xmlns:a16="http://schemas.microsoft.com/office/drawing/2014/main" id="{00000000-0008-0000-0400-0000036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579120</xdr:colOff>
          <xdr:row>60</xdr:row>
          <xdr:rowOff>76200</xdr:rowOff>
        </xdr:from>
        <xdr:to>
          <xdr:col>4</xdr:col>
          <xdr:colOff>0</xdr:colOff>
          <xdr:row>62</xdr:row>
          <xdr:rowOff>137160</xdr:rowOff>
        </xdr:to>
        <xdr:sp macro="" textlink="">
          <xdr:nvSpPr>
            <xdr:cNvPr id="26628" name="Object 4" hidden="1">
              <a:extLst>
                <a:ext uri="{63B3BB69-23CF-44E3-9099-C40C66FF867C}">
                  <a14:compatExt spid="_x0000_s26628"/>
                </a:ext>
                <a:ext uri="{FF2B5EF4-FFF2-40B4-BE49-F238E27FC236}">
                  <a16:creationId xmlns:a16="http://schemas.microsoft.com/office/drawing/2014/main" id="{00000000-0008-0000-0400-0000046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609600</xdr:colOff>
          <xdr:row>64</xdr:row>
          <xdr:rowOff>60960</xdr:rowOff>
        </xdr:from>
        <xdr:to>
          <xdr:col>3</xdr:col>
          <xdr:colOff>716280</xdr:colOff>
          <xdr:row>66</xdr:row>
          <xdr:rowOff>121920</xdr:rowOff>
        </xdr:to>
        <xdr:sp macro="" textlink="">
          <xdr:nvSpPr>
            <xdr:cNvPr id="26629" name="Object 5" hidden="1">
              <a:extLst>
                <a:ext uri="{63B3BB69-23CF-44E3-9099-C40C66FF867C}">
                  <a14:compatExt spid="_x0000_s26629"/>
                </a:ext>
                <a:ext uri="{FF2B5EF4-FFF2-40B4-BE49-F238E27FC236}">
                  <a16:creationId xmlns:a16="http://schemas.microsoft.com/office/drawing/2014/main" id="{00000000-0008-0000-0400-0000056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624840</xdr:colOff>
          <xdr:row>70</xdr:row>
          <xdr:rowOff>76200</xdr:rowOff>
        </xdr:from>
        <xdr:to>
          <xdr:col>3</xdr:col>
          <xdr:colOff>624840</xdr:colOff>
          <xdr:row>72</xdr:row>
          <xdr:rowOff>137160</xdr:rowOff>
        </xdr:to>
        <xdr:sp macro="" textlink="">
          <xdr:nvSpPr>
            <xdr:cNvPr id="26630" name="Object 6" hidden="1">
              <a:extLst>
                <a:ext uri="{63B3BB69-23CF-44E3-9099-C40C66FF867C}">
                  <a14:compatExt spid="_x0000_s26630"/>
                </a:ext>
                <a:ext uri="{FF2B5EF4-FFF2-40B4-BE49-F238E27FC236}">
                  <a16:creationId xmlns:a16="http://schemas.microsoft.com/office/drawing/2014/main" id="{00000000-0008-0000-0400-0000066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594360</xdr:colOff>
          <xdr:row>74</xdr:row>
          <xdr:rowOff>60960</xdr:rowOff>
        </xdr:from>
        <xdr:to>
          <xdr:col>3</xdr:col>
          <xdr:colOff>1127760</xdr:colOff>
          <xdr:row>76</xdr:row>
          <xdr:rowOff>137160</xdr:rowOff>
        </xdr:to>
        <xdr:sp macro="" textlink="">
          <xdr:nvSpPr>
            <xdr:cNvPr id="26631" name="Object 7" hidden="1">
              <a:extLst>
                <a:ext uri="{63B3BB69-23CF-44E3-9099-C40C66FF867C}">
                  <a14:compatExt spid="_x0000_s26631"/>
                </a:ext>
                <a:ext uri="{FF2B5EF4-FFF2-40B4-BE49-F238E27FC236}">
                  <a16:creationId xmlns:a16="http://schemas.microsoft.com/office/drawing/2014/main" id="{00000000-0008-0000-0400-000007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78</xdr:row>
          <xdr:rowOff>99060</xdr:rowOff>
        </xdr:from>
        <xdr:to>
          <xdr:col>3</xdr:col>
          <xdr:colOff>83820</xdr:colOff>
          <xdr:row>81</xdr:row>
          <xdr:rowOff>0</xdr:rowOff>
        </xdr:to>
        <xdr:sp macro="" textlink="">
          <xdr:nvSpPr>
            <xdr:cNvPr id="26632" name="Object 8" hidden="1">
              <a:extLst>
                <a:ext uri="{63B3BB69-23CF-44E3-9099-C40C66FF867C}">
                  <a14:compatExt spid="_x0000_s26632"/>
                </a:ext>
                <a:ext uri="{FF2B5EF4-FFF2-40B4-BE49-F238E27FC236}">
                  <a16:creationId xmlns:a16="http://schemas.microsoft.com/office/drawing/2014/main" id="{00000000-0008-0000-0400-000008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82</xdr:row>
          <xdr:rowOff>152400</xdr:rowOff>
        </xdr:from>
        <xdr:to>
          <xdr:col>5</xdr:col>
          <xdr:colOff>281940</xdr:colOff>
          <xdr:row>85</xdr:row>
          <xdr:rowOff>45720</xdr:rowOff>
        </xdr:to>
        <xdr:sp macro="" textlink="">
          <xdr:nvSpPr>
            <xdr:cNvPr id="26633" name="Object 9" hidden="1">
              <a:extLst>
                <a:ext uri="{63B3BB69-23CF-44E3-9099-C40C66FF867C}">
                  <a14:compatExt spid="_x0000_s26633"/>
                </a:ext>
                <a:ext uri="{FF2B5EF4-FFF2-40B4-BE49-F238E27FC236}">
                  <a16:creationId xmlns:a16="http://schemas.microsoft.com/office/drawing/2014/main" id="{00000000-0008-0000-0400-000009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xdr:colOff>
          <xdr:row>87</xdr:row>
          <xdr:rowOff>76200</xdr:rowOff>
        </xdr:from>
        <xdr:to>
          <xdr:col>5</xdr:col>
          <xdr:colOff>220980</xdr:colOff>
          <xdr:row>89</xdr:row>
          <xdr:rowOff>137160</xdr:rowOff>
        </xdr:to>
        <xdr:sp macro="" textlink="">
          <xdr:nvSpPr>
            <xdr:cNvPr id="26634" name="Object 10" hidden="1">
              <a:extLst>
                <a:ext uri="{63B3BB69-23CF-44E3-9099-C40C66FF867C}">
                  <a14:compatExt spid="_x0000_s26634"/>
                </a:ext>
                <a:ext uri="{FF2B5EF4-FFF2-40B4-BE49-F238E27FC236}">
                  <a16:creationId xmlns:a16="http://schemas.microsoft.com/office/drawing/2014/main" id="{00000000-0008-0000-0400-00000A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60960</xdr:colOff>
          <xdr:row>91</xdr:row>
          <xdr:rowOff>38100</xdr:rowOff>
        </xdr:from>
        <xdr:to>
          <xdr:col>4</xdr:col>
          <xdr:colOff>556260</xdr:colOff>
          <xdr:row>93</xdr:row>
          <xdr:rowOff>99060</xdr:rowOff>
        </xdr:to>
        <xdr:sp macro="" textlink="">
          <xdr:nvSpPr>
            <xdr:cNvPr id="26635" name="Object 11" hidden="1">
              <a:extLst>
                <a:ext uri="{63B3BB69-23CF-44E3-9099-C40C66FF867C}">
                  <a14:compatExt spid="_x0000_s26635"/>
                </a:ext>
                <a:ext uri="{FF2B5EF4-FFF2-40B4-BE49-F238E27FC236}">
                  <a16:creationId xmlns:a16="http://schemas.microsoft.com/office/drawing/2014/main" id="{00000000-0008-0000-0400-00000B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30480</xdr:colOff>
          <xdr:row>95</xdr:row>
          <xdr:rowOff>45720</xdr:rowOff>
        </xdr:from>
        <xdr:to>
          <xdr:col>3</xdr:col>
          <xdr:colOff>1165860</xdr:colOff>
          <xdr:row>97</xdr:row>
          <xdr:rowOff>160020</xdr:rowOff>
        </xdr:to>
        <xdr:sp macro="" textlink="">
          <xdr:nvSpPr>
            <xdr:cNvPr id="26636" name="Object 12" hidden="1">
              <a:extLst>
                <a:ext uri="{63B3BB69-23CF-44E3-9099-C40C66FF867C}">
                  <a14:compatExt spid="_x0000_s26636"/>
                </a:ext>
                <a:ext uri="{FF2B5EF4-FFF2-40B4-BE49-F238E27FC236}">
                  <a16:creationId xmlns:a16="http://schemas.microsoft.com/office/drawing/2014/main" id="{00000000-0008-0000-0400-00000C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30480</xdr:colOff>
          <xdr:row>99</xdr:row>
          <xdr:rowOff>38100</xdr:rowOff>
        </xdr:from>
        <xdr:to>
          <xdr:col>3</xdr:col>
          <xdr:colOff>876300</xdr:colOff>
          <xdr:row>101</xdr:row>
          <xdr:rowOff>137160</xdr:rowOff>
        </xdr:to>
        <xdr:sp macro="" textlink="">
          <xdr:nvSpPr>
            <xdr:cNvPr id="26637" name="Object 13" hidden="1">
              <a:extLst>
                <a:ext uri="{63B3BB69-23CF-44E3-9099-C40C66FF867C}">
                  <a14:compatExt spid="_x0000_s26637"/>
                </a:ext>
                <a:ext uri="{FF2B5EF4-FFF2-40B4-BE49-F238E27FC236}">
                  <a16:creationId xmlns:a16="http://schemas.microsoft.com/office/drawing/2014/main" id="{00000000-0008-0000-0400-00000D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68580</xdr:colOff>
          <xdr:row>103</xdr:row>
          <xdr:rowOff>83820</xdr:rowOff>
        </xdr:from>
        <xdr:to>
          <xdr:col>3</xdr:col>
          <xdr:colOff>152400</xdr:colOff>
          <xdr:row>105</xdr:row>
          <xdr:rowOff>137160</xdr:rowOff>
        </xdr:to>
        <xdr:sp macro="" textlink="">
          <xdr:nvSpPr>
            <xdr:cNvPr id="26638" name="Object 14" hidden="1">
              <a:extLst>
                <a:ext uri="{63B3BB69-23CF-44E3-9099-C40C66FF867C}">
                  <a14:compatExt spid="_x0000_s26638"/>
                </a:ext>
                <a:ext uri="{FF2B5EF4-FFF2-40B4-BE49-F238E27FC236}">
                  <a16:creationId xmlns:a16="http://schemas.microsoft.com/office/drawing/2014/main" id="{00000000-0008-0000-0400-00000E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640080</xdr:colOff>
          <xdr:row>144</xdr:row>
          <xdr:rowOff>175260</xdr:rowOff>
        </xdr:from>
        <xdr:to>
          <xdr:col>3</xdr:col>
          <xdr:colOff>365760</xdr:colOff>
          <xdr:row>146</xdr:row>
          <xdr:rowOff>83820</xdr:rowOff>
        </xdr:to>
        <xdr:sp macro="" textlink="">
          <xdr:nvSpPr>
            <xdr:cNvPr id="26639" name="Object 15" hidden="1">
              <a:extLst>
                <a:ext uri="{63B3BB69-23CF-44E3-9099-C40C66FF867C}">
                  <a14:compatExt spid="_x0000_s26639"/>
                </a:ext>
                <a:ext uri="{FF2B5EF4-FFF2-40B4-BE49-F238E27FC236}">
                  <a16:creationId xmlns:a16="http://schemas.microsoft.com/office/drawing/2014/main" id="{00000000-0008-0000-0400-00000F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586740</xdr:colOff>
          <xdr:row>123</xdr:row>
          <xdr:rowOff>60960</xdr:rowOff>
        </xdr:from>
        <xdr:to>
          <xdr:col>14</xdr:col>
          <xdr:colOff>213360</xdr:colOff>
          <xdr:row>138</xdr:row>
          <xdr:rowOff>22860</xdr:rowOff>
        </xdr:to>
        <xdr:sp macro="" textlink="">
          <xdr:nvSpPr>
            <xdr:cNvPr id="26640" name="Object 16" hidden="1">
              <a:extLst>
                <a:ext uri="{63B3BB69-23CF-44E3-9099-C40C66FF867C}">
                  <a14:compatExt spid="_x0000_s26640"/>
                </a:ext>
                <a:ext uri="{FF2B5EF4-FFF2-40B4-BE49-F238E27FC236}">
                  <a16:creationId xmlns:a16="http://schemas.microsoft.com/office/drawing/2014/main" id="{00000000-0008-0000-0400-000010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563880</xdr:colOff>
          <xdr:row>3</xdr:row>
          <xdr:rowOff>45720</xdr:rowOff>
        </xdr:from>
        <xdr:to>
          <xdr:col>0</xdr:col>
          <xdr:colOff>1082040</xdr:colOff>
          <xdr:row>4</xdr:row>
          <xdr:rowOff>137160</xdr:rowOff>
        </xdr:to>
        <xdr:sp macro="" textlink="">
          <xdr:nvSpPr>
            <xdr:cNvPr id="26641" name="Button 17" hidden="1">
              <a:extLst>
                <a:ext uri="{63B3BB69-23CF-44E3-9099-C40C66FF867C}">
                  <a14:compatExt spid="_x0000_s26641"/>
                </a:ext>
                <a:ext uri="{FF2B5EF4-FFF2-40B4-BE49-F238E27FC236}">
                  <a16:creationId xmlns:a16="http://schemas.microsoft.com/office/drawing/2014/main" id="{00000000-0008-0000-0400-0000116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Return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586740</xdr:colOff>
          <xdr:row>154</xdr:row>
          <xdr:rowOff>45720</xdr:rowOff>
        </xdr:from>
        <xdr:to>
          <xdr:col>0</xdr:col>
          <xdr:colOff>1097280</xdr:colOff>
          <xdr:row>156</xdr:row>
          <xdr:rowOff>22860</xdr:rowOff>
        </xdr:to>
        <xdr:sp macro="" textlink="">
          <xdr:nvSpPr>
            <xdr:cNvPr id="26642" name="Button 18" hidden="1">
              <a:extLst>
                <a:ext uri="{63B3BB69-23CF-44E3-9099-C40C66FF867C}">
                  <a14:compatExt spid="_x0000_s26642"/>
                </a:ext>
                <a:ext uri="{FF2B5EF4-FFF2-40B4-BE49-F238E27FC236}">
                  <a16:creationId xmlns:a16="http://schemas.microsoft.com/office/drawing/2014/main" id="{00000000-0008-0000-0400-0000126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Return</a:t>
              </a:r>
            </a:p>
          </xdr:txBody>
        </xdr:sp>
        <xdr:clientData fPrintsWithSheet="0"/>
      </xdr:twoCellAnchor>
    </mc:Choice>
    <mc:Fallback/>
  </mc:AlternateContent>
  <xdr:twoCellAnchor>
    <xdr:from>
      <xdr:col>2</xdr:col>
      <xdr:colOff>139700</xdr:colOff>
      <xdr:row>1</xdr:row>
      <xdr:rowOff>107950</xdr:rowOff>
    </xdr:from>
    <xdr:to>
      <xdr:col>2</xdr:col>
      <xdr:colOff>558800</xdr:colOff>
      <xdr:row>1</xdr:row>
      <xdr:rowOff>107950</xdr:rowOff>
    </xdr:to>
    <xdr:cxnSp macro="">
      <xdr:nvCxnSpPr>
        <xdr:cNvPr id="21" name="Straight Arrow Connector 20">
          <a:extLst>
            <a:ext uri="{FF2B5EF4-FFF2-40B4-BE49-F238E27FC236}">
              <a16:creationId xmlns:a16="http://schemas.microsoft.com/office/drawing/2014/main" id="{00000000-0008-0000-0400-000015000000}"/>
            </a:ext>
          </a:extLst>
        </xdr:cNvPr>
        <xdr:cNvCxnSpPr/>
      </xdr:nvCxnSpPr>
      <xdr:spPr>
        <a:xfrm>
          <a:off x="4514850" y="304800"/>
          <a:ext cx="419100" cy="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61</xdr:row>
          <xdr:rowOff>0</xdr:rowOff>
        </xdr:from>
        <xdr:to>
          <xdr:col>3</xdr:col>
          <xdr:colOff>518160</xdr:colOff>
          <xdr:row>64</xdr:row>
          <xdr:rowOff>83820</xdr:rowOff>
        </xdr:to>
        <xdr:sp macro="" textlink="">
          <xdr:nvSpPr>
            <xdr:cNvPr id="25601" name="SetupButton" hidden="1">
              <a:extLst>
                <a:ext uri="{63B3BB69-23CF-44E3-9099-C40C66FF867C}">
                  <a14:compatExt spid="_x0000_s25601"/>
                </a:ext>
                <a:ext uri="{FF2B5EF4-FFF2-40B4-BE49-F238E27FC236}">
                  <a16:creationId xmlns:a16="http://schemas.microsoft.com/office/drawing/2014/main" id="{00000000-0008-0000-0500-0000016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000000"/>
                  </a:solidFill>
                  <a:latin typeface="Charcoal"/>
                </a:rPr>
                <a:t>Setting Things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51</xdr:col>
          <xdr:colOff>0</xdr:colOff>
          <xdr:row>61</xdr:row>
          <xdr:rowOff>0</xdr:rowOff>
        </xdr:from>
        <xdr:to>
          <xdr:col>52</xdr:col>
          <xdr:colOff>518160</xdr:colOff>
          <xdr:row>64</xdr:row>
          <xdr:rowOff>83820</xdr:rowOff>
        </xdr:to>
        <xdr:sp macro="" textlink="">
          <xdr:nvSpPr>
            <xdr:cNvPr id="25602" name="Year1DistButton" hidden="1">
              <a:extLst>
                <a:ext uri="{63B3BB69-23CF-44E3-9099-C40C66FF867C}">
                  <a14:compatExt spid="_x0000_s25602"/>
                </a:ext>
                <a:ext uri="{FF2B5EF4-FFF2-40B4-BE49-F238E27FC236}">
                  <a16:creationId xmlns:a16="http://schemas.microsoft.com/office/drawing/2014/main" id="{00000000-0008-0000-0500-0000026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000000"/>
                  </a:solidFill>
                  <a:latin typeface="Charcoal"/>
                </a:rPr>
                <a:t>Year 1 Composition of Output?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61</xdr:row>
          <xdr:rowOff>0</xdr:rowOff>
        </xdr:from>
        <xdr:to>
          <xdr:col>53</xdr:col>
          <xdr:colOff>518160</xdr:colOff>
          <xdr:row>64</xdr:row>
          <xdr:rowOff>83820</xdr:rowOff>
        </xdr:to>
        <xdr:sp macro="" textlink="">
          <xdr:nvSpPr>
            <xdr:cNvPr id="25603" name="resetButton" hidden="1">
              <a:extLst>
                <a:ext uri="{63B3BB69-23CF-44E3-9099-C40C66FF867C}">
                  <a14:compatExt spid="_x0000_s25603"/>
                </a:ext>
                <a:ext uri="{FF2B5EF4-FFF2-40B4-BE49-F238E27FC236}">
                  <a16:creationId xmlns:a16="http://schemas.microsoft.com/office/drawing/2014/main" id="{00000000-0008-0000-0500-0000036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000000"/>
                  </a:solidFill>
                  <a:latin typeface="Charco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53</xdr:col>
          <xdr:colOff>0</xdr:colOff>
          <xdr:row>61</xdr:row>
          <xdr:rowOff>0</xdr:rowOff>
        </xdr:from>
        <xdr:to>
          <xdr:col>54</xdr:col>
          <xdr:colOff>518160</xdr:colOff>
          <xdr:row>64</xdr:row>
          <xdr:rowOff>83820</xdr:rowOff>
        </xdr:to>
        <xdr:sp macro="" textlink="">
          <xdr:nvSpPr>
            <xdr:cNvPr id="25604" name="Year2YButton" hidden="1">
              <a:extLst>
                <a:ext uri="{63B3BB69-23CF-44E3-9099-C40C66FF867C}">
                  <a14:compatExt spid="_x0000_s25604"/>
                </a:ext>
                <a:ext uri="{FF2B5EF4-FFF2-40B4-BE49-F238E27FC236}">
                  <a16:creationId xmlns:a16="http://schemas.microsoft.com/office/drawing/2014/main" id="{00000000-0008-0000-0500-0000046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000000"/>
                  </a:solidFill>
                  <a:latin typeface="Charcoal"/>
                </a:rPr>
                <a:t>Year 2 Output?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0</xdr:colOff>
          <xdr:row>61</xdr:row>
          <xdr:rowOff>0</xdr:rowOff>
        </xdr:from>
        <xdr:to>
          <xdr:col>55</xdr:col>
          <xdr:colOff>518160</xdr:colOff>
          <xdr:row>64</xdr:row>
          <xdr:rowOff>83820</xdr:rowOff>
        </xdr:to>
        <xdr:sp macro="" textlink="">
          <xdr:nvSpPr>
            <xdr:cNvPr id="25605" name="Year2DistButton" hidden="1">
              <a:extLst>
                <a:ext uri="{63B3BB69-23CF-44E3-9099-C40C66FF867C}">
                  <a14:compatExt spid="_x0000_s25605"/>
                </a:ext>
                <a:ext uri="{FF2B5EF4-FFF2-40B4-BE49-F238E27FC236}">
                  <a16:creationId xmlns:a16="http://schemas.microsoft.com/office/drawing/2014/main" id="{00000000-0008-0000-0500-0000056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000000"/>
                  </a:solidFill>
                  <a:latin typeface="Charcoal"/>
                </a:rPr>
                <a:t>Year 2 Composition of Output?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55</xdr:col>
          <xdr:colOff>0</xdr:colOff>
          <xdr:row>61</xdr:row>
          <xdr:rowOff>0</xdr:rowOff>
        </xdr:from>
        <xdr:to>
          <xdr:col>56</xdr:col>
          <xdr:colOff>518160</xdr:colOff>
          <xdr:row>64</xdr:row>
          <xdr:rowOff>83820</xdr:rowOff>
        </xdr:to>
        <xdr:sp macro="" textlink="">
          <xdr:nvSpPr>
            <xdr:cNvPr id="25606" name="Year3YButton" hidden="1">
              <a:extLst>
                <a:ext uri="{63B3BB69-23CF-44E3-9099-C40C66FF867C}">
                  <a14:compatExt spid="_x0000_s25606"/>
                </a:ext>
                <a:ext uri="{FF2B5EF4-FFF2-40B4-BE49-F238E27FC236}">
                  <a16:creationId xmlns:a16="http://schemas.microsoft.com/office/drawing/2014/main" id="{00000000-0008-0000-0500-0000066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000000"/>
                  </a:solidFill>
                  <a:latin typeface="Charcoal"/>
                </a:rPr>
                <a:t>Year 3 Output?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61</xdr:row>
          <xdr:rowOff>0</xdr:rowOff>
        </xdr:from>
        <xdr:to>
          <xdr:col>57</xdr:col>
          <xdr:colOff>518160</xdr:colOff>
          <xdr:row>64</xdr:row>
          <xdr:rowOff>83820</xdr:rowOff>
        </xdr:to>
        <xdr:sp macro="" textlink="">
          <xdr:nvSpPr>
            <xdr:cNvPr id="25607" name="Year3DistButton" hidden="1">
              <a:extLst>
                <a:ext uri="{63B3BB69-23CF-44E3-9099-C40C66FF867C}">
                  <a14:compatExt spid="_x0000_s25607"/>
                </a:ext>
                <a:ext uri="{FF2B5EF4-FFF2-40B4-BE49-F238E27FC236}">
                  <a16:creationId xmlns:a16="http://schemas.microsoft.com/office/drawing/2014/main" id="{00000000-0008-0000-0500-0000076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000000"/>
                  </a:solidFill>
                  <a:latin typeface="Charcoal"/>
                </a:rPr>
                <a:t>Year 3 Composition of Output?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61</xdr:row>
          <xdr:rowOff>0</xdr:rowOff>
        </xdr:from>
        <xdr:to>
          <xdr:col>58</xdr:col>
          <xdr:colOff>518160</xdr:colOff>
          <xdr:row>64</xdr:row>
          <xdr:rowOff>83820</xdr:rowOff>
        </xdr:to>
        <xdr:sp macro="" textlink="">
          <xdr:nvSpPr>
            <xdr:cNvPr id="25608" name="Year4YButton" hidden="1">
              <a:extLst>
                <a:ext uri="{63B3BB69-23CF-44E3-9099-C40C66FF867C}">
                  <a14:compatExt spid="_x0000_s25608"/>
                </a:ext>
                <a:ext uri="{FF2B5EF4-FFF2-40B4-BE49-F238E27FC236}">
                  <a16:creationId xmlns:a16="http://schemas.microsoft.com/office/drawing/2014/main" id="{00000000-0008-0000-0500-0000086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000000"/>
                  </a:solidFill>
                  <a:latin typeface="Charcoal"/>
                </a:rPr>
                <a:t>Year 4 Output?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58</xdr:col>
          <xdr:colOff>0</xdr:colOff>
          <xdr:row>61</xdr:row>
          <xdr:rowOff>0</xdr:rowOff>
        </xdr:from>
        <xdr:to>
          <xdr:col>59</xdr:col>
          <xdr:colOff>518160</xdr:colOff>
          <xdr:row>64</xdr:row>
          <xdr:rowOff>83820</xdr:rowOff>
        </xdr:to>
        <xdr:sp macro="" textlink="">
          <xdr:nvSpPr>
            <xdr:cNvPr id="25609" name="Year4DistButton" hidden="1">
              <a:extLst>
                <a:ext uri="{63B3BB69-23CF-44E3-9099-C40C66FF867C}">
                  <a14:compatExt spid="_x0000_s25609"/>
                </a:ext>
                <a:ext uri="{FF2B5EF4-FFF2-40B4-BE49-F238E27FC236}">
                  <a16:creationId xmlns:a16="http://schemas.microsoft.com/office/drawing/2014/main" id="{00000000-0008-0000-0500-0000096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000000"/>
                  </a:solidFill>
                  <a:latin typeface="Charcoal"/>
                </a:rPr>
                <a:t>Year 4 Composition of Output?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0</xdr:colOff>
          <xdr:row>61</xdr:row>
          <xdr:rowOff>0</xdr:rowOff>
        </xdr:from>
        <xdr:to>
          <xdr:col>60</xdr:col>
          <xdr:colOff>518160</xdr:colOff>
          <xdr:row>64</xdr:row>
          <xdr:rowOff>83820</xdr:rowOff>
        </xdr:to>
        <xdr:sp macro="" textlink="">
          <xdr:nvSpPr>
            <xdr:cNvPr id="25610" name="EndButton" hidden="1">
              <a:extLst>
                <a:ext uri="{63B3BB69-23CF-44E3-9099-C40C66FF867C}">
                  <a14:compatExt spid="_x0000_s25610"/>
                </a:ext>
                <a:ext uri="{FF2B5EF4-FFF2-40B4-BE49-F238E27FC236}">
                  <a16:creationId xmlns:a16="http://schemas.microsoft.com/office/drawing/2014/main" id="{00000000-0008-0000-0500-00000A6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000000"/>
                  </a:solidFill>
                  <a:latin typeface="Charcoal"/>
                </a:rPr>
                <a:t>The Lesson</a:t>
              </a:r>
            </a:p>
          </xdr:txBody>
        </xdr:sp>
        <xdr:clientData fPrintsWithSheet="0"/>
      </xdr:twoCellAnchor>
    </mc:Choice>
    <mc:Fallback/>
  </mc:AlternateContent>
  <xdr:twoCellAnchor>
    <xdr:from>
      <xdr:col>1</xdr:col>
      <xdr:colOff>114300</xdr:colOff>
      <xdr:row>0</xdr:row>
      <xdr:rowOff>82550</xdr:rowOff>
    </xdr:from>
    <xdr:to>
      <xdr:col>7</xdr:col>
      <xdr:colOff>190500</xdr:colOff>
      <xdr:row>5</xdr:row>
      <xdr:rowOff>127000</xdr:rowOff>
    </xdr:to>
    <xdr:grpSp>
      <xdr:nvGrpSpPr>
        <xdr:cNvPr id="7" name="Group 6">
          <a:extLst>
            <a:ext uri="{FF2B5EF4-FFF2-40B4-BE49-F238E27FC236}">
              <a16:creationId xmlns:a16="http://schemas.microsoft.com/office/drawing/2014/main" id="{00000000-0008-0000-0500-000007000000}"/>
            </a:ext>
          </a:extLst>
        </xdr:cNvPr>
        <xdr:cNvGrpSpPr/>
      </xdr:nvGrpSpPr>
      <xdr:grpSpPr>
        <a:xfrm>
          <a:off x="1158240" y="82550"/>
          <a:ext cx="3413760" cy="966470"/>
          <a:chOff x="679450" y="82550"/>
          <a:chExt cx="3467100" cy="971550"/>
        </a:xfrm>
      </xdr:grpSpPr>
      <xdr:sp macro="" textlink="">
        <xdr:nvSpPr>
          <xdr:cNvPr id="13" name="TextBox 12">
            <a:extLst>
              <a:ext uri="{FF2B5EF4-FFF2-40B4-BE49-F238E27FC236}">
                <a16:creationId xmlns:a16="http://schemas.microsoft.com/office/drawing/2014/main" id="{00000000-0008-0000-0500-00000D000000}"/>
              </a:ext>
            </a:extLst>
          </xdr:cNvPr>
          <xdr:cNvSpPr txBox="1"/>
        </xdr:nvSpPr>
        <xdr:spPr bwMode="auto">
          <a:xfrm>
            <a:off x="679450" y="240526"/>
            <a:ext cx="622300" cy="3633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f(L,</a:t>
            </a:r>
            <a:r>
              <a:rPr lang="en-US" sz="1100" baseline="0"/>
              <a:t> K)</a:t>
            </a:r>
          </a:p>
        </xdr:txBody>
      </xdr:sp>
      <xdr:sp macro="" textlink="">
        <xdr:nvSpPr>
          <xdr:cNvPr id="14" name="TextBox 13">
            <a:extLst>
              <a:ext uri="{FF2B5EF4-FFF2-40B4-BE49-F238E27FC236}">
                <a16:creationId xmlns:a16="http://schemas.microsoft.com/office/drawing/2014/main" id="{00000000-0008-0000-0500-00000E000000}"/>
              </a:ext>
            </a:extLst>
          </xdr:cNvPr>
          <xdr:cNvSpPr txBox="1"/>
        </xdr:nvSpPr>
        <xdr:spPr bwMode="auto">
          <a:xfrm>
            <a:off x="1536700" y="264222"/>
            <a:ext cx="374650" cy="3633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Y</a:t>
            </a:r>
          </a:p>
        </xdr:txBody>
      </xdr:sp>
      <xdr:sp macro="" textlink="">
        <xdr:nvSpPr>
          <xdr:cNvPr id="15" name="TextBox 14">
            <a:extLst>
              <a:ext uri="{FF2B5EF4-FFF2-40B4-BE49-F238E27FC236}">
                <a16:creationId xmlns:a16="http://schemas.microsoft.com/office/drawing/2014/main" id="{00000000-0008-0000-0500-00000F000000}"/>
              </a:ext>
            </a:extLst>
          </xdr:cNvPr>
          <xdr:cNvSpPr txBox="1"/>
        </xdr:nvSpPr>
        <xdr:spPr bwMode="auto">
          <a:xfrm>
            <a:off x="1981200" y="82550"/>
            <a:ext cx="374650" cy="3633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C</a:t>
            </a:r>
          </a:p>
        </xdr:txBody>
      </xdr:sp>
      <xdr:sp macro="" textlink="">
        <xdr:nvSpPr>
          <xdr:cNvPr id="16" name="TextBox 15">
            <a:extLst>
              <a:ext uri="{FF2B5EF4-FFF2-40B4-BE49-F238E27FC236}">
                <a16:creationId xmlns:a16="http://schemas.microsoft.com/office/drawing/2014/main" id="{00000000-0008-0000-0500-000010000000}"/>
              </a:ext>
            </a:extLst>
          </xdr:cNvPr>
          <xdr:cNvSpPr txBox="1"/>
        </xdr:nvSpPr>
        <xdr:spPr bwMode="auto">
          <a:xfrm>
            <a:off x="2305050" y="477489"/>
            <a:ext cx="1841500" cy="3396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cap="none" spc="0">
                <a:ln w="10160">
                  <a:noFill/>
                  <a:prstDash val="solid"/>
                </a:ln>
                <a:solidFill>
                  <a:sysClr val="windowText" lastClr="000000"/>
                </a:solidFill>
                <a:effectLst/>
              </a:rPr>
              <a:t>new  K</a:t>
            </a:r>
            <a:r>
              <a:rPr lang="en-US" sz="1100" b="0" cap="none" spc="0" baseline="0">
                <a:ln w="10160">
                  <a:noFill/>
                  <a:prstDash val="solid"/>
                </a:ln>
                <a:solidFill>
                  <a:sysClr val="windowText" lastClr="000000"/>
                </a:solidFill>
                <a:effectLst/>
              </a:rPr>
              <a:t> (</a:t>
            </a:r>
            <a:r>
              <a:rPr lang="en-US" sz="1100" b="0" cap="none" spc="0">
                <a:ln w="10160">
                  <a:noFill/>
                  <a:prstDash val="solid"/>
                </a:ln>
                <a:solidFill>
                  <a:sysClr val="windowText" lastClr="000000"/>
                </a:solidFill>
                <a:effectLst/>
              </a:rPr>
              <a:t>added to initial K)</a:t>
            </a:r>
          </a:p>
        </xdr:txBody>
      </xdr:sp>
      <xdr:sp macro="" textlink="">
        <xdr:nvSpPr>
          <xdr:cNvPr id="17" name="TextBox 16">
            <a:extLst>
              <a:ext uri="{FF2B5EF4-FFF2-40B4-BE49-F238E27FC236}">
                <a16:creationId xmlns:a16="http://schemas.microsoft.com/office/drawing/2014/main" id="{00000000-0008-0000-0500-000011000000}"/>
              </a:ext>
            </a:extLst>
          </xdr:cNvPr>
          <xdr:cNvSpPr txBox="1"/>
        </xdr:nvSpPr>
        <xdr:spPr bwMode="auto">
          <a:xfrm>
            <a:off x="1981200" y="477489"/>
            <a:ext cx="374650" cy="3633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a:t>
            </a:r>
          </a:p>
        </xdr:txBody>
      </xdr:sp>
      <xdr:cxnSp macro="">
        <xdr:nvCxnSpPr>
          <xdr:cNvPr id="18" name="Straight Arrow Connector 3">
            <a:extLst>
              <a:ext uri="{FF2B5EF4-FFF2-40B4-BE49-F238E27FC236}">
                <a16:creationId xmlns:a16="http://schemas.microsoft.com/office/drawing/2014/main" id="{00000000-0008-0000-0500-000012000000}"/>
              </a:ext>
            </a:extLst>
          </xdr:cNvPr>
          <xdr:cNvCxnSpPr>
            <a:cxnSpLocks noChangeShapeType="1"/>
          </xdr:cNvCxnSpPr>
        </xdr:nvCxnSpPr>
        <xdr:spPr bwMode="auto">
          <a:xfrm>
            <a:off x="1181267" y="410776"/>
            <a:ext cx="355834" cy="11318"/>
          </a:xfrm>
          <a:prstGeom prst="straightConnector1">
            <a:avLst/>
          </a:prstGeom>
          <a:noFill/>
          <a:ln w="9525" algn="ctr">
            <a:solidFill>
              <a:srgbClr val="000000"/>
            </a:solidFill>
            <a:round/>
            <a:headEnd/>
            <a:tailEnd type="arrow" w="med" len="med"/>
          </a:ln>
          <a:extLst>
            <a:ext uri="{909E8E84-426E-40DD-AFC4-6F175D3DCCD1}">
              <a14:hiddenFill xmlns:a14="http://schemas.microsoft.com/office/drawing/2010/main">
                <a:noFill/>
              </a14:hiddenFill>
            </a:ext>
          </a:extLst>
        </xdr:spPr>
      </xdr:cxnSp>
      <xdr:cxnSp macro="">
        <xdr:nvCxnSpPr>
          <xdr:cNvPr id="19" name="Straight Arrow Connector 5">
            <a:extLst>
              <a:ext uri="{FF2B5EF4-FFF2-40B4-BE49-F238E27FC236}">
                <a16:creationId xmlns:a16="http://schemas.microsoft.com/office/drawing/2014/main" id="{00000000-0008-0000-0500-000013000000}"/>
              </a:ext>
            </a:extLst>
          </xdr:cNvPr>
          <xdr:cNvCxnSpPr>
            <a:cxnSpLocks noChangeShapeType="1"/>
          </xdr:cNvCxnSpPr>
        </xdr:nvCxnSpPr>
        <xdr:spPr bwMode="auto">
          <a:xfrm flipV="1">
            <a:off x="1774324" y="241004"/>
            <a:ext cx="237223" cy="158454"/>
          </a:xfrm>
          <a:prstGeom prst="straightConnector1">
            <a:avLst/>
          </a:prstGeom>
          <a:noFill/>
          <a:ln w="9525" algn="ctr">
            <a:solidFill>
              <a:srgbClr val="000000"/>
            </a:solidFill>
            <a:round/>
            <a:headEnd/>
            <a:tailEnd type="arrow" w="med" len="med"/>
          </a:ln>
          <a:extLst>
            <a:ext uri="{909E8E84-426E-40DD-AFC4-6F175D3DCCD1}">
              <a14:hiddenFill xmlns:a14="http://schemas.microsoft.com/office/drawing/2010/main">
                <a:noFill/>
              </a14:hiddenFill>
            </a:ext>
          </a:extLst>
        </xdr:spPr>
      </xdr:cxnSp>
      <xdr:cxnSp macro="">
        <xdr:nvCxnSpPr>
          <xdr:cNvPr id="20" name="Straight Arrow Connector 20">
            <a:extLst>
              <a:ext uri="{FF2B5EF4-FFF2-40B4-BE49-F238E27FC236}">
                <a16:creationId xmlns:a16="http://schemas.microsoft.com/office/drawing/2014/main" id="{00000000-0008-0000-0500-000014000000}"/>
              </a:ext>
            </a:extLst>
          </xdr:cNvPr>
          <xdr:cNvCxnSpPr>
            <a:cxnSpLocks noChangeShapeType="1"/>
          </xdr:cNvCxnSpPr>
        </xdr:nvCxnSpPr>
        <xdr:spPr bwMode="auto">
          <a:xfrm>
            <a:off x="1774324" y="456048"/>
            <a:ext cx="237223" cy="158454"/>
          </a:xfrm>
          <a:prstGeom prst="straightConnector1">
            <a:avLst/>
          </a:prstGeom>
          <a:noFill/>
          <a:ln w="9525" algn="ctr">
            <a:solidFill>
              <a:srgbClr val="000000"/>
            </a:solidFill>
            <a:round/>
            <a:headEnd/>
            <a:tailEnd type="arrow" w="med" len="med"/>
          </a:ln>
          <a:extLst>
            <a:ext uri="{909E8E84-426E-40DD-AFC4-6F175D3DCCD1}">
              <a14:hiddenFill xmlns:a14="http://schemas.microsoft.com/office/drawing/2010/main">
                <a:noFill/>
              </a14:hiddenFill>
            </a:ext>
          </a:extLst>
        </xdr:spPr>
      </xdr:cxnSp>
      <xdr:cxnSp macro="">
        <xdr:nvCxnSpPr>
          <xdr:cNvPr id="21" name="Straight Arrow Connector 21">
            <a:extLst>
              <a:ext uri="{FF2B5EF4-FFF2-40B4-BE49-F238E27FC236}">
                <a16:creationId xmlns:a16="http://schemas.microsoft.com/office/drawing/2014/main" id="{00000000-0008-0000-0500-000015000000}"/>
              </a:ext>
            </a:extLst>
          </xdr:cNvPr>
          <xdr:cNvCxnSpPr>
            <a:cxnSpLocks noChangeShapeType="1"/>
          </xdr:cNvCxnSpPr>
        </xdr:nvCxnSpPr>
        <xdr:spPr bwMode="auto">
          <a:xfrm flipV="1">
            <a:off x="2129356" y="615950"/>
            <a:ext cx="251894" cy="2138"/>
          </a:xfrm>
          <a:prstGeom prst="straightConnector1">
            <a:avLst/>
          </a:prstGeom>
          <a:noFill/>
          <a:ln w="9525" algn="ctr">
            <a:solidFill>
              <a:srgbClr val="000000"/>
            </a:solidFill>
            <a:round/>
            <a:headEnd/>
            <a:tailEnd type="arrow" w="med" len="med"/>
          </a:ln>
          <a:extLst>
            <a:ext uri="{909E8E84-426E-40DD-AFC4-6F175D3DCCD1}">
              <a14:hiddenFill xmlns:a14="http://schemas.microsoft.com/office/drawing/2010/main">
                <a:noFill/>
              </a14:hiddenFill>
            </a:ext>
          </a:extLst>
        </xdr:spPr>
      </xdr:cxnSp>
      <xdr:sp macro="" textlink="">
        <xdr:nvSpPr>
          <xdr:cNvPr id="22" name="Arc 21">
            <a:extLst>
              <a:ext uri="{FF2B5EF4-FFF2-40B4-BE49-F238E27FC236}">
                <a16:creationId xmlns:a16="http://schemas.microsoft.com/office/drawing/2014/main" id="{00000000-0008-0000-0500-000016000000}"/>
              </a:ext>
            </a:extLst>
          </xdr:cNvPr>
          <xdr:cNvSpPr/>
        </xdr:nvSpPr>
        <xdr:spPr bwMode="auto">
          <a:xfrm flipV="1">
            <a:off x="1492250" y="469591"/>
            <a:ext cx="1212850" cy="576611"/>
          </a:xfrm>
          <a:prstGeom prst="arc">
            <a:avLst/>
          </a:prstGeom>
          <a:no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endParaRPr lang="en-US"/>
          </a:p>
        </xdr:txBody>
      </xdr:sp>
      <xdr:sp macro="" textlink="">
        <xdr:nvSpPr>
          <xdr:cNvPr id="23" name="Arc 22">
            <a:extLst>
              <a:ext uri="{FF2B5EF4-FFF2-40B4-BE49-F238E27FC236}">
                <a16:creationId xmlns:a16="http://schemas.microsoft.com/office/drawing/2014/main" id="{00000000-0008-0000-0500-000017000000}"/>
              </a:ext>
            </a:extLst>
          </xdr:cNvPr>
          <xdr:cNvSpPr/>
        </xdr:nvSpPr>
        <xdr:spPr bwMode="auto">
          <a:xfrm rot="459365" flipH="1" flipV="1">
            <a:off x="1022350" y="422197"/>
            <a:ext cx="2298700" cy="631903"/>
          </a:xfrm>
          <a:prstGeom prst="arc">
            <a:avLst/>
          </a:prstGeom>
          <a:noFill/>
          <a:ln w="9525" cap="flat" cmpd="sng" algn="ctr">
            <a:solidFill>
              <a:srgbClr val="000000"/>
            </a:solidFill>
            <a:prstDash val="solid"/>
            <a:round/>
            <a:headEnd type="none" w="med" len="med"/>
            <a:tailEnd type="triangle" w="med" len="med"/>
          </a:ln>
          <a:effectLst/>
        </xdr:spPr>
        <xdr:txBody>
          <a:bodyPr vertOverflow="clip" horzOverflow="clip" wrap="square" lIns="18288" tIns="0" rIns="0" bIns="0" rtlCol="0" anchor="t" upright="1"/>
          <a:lstStyle/>
          <a:p>
            <a:endParaRPr lang="en-US"/>
          </a:p>
        </xdr:txBody>
      </xdr:sp>
    </xdr:grpSp>
    <xdr:clientData/>
  </xdr:twoCellAnchor>
  <xdr:twoCellAnchor>
    <xdr:from>
      <xdr:col>6</xdr:col>
      <xdr:colOff>558799</xdr:colOff>
      <xdr:row>0</xdr:row>
      <xdr:rowOff>168275</xdr:rowOff>
    </xdr:from>
    <xdr:to>
      <xdr:col>14</xdr:col>
      <xdr:colOff>342900</xdr:colOff>
      <xdr:row>3</xdr:row>
      <xdr:rowOff>177800</xdr:rowOff>
    </xdr:to>
    <xdr:sp macro="" textlink="">
      <xdr:nvSpPr>
        <xdr:cNvPr id="29" name="TextBox 28">
          <a:extLst>
            <a:ext uri="{FF2B5EF4-FFF2-40B4-BE49-F238E27FC236}">
              <a16:creationId xmlns:a16="http://schemas.microsoft.com/office/drawing/2014/main" id="{00000000-0008-0000-0500-00001D000000}"/>
            </a:ext>
          </a:extLst>
        </xdr:cNvPr>
        <xdr:cNvSpPr txBox="1"/>
      </xdr:nvSpPr>
      <xdr:spPr>
        <a:xfrm>
          <a:off x="4444999" y="168275"/>
          <a:ext cx="4673601" cy="568325"/>
        </a:xfrm>
        <a:prstGeom prst="rect">
          <a:avLst/>
        </a:prstGeom>
        <a:solidFill>
          <a:schemeClr val="accent3">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ts val="1200"/>
            </a:lnSpc>
          </a:pPr>
          <a:r>
            <a:rPr lang="en-US" sz="1100"/>
            <a:t>L</a:t>
          </a:r>
          <a:r>
            <a:rPr lang="en-US" sz="1100" baseline="0"/>
            <a:t> is the number of hours worked;</a:t>
          </a:r>
        </a:p>
        <a:p>
          <a:pPr>
            <a:lnSpc>
              <a:spcPts val="1200"/>
            </a:lnSpc>
          </a:pPr>
          <a:r>
            <a:rPr lang="en-US" sz="1100" baseline="0"/>
            <a:t>Y, C,  and I are measured in $ (or a country's currency) per year;</a:t>
          </a:r>
        </a:p>
        <a:p>
          <a:pPr>
            <a:lnSpc>
              <a:spcPts val="1100"/>
            </a:lnSpc>
          </a:pPr>
          <a:r>
            <a:rPr lang="en-US" sz="1100" baseline="0">
              <a:solidFill>
                <a:schemeClr val="dk1"/>
              </a:solidFill>
              <a:effectLst/>
              <a:latin typeface="+mn-lt"/>
              <a:ea typeface="+mn-ea"/>
              <a:cs typeface="+mn-cs"/>
            </a:rPr>
            <a:t>K is the number of machines, but price is $1 so K can also be measured in $.</a:t>
          </a:r>
          <a:endParaRPr lang="en-US" sz="1100"/>
        </a:p>
      </xdr:txBody>
    </xdr:sp>
    <xdr:clientData/>
  </xdr:twoCellAnchor>
  <xdr:twoCellAnchor>
    <xdr:from>
      <xdr:col>2</xdr:col>
      <xdr:colOff>184150</xdr:colOff>
      <xdr:row>32</xdr:row>
      <xdr:rowOff>82550</xdr:rowOff>
    </xdr:from>
    <xdr:to>
      <xdr:col>8</xdr:col>
      <xdr:colOff>260350</xdr:colOff>
      <xdr:row>37</xdr:row>
      <xdr:rowOff>133350</xdr:rowOff>
    </xdr:to>
    <xdr:grpSp>
      <xdr:nvGrpSpPr>
        <xdr:cNvPr id="41" name="Group 40">
          <a:extLst>
            <a:ext uri="{FF2B5EF4-FFF2-40B4-BE49-F238E27FC236}">
              <a16:creationId xmlns:a16="http://schemas.microsoft.com/office/drawing/2014/main" id="{00000000-0008-0000-0500-000029000000}"/>
            </a:ext>
          </a:extLst>
        </xdr:cNvPr>
        <xdr:cNvGrpSpPr/>
      </xdr:nvGrpSpPr>
      <xdr:grpSpPr>
        <a:xfrm>
          <a:off x="1784350" y="5972810"/>
          <a:ext cx="3413760" cy="965200"/>
          <a:chOff x="679450" y="82550"/>
          <a:chExt cx="3467100" cy="971550"/>
        </a:xfrm>
      </xdr:grpSpPr>
      <xdr:sp macro="" textlink="">
        <xdr:nvSpPr>
          <xdr:cNvPr id="42" name="TextBox 41">
            <a:extLst>
              <a:ext uri="{FF2B5EF4-FFF2-40B4-BE49-F238E27FC236}">
                <a16:creationId xmlns:a16="http://schemas.microsoft.com/office/drawing/2014/main" id="{00000000-0008-0000-0500-00002A000000}"/>
              </a:ext>
            </a:extLst>
          </xdr:cNvPr>
          <xdr:cNvSpPr txBox="1"/>
        </xdr:nvSpPr>
        <xdr:spPr bwMode="auto">
          <a:xfrm>
            <a:off x="679450" y="240526"/>
            <a:ext cx="622300" cy="3633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f(L,</a:t>
            </a:r>
            <a:r>
              <a:rPr lang="en-US" sz="1100" baseline="0"/>
              <a:t> K)</a:t>
            </a:r>
          </a:p>
        </xdr:txBody>
      </xdr:sp>
      <xdr:sp macro="" textlink="">
        <xdr:nvSpPr>
          <xdr:cNvPr id="43" name="TextBox 42">
            <a:extLst>
              <a:ext uri="{FF2B5EF4-FFF2-40B4-BE49-F238E27FC236}">
                <a16:creationId xmlns:a16="http://schemas.microsoft.com/office/drawing/2014/main" id="{00000000-0008-0000-0500-00002B000000}"/>
              </a:ext>
            </a:extLst>
          </xdr:cNvPr>
          <xdr:cNvSpPr txBox="1"/>
        </xdr:nvSpPr>
        <xdr:spPr bwMode="auto">
          <a:xfrm>
            <a:off x="1536700" y="264222"/>
            <a:ext cx="374650" cy="3633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Y</a:t>
            </a:r>
          </a:p>
        </xdr:txBody>
      </xdr:sp>
      <xdr:sp macro="" textlink="">
        <xdr:nvSpPr>
          <xdr:cNvPr id="44" name="TextBox 43">
            <a:extLst>
              <a:ext uri="{FF2B5EF4-FFF2-40B4-BE49-F238E27FC236}">
                <a16:creationId xmlns:a16="http://schemas.microsoft.com/office/drawing/2014/main" id="{00000000-0008-0000-0500-00002C000000}"/>
              </a:ext>
            </a:extLst>
          </xdr:cNvPr>
          <xdr:cNvSpPr txBox="1"/>
        </xdr:nvSpPr>
        <xdr:spPr bwMode="auto">
          <a:xfrm>
            <a:off x="1981200" y="82550"/>
            <a:ext cx="374650" cy="3633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C</a:t>
            </a:r>
          </a:p>
        </xdr:txBody>
      </xdr:sp>
      <xdr:sp macro="" textlink="">
        <xdr:nvSpPr>
          <xdr:cNvPr id="45" name="TextBox 44">
            <a:extLst>
              <a:ext uri="{FF2B5EF4-FFF2-40B4-BE49-F238E27FC236}">
                <a16:creationId xmlns:a16="http://schemas.microsoft.com/office/drawing/2014/main" id="{00000000-0008-0000-0500-00002D000000}"/>
              </a:ext>
            </a:extLst>
          </xdr:cNvPr>
          <xdr:cNvSpPr txBox="1"/>
        </xdr:nvSpPr>
        <xdr:spPr bwMode="auto">
          <a:xfrm>
            <a:off x="2305050" y="477489"/>
            <a:ext cx="1841500" cy="3396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cap="none" spc="0">
                <a:ln w="10160">
                  <a:noFill/>
                  <a:prstDash val="solid"/>
                </a:ln>
                <a:solidFill>
                  <a:sysClr val="windowText" lastClr="000000"/>
                </a:solidFill>
                <a:effectLst/>
              </a:rPr>
              <a:t>new  K</a:t>
            </a:r>
            <a:r>
              <a:rPr lang="en-US" sz="1100" b="0" cap="none" spc="0" baseline="0">
                <a:ln w="10160">
                  <a:noFill/>
                  <a:prstDash val="solid"/>
                </a:ln>
                <a:solidFill>
                  <a:sysClr val="windowText" lastClr="000000"/>
                </a:solidFill>
                <a:effectLst/>
              </a:rPr>
              <a:t> (</a:t>
            </a:r>
            <a:r>
              <a:rPr lang="en-US" sz="1100" b="0" cap="none" spc="0">
                <a:ln w="10160">
                  <a:noFill/>
                  <a:prstDash val="solid"/>
                </a:ln>
                <a:solidFill>
                  <a:sysClr val="windowText" lastClr="000000"/>
                </a:solidFill>
                <a:effectLst/>
              </a:rPr>
              <a:t>added to initial K)</a:t>
            </a:r>
          </a:p>
        </xdr:txBody>
      </xdr:sp>
      <xdr:sp macro="" textlink="">
        <xdr:nvSpPr>
          <xdr:cNvPr id="46" name="TextBox 45">
            <a:extLst>
              <a:ext uri="{FF2B5EF4-FFF2-40B4-BE49-F238E27FC236}">
                <a16:creationId xmlns:a16="http://schemas.microsoft.com/office/drawing/2014/main" id="{00000000-0008-0000-0500-00002E000000}"/>
              </a:ext>
            </a:extLst>
          </xdr:cNvPr>
          <xdr:cNvSpPr txBox="1"/>
        </xdr:nvSpPr>
        <xdr:spPr bwMode="auto">
          <a:xfrm>
            <a:off x="1981200" y="477489"/>
            <a:ext cx="374650" cy="3633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a:t>
            </a:r>
          </a:p>
        </xdr:txBody>
      </xdr:sp>
      <xdr:cxnSp macro="">
        <xdr:nvCxnSpPr>
          <xdr:cNvPr id="47" name="Straight Arrow Connector 3">
            <a:extLst>
              <a:ext uri="{FF2B5EF4-FFF2-40B4-BE49-F238E27FC236}">
                <a16:creationId xmlns:a16="http://schemas.microsoft.com/office/drawing/2014/main" id="{00000000-0008-0000-0500-00002F000000}"/>
              </a:ext>
            </a:extLst>
          </xdr:cNvPr>
          <xdr:cNvCxnSpPr>
            <a:cxnSpLocks noChangeShapeType="1"/>
          </xdr:cNvCxnSpPr>
        </xdr:nvCxnSpPr>
        <xdr:spPr bwMode="auto">
          <a:xfrm>
            <a:off x="1181267" y="410776"/>
            <a:ext cx="355834" cy="11318"/>
          </a:xfrm>
          <a:prstGeom prst="straightConnector1">
            <a:avLst/>
          </a:prstGeom>
          <a:noFill/>
          <a:ln w="9525" algn="ctr">
            <a:solidFill>
              <a:srgbClr val="000000"/>
            </a:solidFill>
            <a:round/>
            <a:headEnd/>
            <a:tailEnd type="arrow" w="med" len="med"/>
          </a:ln>
          <a:extLst>
            <a:ext uri="{909E8E84-426E-40DD-AFC4-6F175D3DCCD1}">
              <a14:hiddenFill xmlns:a14="http://schemas.microsoft.com/office/drawing/2010/main">
                <a:noFill/>
              </a14:hiddenFill>
            </a:ext>
          </a:extLst>
        </xdr:spPr>
      </xdr:cxnSp>
      <xdr:cxnSp macro="">
        <xdr:nvCxnSpPr>
          <xdr:cNvPr id="48" name="Straight Arrow Connector 5">
            <a:extLst>
              <a:ext uri="{FF2B5EF4-FFF2-40B4-BE49-F238E27FC236}">
                <a16:creationId xmlns:a16="http://schemas.microsoft.com/office/drawing/2014/main" id="{00000000-0008-0000-0500-000030000000}"/>
              </a:ext>
            </a:extLst>
          </xdr:cNvPr>
          <xdr:cNvCxnSpPr>
            <a:cxnSpLocks noChangeShapeType="1"/>
          </xdr:cNvCxnSpPr>
        </xdr:nvCxnSpPr>
        <xdr:spPr bwMode="auto">
          <a:xfrm flipV="1">
            <a:off x="1774324" y="241004"/>
            <a:ext cx="237223" cy="158454"/>
          </a:xfrm>
          <a:prstGeom prst="straightConnector1">
            <a:avLst/>
          </a:prstGeom>
          <a:noFill/>
          <a:ln w="9525" algn="ctr">
            <a:solidFill>
              <a:srgbClr val="000000"/>
            </a:solidFill>
            <a:round/>
            <a:headEnd/>
            <a:tailEnd type="arrow" w="med" len="med"/>
          </a:ln>
          <a:extLst>
            <a:ext uri="{909E8E84-426E-40DD-AFC4-6F175D3DCCD1}">
              <a14:hiddenFill xmlns:a14="http://schemas.microsoft.com/office/drawing/2010/main">
                <a:noFill/>
              </a14:hiddenFill>
            </a:ext>
          </a:extLst>
        </xdr:spPr>
      </xdr:cxnSp>
      <xdr:cxnSp macro="">
        <xdr:nvCxnSpPr>
          <xdr:cNvPr id="49" name="Straight Arrow Connector 20">
            <a:extLst>
              <a:ext uri="{FF2B5EF4-FFF2-40B4-BE49-F238E27FC236}">
                <a16:creationId xmlns:a16="http://schemas.microsoft.com/office/drawing/2014/main" id="{00000000-0008-0000-0500-000031000000}"/>
              </a:ext>
            </a:extLst>
          </xdr:cNvPr>
          <xdr:cNvCxnSpPr>
            <a:cxnSpLocks noChangeShapeType="1"/>
          </xdr:cNvCxnSpPr>
        </xdr:nvCxnSpPr>
        <xdr:spPr bwMode="auto">
          <a:xfrm>
            <a:off x="1774324" y="456048"/>
            <a:ext cx="237223" cy="158454"/>
          </a:xfrm>
          <a:prstGeom prst="straightConnector1">
            <a:avLst/>
          </a:prstGeom>
          <a:noFill/>
          <a:ln w="9525" algn="ctr">
            <a:solidFill>
              <a:srgbClr val="000000"/>
            </a:solidFill>
            <a:round/>
            <a:headEnd/>
            <a:tailEnd type="arrow" w="med" len="med"/>
          </a:ln>
          <a:extLst>
            <a:ext uri="{909E8E84-426E-40DD-AFC4-6F175D3DCCD1}">
              <a14:hiddenFill xmlns:a14="http://schemas.microsoft.com/office/drawing/2010/main">
                <a:noFill/>
              </a14:hiddenFill>
            </a:ext>
          </a:extLst>
        </xdr:spPr>
      </xdr:cxnSp>
      <xdr:cxnSp macro="">
        <xdr:nvCxnSpPr>
          <xdr:cNvPr id="50" name="Straight Arrow Connector 21">
            <a:extLst>
              <a:ext uri="{FF2B5EF4-FFF2-40B4-BE49-F238E27FC236}">
                <a16:creationId xmlns:a16="http://schemas.microsoft.com/office/drawing/2014/main" id="{00000000-0008-0000-0500-000032000000}"/>
              </a:ext>
            </a:extLst>
          </xdr:cNvPr>
          <xdr:cNvCxnSpPr>
            <a:cxnSpLocks noChangeShapeType="1"/>
          </xdr:cNvCxnSpPr>
        </xdr:nvCxnSpPr>
        <xdr:spPr bwMode="auto">
          <a:xfrm flipV="1">
            <a:off x="2129356" y="615950"/>
            <a:ext cx="251894" cy="2138"/>
          </a:xfrm>
          <a:prstGeom prst="straightConnector1">
            <a:avLst/>
          </a:prstGeom>
          <a:noFill/>
          <a:ln w="9525" algn="ctr">
            <a:solidFill>
              <a:srgbClr val="000000"/>
            </a:solidFill>
            <a:round/>
            <a:headEnd/>
            <a:tailEnd type="arrow" w="med" len="med"/>
          </a:ln>
          <a:extLst>
            <a:ext uri="{909E8E84-426E-40DD-AFC4-6F175D3DCCD1}">
              <a14:hiddenFill xmlns:a14="http://schemas.microsoft.com/office/drawing/2010/main">
                <a:noFill/>
              </a14:hiddenFill>
            </a:ext>
          </a:extLst>
        </xdr:spPr>
      </xdr:cxnSp>
      <xdr:sp macro="" textlink="">
        <xdr:nvSpPr>
          <xdr:cNvPr id="51" name="Arc 50">
            <a:extLst>
              <a:ext uri="{FF2B5EF4-FFF2-40B4-BE49-F238E27FC236}">
                <a16:creationId xmlns:a16="http://schemas.microsoft.com/office/drawing/2014/main" id="{00000000-0008-0000-0500-000033000000}"/>
              </a:ext>
            </a:extLst>
          </xdr:cNvPr>
          <xdr:cNvSpPr/>
        </xdr:nvSpPr>
        <xdr:spPr bwMode="auto">
          <a:xfrm flipV="1">
            <a:off x="1492250" y="469591"/>
            <a:ext cx="1212850" cy="576611"/>
          </a:xfrm>
          <a:prstGeom prst="arc">
            <a:avLst/>
          </a:prstGeom>
          <a:no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endParaRPr lang="en-US"/>
          </a:p>
        </xdr:txBody>
      </xdr:sp>
      <xdr:sp macro="" textlink="">
        <xdr:nvSpPr>
          <xdr:cNvPr id="52" name="Arc 51">
            <a:extLst>
              <a:ext uri="{FF2B5EF4-FFF2-40B4-BE49-F238E27FC236}">
                <a16:creationId xmlns:a16="http://schemas.microsoft.com/office/drawing/2014/main" id="{00000000-0008-0000-0500-000034000000}"/>
              </a:ext>
            </a:extLst>
          </xdr:cNvPr>
          <xdr:cNvSpPr/>
        </xdr:nvSpPr>
        <xdr:spPr bwMode="auto">
          <a:xfrm rot="459365" flipH="1" flipV="1">
            <a:off x="1022350" y="422197"/>
            <a:ext cx="2298700" cy="631903"/>
          </a:xfrm>
          <a:prstGeom prst="arc">
            <a:avLst/>
          </a:prstGeom>
          <a:noFill/>
          <a:ln w="9525" cap="flat" cmpd="sng" algn="ctr">
            <a:solidFill>
              <a:srgbClr val="000000"/>
            </a:solidFill>
            <a:prstDash val="solid"/>
            <a:round/>
            <a:headEnd type="none" w="med" len="med"/>
            <a:tailEnd type="triangle" w="med" len="med"/>
          </a:ln>
          <a:effectLst/>
        </xdr:spPr>
        <xdr:txBody>
          <a:bodyPr vertOverflow="clip" horzOverflow="clip" wrap="square" lIns="18288" tIns="0" rIns="0" bIns="0" rtlCol="0" anchor="t" upright="1"/>
          <a:lstStyle/>
          <a:p>
            <a:endParaRPr lang="en-US"/>
          </a:p>
        </xdr:txBody>
      </xdr:sp>
    </xdr:grpSp>
    <xdr:clientData/>
  </xdr:twoCellAnchor>
  <mc:AlternateContent xmlns:mc="http://schemas.openxmlformats.org/markup-compatibility/2006">
    <mc:Choice xmlns:a14="http://schemas.microsoft.com/office/drawing/2010/main" Requires="a14">
      <xdr:twoCellAnchor>
        <xdr:from>
          <xdr:col>2</xdr:col>
          <xdr:colOff>0</xdr:colOff>
          <xdr:row>22</xdr:row>
          <xdr:rowOff>99060</xdr:rowOff>
        </xdr:from>
        <xdr:to>
          <xdr:col>2</xdr:col>
          <xdr:colOff>518160</xdr:colOff>
          <xdr:row>24</xdr:row>
          <xdr:rowOff>99060</xdr:rowOff>
        </xdr:to>
        <xdr:sp macro="" textlink="">
          <xdr:nvSpPr>
            <xdr:cNvPr id="25611" name="Button 11" hidden="1">
              <a:extLst>
                <a:ext uri="{63B3BB69-23CF-44E3-9099-C40C66FF867C}">
                  <a14:compatExt spid="_x0000_s25611"/>
                </a:ext>
                <a:ext uri="{FF2B5EF4-FFF2-40B4-BE49-F238E27FC236}">
                  <a16:creationId xmlns:a16="http://schemas.microsoft.com/office/drawing/2014/main" id="{00000000-0008-0000-0500-00000B6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Show Math</a:t>
              </a:r>
            </a:p>
          </xdr:txBody>
        </xdr:sp>
        <xdr:clientData fPrintsWithSheet="0"/>
      </xdr:twoCellAnchor>
    </mc:Choice>
    <mc:Fallback/>
  </mc:AlternateContent>
  <xdr:twoCellAnchor>
    <xdr:from>
      <xdr:col>4</xdr:col>
      <xdr:colOff>107950</xdr:colOff>
      <xdr:row>33</xdr:row>
      <xdr:rowOff>95250</xdr:rowOff>
    </xdr:from>
    <xdr:to>
      <xdr:col>4</xdr:col>
      <xdr:colOff>406400</xdr:colOff>
      <xdr:row>35</xdr:row>
      <xdr:rowOff>50800</xdr:rowOff>
    </xdr:to>
    <xdr:sp macro="" textlink="">
      <xdr:nvSpPr>
        <xdr:cNvPr id="54" name="TextBox 53">
          <a:extLst>
            <a:ext uri="{FF2B5EF4-FFF2-40B4-BE49-F238E27FC236}">
              <a16:creationId xmlns:a16="http://schemas.microsoft.com/office/drawing/2014/main" id="{00000000-0008-0000-0500-000036000000}"/>
            </a:ext>
          </a:extLst>
        </xdr:cNvPr>
        <xdr:cNvSpPr txBox="1"/>
      </xdr:nvSpPr>
      <xdr:spPr bwMode="auto">
        <a:xfrm>
          <a:off x="2863850" y="6229350"/>
          <a:ext cx="29845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s</a:t>
          </a:r>
        </a:p>
      </xdr:txBody>
    </xdr:sp>
    <xdr:clientData/>
  </xdr:twoCellAnchor>
  <mc:AlternateContent xmlns:mc="http://schemas.openxmlformats.org/markup-compatibility/2006">
    <mc:Choice xmlns:a14="http://schemas.microsoft.com/office/drawing/2010/main" Requires="a14">
      <xdr:twoCellAnchor>
        <xdr:from>
          <xdr:col>2</xdr:col>
          <xdr:colOff>0</xdr:colOff>
          <xdr:row>100</xdr:row>
          <xdr:rowOff>0</xdr:rowOff>
        </xdr:from>
        <xdr:to>
          <xdr:col>2</xdr:col>
          <xdr:colOff>518160</xdr:colOff>
          <xdr:row>101</xdr:row>
          <xdr:rowOff>91440</xdr:rowOff>
        </xdr:to>
        <xdr:sp macro="" textlink="">
          <xdr:nvSpPr>
            <xdr:cNvPr id="25613" name="Button 13" hidden="1">
              <a:extLst>
                <a:ext uri="{63B3BB69-23CF-44E3-9099-C40C66FF867C}">
                  <a14:compatExt spid="_x0000_s25613"/>
                </a:ext>
                <a:ext uri="{FF2B5EF4-FFF2-40B4-BE49-F238E27FC236}">
                  <a16:creationId xmlns:a16="http://schemas.microsoft.com/office/drawing/2014/main" id="{00000000-0008-0000-0500-00000D6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Model</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9</xdr:col>
      <xdr:colOff>317500</xdr:colOff>
      <xdr:row>0</xdr:row>
      <xdr:rowOff>1</xdr:rowOff>
    </xdr:from>
    <xdr:to>
      <xdr:col>14</xdr:col>
      <xdr:colOff>0</xdr:colOff>
      <xdr:row>8</xdr:row>
      <xdr:rowOff>158751</xdr:rowOff>
    </xdr:to>
    <xdr:graphicFrame macro="">
      <xdr:nvGraphicFramePr>
        <xdr:cNvPr id="3158" name="Chart 1">
          <a:extLst>
            <a:ext uri="{FF2B5EF4-FFF2-40B4-BE49-F238E27FC236}">
              <a16:creationId xmlns:a16="http://schemas.microsoft.com/office/drawing/2014/main" id="{00000000-0008-0000-0600-0000560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0</xdr:colOff>
      <xdr:row>0</xdr:row>
      <xdr:rowOff>0</xdr:rowOff>
    </xdr:from>
    <xdr:to>
      <xdr:col>19</xdr:col>
      <xdr:colOff>0</xdr:colOff>
      <xdr:row>9</xdr:row>
      <xdr:rowOff>0</xdr:rowOff>
    </xdr:to>
    <xdr:graphicFrame macro="">
      <xdr:nvGraphicFramePr>
        <xdr:cNvPr id="4" name="Chart 1">
          <a:extLst>
            <a:ext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7</xdr:row>
      <xdr:rowOff>0</xdr:rowOff>
    </xdr:from>
    <xdr:to>
      <xdr:col>4</xdr:col>
      <xdr:colOff>0</xdr:colOff>
      <xdr:row>11</xdr:row>
      <xdr:rowOff>57150</xdr:rowOff>
    </xdr:to>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0" y="1289050"/>
          <a:ext cx="2286000" cy="806450"/>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u="sng"/>
            <a:t>Piketty's Three Key Equations:</a:t>
          </a:r>
        </a:p>
        <a:p>
          <a:r>
            <a:rPr lang="en-US" sz="1100">
              <a:latin typeface="Symbol" panose="05050102010706020507" pitchFamily="18" charset="2"/>
            </a:rPr>
            <a:t>a</a:t>
          </a:r>
          <a:r>
            <a:rPr lang="en-US" sz="1100"/>
            <a:t> = r x </a:t>
          </a:r>
          <a:r>
            <a:rPr lang="en-US" sz="1100">
              <a:latin typeface="Symbol" panose="05050102010706020507" pitchFamily="18" charset="2"/>
            </a:rPr>
            <a:t>b</a:t>
          </a:r>
        </a:p>
        <a:p>
          <a:r>
            <a:rPr lang="en-US" sz="1100">
              <a:latin typeface="Symbol" panose="05050102010706020507" pitchFamily="18" charset="2"/>
            </a:rPr>
            <a:t>b</a:t>
          </a:r>
          <a:r>
            <a:rPr lang="en-US" sz="1100" baseline="0"/>
            <a:t> = s/g --&gt; </a:t>
          </a:r>
          <a:r>
            <a:rPr lang="en-US" sz="1100" baseline="0">
              <a:latin typeface="Symbol" panose="05050102010706020507" pitchFamily="18" charset="2"/>
            </a:rPr>
            <a:t>b</a:t>
          </a:r>
          <a:r>
            <a:rPr lang="en-US" sz="1100" baseline="0"/>
            <a:t> = s/(</a:t>
          </a:r>
          <a:r>
            <a:rPr lang="en-US" sz="1100" baseline="0">
              <a:latin typeface="Symbol" panose="05050102010706020507" pitchFamily="18" charset="2"/>
            </a:rPr>
            <a:t>d</a:t>
          </a:r>
          <a:r>
            <a:rPr lang="en-US" sz="1100" baseline="0"/>
            <a:t>+n+g+ng)</a:t>
          </a:r>
        </a:p>
        <a:p>
          <a:r>
            <a:rPr lang="en-US" sz="1100" baseline="0"/>
            <a:t>r &gt; g</a:t>
          </a:r>
          <a:endParaRPr lang="en-US" sz="1100"/>
        </a:p>
      </xdr:txBody>
    </xdr:sp>
    <xdr:clientData/>
  </xdr:twoCellAnchor>
  <xdr:oneCellAnchor>
    <xdr:from>
      <xdr:col>3</xdr:col>
      <xdr:colOff>374650</xdr:colOff>
      <xdr:row>11</xdr:row>
      <xdr:rowOff>19050</xdr:rowOff>
    </xdr:from>
    <xdr:ext cx="1187450" cy="203200"/>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00000000-0008-0000-0600-000003000000}"/>
                </a:ext>
              </a:extLst>
            </xdr:cNvPr>
            <xdr:cNvSpPr txBox="1"/>
          </xdr:nvSpPr>
          <xdr:spPr>
            <a:xfrm>
              <a:off x="1981200" y="2070100"/>
              <a:ext cx="1187450" cy="203200"/>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ParaPr>
                    <m:jc m:val="centerGroup"/>
                  </m:oMathParaPr>
                  <m:oMath xmlns:m="http://schemas.openxmlformats.org/officeDocument/2006/math">
                    <m:r>
                      <a:rPr lang="en-US" sz="1100" b="1" i="1">
                        <a:latin typeface="Cambria Math" panose="02040503050406030204" pitchFamily="18" charset="0"/>
                      </a:rPr>
                      <m:t>𝒀</m:t>
                    </m:r>
                    <m:r>
                      <a:rPr lang="en-US" sz="1100" b="1" i="1">
                        <a:latin typeface="Cambria Math" panose="02040503050406030204" pitchFamily="18" charset="0"/>
                      </a:rPr>
                      <m:t>=</m:t>
                    </m:r>
                    <m:sSup>
                      <m:sSupPr>
                        <m:ctrlPr>
                          <a:rPr lang="en-US" sz="1100" b="1" i="1">
                            <a:solidFill>
                              <a:schemeClr val="tx1"/>
                            </a:solidFill>
                            <a:effectLst/>
                            <a:latin typeface="Cambria Math" panose="02040503050406030204" pitchFamily="18" charset="0"/>
                            <a:ea typeface="+mn-ea"/>
                            <a:cs typeface="+mn-cs"/>
                          </a:rPr>
                        </m:ctrlPr>
                      </m:sSupPr>
                      <m:e>
                        <m:d>
                          <m:dPr>
                            <m:ctrlPr>
                              <a:rPr lang="en-US" sz="1100" b="1" i="1">
                                <a:solidFill>
                                  <a:schemeClr val="tx1"/>
                                </a:solidFill>
                                <a:effectLst/>
                                <a:latin typeface="Cambria Math" panose="02040503050406030204" pitchFamily="18" charset="0"/>
                                <a:ea typeface="+mn-ea"/>
                                <a:cs typeface="+mn-cs"/>
                              </a:rPr>
                            </m:ctrlPr>
                          </m:dPr>
                          <m:e>
                            <m:r>
                              <a:rPr lang="en-US" sz="1100" b="1" i="1">
                                <a:solidFill>
                                  <a:schemeClr val="tx1"/>
                                </a:solidFill>
                                <a:effectLst/>
                                <a:latin typeface="Cambria Math" panose="02040503050406030204" pitchFamily="18" charset="0"/>
                                <a:ea typeface="+mn-ea"/>
                                <a:cs typeface="+mn-cs"/>
                              </a:rPr>
                              <m:t>𝑨𝑳</m:t>
                            </m:r>
                          </m:e>
                        </m:d>
                      </m:e>
                      <m:sup>
                        <m:r>
                          <a:rPr lang="en-US" sz="1100" b="1" i="1">
                            <a:solidFill>
                              <a:schemeClr val="tx1"/>
                            </a:solidFill>
                            <a:effectLst/>
                            <a:latin typeface="Cambria Math" panose="02040503050406030204" pitchFamily="18" charset="0"/>
                            <a:ea typeface="+mn-ea"/>
                            <a:cs typeface="+mn-cs"/>
                          </a:rPr>
                          <m:t>𝟏</m:t>
                        </m:r>
                        <m:r>
                          <a:rPr lang="en-US" sz="1100" b="1" i="1">
                            <a:solidFill>
                              <a:schemeClr val="tx1"/>
                            </a:solidFill>
                            <a:effectLst/>
                            <a:latin typeface="Cambria Math" panose="02040503050406030204" pitchFamily="18" charset="0"/>
                            <a:ea typeface="+mn-ea"/>
                            <a:cs typeface="+mn-cs"/>
                          </a:rPr>
                          <m:t>−</m:t>
                        </m:r>
                        <m:r>
                          <a:rPr lang="en-US" sz="1100" b="1" i="1">
                            <a:solidFill>
                              <a:schemeClr val="tx1"/>
                            </a:solidFill>
                            <a:effectLst/>
                            <a:latin typeface="Cambria Math" panose="02040503050406030204" pitchFamily="18" charset="0"/>
                            <a:ea typeface="Cambria Math" panose="02040503050406030204" pitchFamily="18" charset="0"/>
                            <a:cs typeface="+mn-cs"/>
                          </a:rPr>
                          <m:t>𝜶</m:t>
                        </m:r>
                      </m:sup>
                    </m:sSup>
                    <m:sSup>
                      <m:sSupPr>
                        <m:ctrlPr>
                          <a:rPr lang="en-US" sz="1100" b="1" i="1">
                            <a:solidFill>
                              <a:schemeClr val="tx1"/>
                            </a:solidFill>
                            <a:effectLst/>
                            <a:latin typeface="Cambria Math" panose="02040503050406030204" pitchFamily="18" charset="0"/>
                            <a:ea typeface="+mn-ea"/>
                            <a:cs typeface="+mn-cs"/>
                          </a:rPr>
                        </m:ctrlPr>
                      </m:sSupPr>
                      <m:e>
                        <m:r>
                          <a:rPr lang="en-US" sz="1100" b="1" i="1">
                            <a:solidFill>
                              <a:schemeClr val="tx1"/>
                            </a:solidFill>
                            <a:effectLst/>
                            <a:latin typeface="Cambria Math" panose="02040503050406030204" pitchFamily="18" charset="0"/>
                            <a:ea typeface="+mn-ea"/>
                            <a:cs typeface="+mn-cs"/>
                          </a:rPr>
                          <m:t>𝑲</m:t>
                        </m:r>
                      </m:e>
                      <m:sup>
                        <m:r>
                          <a:rPr lang="en-US" sz="1100" b="1" i="1">
                            <a:solidFill>
                              <a:schemeClr val="tx1"/>
                            </a:solidFill>
                            <a:effectLst/>
                            <a:latin typeface="Cambria Math" panose="02040503050406030204" pitchFamily="18" charset="0"/>
                            <a:ea typeface="+mn-ea"/>
                            <a:cs typeface="+mn-cs"/>
                          </a:rPr>
                          <m:t>𝜶</m:t>
                        </m:r>
                      </m:sup>
                    </m:sSup>
                  </m:oMath>
                </m:oMathPara>
              </a14:m>
              <a:endParaRPr lang="en-US" sz="1100" b="1"/>
            </a:p>
          </xdr:txBody>
        </xdr:sp>
      </mc:Choice>
      <mc:Fallback xmlns="">
        <xdr:sp macro="" textlink="">
          <xdr:nvSpPr>
            <xdr:cNvPr id="3" name="TextBox 2"/>
            <xdr:cNvSpPr txBox="1"/>
          </xdr:nvSpPr>
          <xdr:spPr>
            <a:xfrm>
              <a:off x="1981200" y="2070100"/>
              <a:ext cx="1187450" cy="203200"/>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r>
                <a:rPr lang="en-US" sz="1100" b="1" i="0">
                  <a:latin typeface="Cambria Math" panose="02040503050406030204" pitchFamily="18" charset="0"/>
                </a:rPr>
                <a:t>𝒀=</a:t>
              </a:r>
              <a:r>
                <a:rPr lang="en-US" sz="1100" b="1" i="0">
                  <a:solidFill>
                    <a:schemeClr val="tx1"/>
                  </a:solidFill>
                  <a:effectLst/>
                  <a:latin typeface="Cambria Math" panose="02040503050406030204" pitchFamily="18" charset="0"/>
                  <a:ea typeface="+mn-ea"/>
                  <a:cs typeface="+mn-cs"/>
                </a:rPr>
                <a:t>(𝑨𝑳)^(𝟏−</a:t>
              </a:r>
              <a:r>
                <a:rPr lang="en-US" sz="1100" b="1" i="0">
                  <a:solidFill>
                    <a:schemeClr val="tx1"/>
                  </a:solidFill>
                  <a:effectLst/>
                  <a:latin typeface="Cambria Math" panose="02040503050406030204" pitchFamily="18" charset="0"/>
                  <a:ea typeface="Cambria Math" panose="02040503050406030204" pitchFamily="18" charset="0"/>
                  <a:cs typeface="+mn-cs"/>
                </a:rPr>
                <a:t>𝜶</a:t>
              </a:r>
              <a:r>
                <a:rPr lang="en-US" sz="1100" b="1" i="0">
                  <a:solidFill>
                    <a:schemeClr val="tx1"/>
                  </a:solidFill>
                  <a:effectLst/>
                  <a:latin typeface="Cambria Math" panose="02040503050406030204" pitchFamily="18" charset="0"/>
                  <a:ea typeface="+mn-ea"/>
                  <a:cs typeface="+mn-cs"/>
                </a:rPr>
                <a:t>) 𝑲^𝜶</a:t>
              </a:r>
              <a:endParaRPr lang="en-US" sz="1100" b="1"/>
            </a:p>
          </xdr:txBody>
        </xdr:sp>
      </mc:Fallback>
    </mc:AlternateContent>
    <xdr:clientData/>
  </xdr:oneCellAnchor>
  <mc:AlternateContent xmlns:mc="http://schemas.openxmlformats.org/markup-compatibility/2006">
    <mc:Choice xmlns:a14="http://schemas.microsoft.com/office/drawing/2010/main" Requires="a14">
      <xdr:twoCellAnchor>
        <xdr:from>
          <xdr:col>6</xdr:col>
          <xdr:colOff>0</xdr:colOff>
          <xdr:row>1</xdr:row>
          <xdr:rowOff>114300</xdr:rowOff>
        </xdr:from>
        <xdr:to>
          <xdr:col>7</xdr:col>
          <xdr:colOff>480060</xdr:colOff>
          <xdr:row>3</xdr:row>
          <xdr:rowOff>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600-000001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Model Intro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175260</xdr:rowOff>
        </xdr:from>
        <xdr:to>
          <xdr:col>7</xdr:col>
          <xdr:colOff>495300</xdr:colOff>
          <xdr:row>5</xdr:row>
          <xdr:rowOff>38100</xdr:rowOff>
        </xdr:to>
        <xdr:sp macro="" textlink="">
          <xdr:nvSpPr>
            <xdr:cNvPr id="28674" name="Button 2" hidden="1">
              <a:extLst>
                <a:ext uri="{63B3BB69-23CF-44E3-9099-C40C66FF867C}">
                  <a14:compatExt spid="_x0000_s28674"/>
                </a:ext>
                <a:ext uri="{FF2B5EF4-FFF2-40B4-BE49-F238E27FC236}">
                  <a16:creationId xmlns:a16="http://schemas.microsoft.com/office/drawing/2014/main" id="{00000000-0008-0000-0600-000002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K Destruction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6</xdr:row>
          <xdr:rowOff>7620</xdr:rowOff>
        </xdr:from>
        <xdr:to>
          <xdr:col>7</xdr:col>
          <xdr:colOff>510540</xdr:colOff>
          <xdr:row>7</xdr:row>
          <xdr:rowOff>53340</xdr:rowOff>
        </xdr:to>
        <xdr:sp macro="" textlink="">
          <xdr:nvSpPr>
            <xdr:cNvPr id="28675" name="Button 3" hidden="1">
              <a:extLst>
                <a:ext uri="{63B3BB69-23CF-44E3-9099-C40C66FF867C}">
                  <a14:compatExt spid="_x0000_s28675"/>
                </a:ext>
                <a:ext uri="{FF2B5EF4-FFF2-40B4-BE49-F238E27FC236}">
                  <a16:creationId xmlns:a16="http://schemas.microsoft.com/office/drawing/2014/main" id="{00000000-0008-0000-0600-000003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Future Beta</a:t>
              </a:r>
            </a:p>
          </xdr:txBody>
        </xdr:sp>
        <xdr:clientData fPrintsWithSheet="0"/>
      </xdr:twoCellAnchor>
    </mc:Choice>
    <mc:Fallback/>
  </mc:AlternateContent>
  <xdr:twoCellAnchor>
    <xdr:from>
      <xdr:col>19</xdr:col>
      <xdr:colOff>44450</xdr:colOff>
      <xdr:row>0</xdr:row>
      <xdr:rowOff>0</xdr:rowOff>
    </xdr:from>
    <xdr:to>
      <xdr:col>22</xdr:col>
      <xdr:colOff>514350</xdr:colOff>
      <xdr:row>9</xdr:row>
      <xdr:rowOff>0</xdr:rowOff>
    </xdr:to>
    <xdr:graphicFrame macro="">
      <xdr:nvGraphicFramePr>
        <xdr:cNvPr id="9" name="Chart 1">
          <a:extLst>
            <a:ext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49</xdr:col>
          <xdr:colOff>0</xdr:colOff>
          <xdr:row>8</xdr:row>
          <xdr:rowOff>0</xdr:rowOff>
        </xdr:from>
        <xdr:to>
          <xdr:col>49</xdr:col>
          <xdr:colOff>518160</xdr:colOff>
          <xdr:row>9</xdr:row>
          <xdr:rowOff>83820</xdr:rowOff>
        </xdr:to>
        <xdr:sp macro="" textlink="">
          <xdr:nvSpPr>
            <xdr:cNvPr id="28676" name="FinalButton" hidden="1">
              <a:extLst>
                <a:ext uri="{63B3BB69-23CF-44E3-9099-C40C66FF867C}">
                  <a14:compatExt spid="_x0000_s28676"/>
                </a:ext>
                <a:ext uri="{FF2B5EF4-FFF2-40B4-BE49-F238E27FC236}">
                  <a16:creationId xmlns:a16="http://schemas.microsoft.com/office/drawing/2014/main" id="{00000000-0008-0000-0600-000004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Final</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9</xdr:col>
      <xdr:colOff>6350</xdr:colOff>
      <xdr:row>0</xdr:row>
      <xdr:rowOff>0</xdr:rowOff>
    </xdr:from>
    <xdr:to>
      <xdr:col>16</xdr:col>
      <xdr:colOff>421367</xdr:colOff>
      <xdr:row>7</xdr:row>
      <xdr:rowOff>5557</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5492750" y="0"/>
          <a:ext cx="4682217" cy="130095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ww.depauw.edu/Users/hbarreto/Documents/macro/excelworkbooks/SolowModel/TechProgres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www.depauw.edu/Users/hbarreto/Google%20Drive/ProfWork/Piketty/TechProgress.v3.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Japan"/>
      <sheetName val="ToDo3"/>
      <sheetName val="ToDo4"/>
      <sheetName val="ToDo5"/>
      <sheetName val="ToDo8"/>
      <sheetName val="C"/>
      <sheetName val="B"/>
      <sheetName val="EqPath (2)"/>
      <sheetName val="Intro"/>
      <sheetName val="Tech"/>
      <sheetName val="Algebra"/>
      <sheetName val="EqPath"/>
      <sheetName val="USA"/>
      <sheetName val="Zerog"/>
      <sheetName val="LKCobb"/>
      <sheetName val="ShockA"/>
      <sheetName val="ToDo"/>
      <sheetName val="ParaSets"/>
      <sheetName val="Final"/>
      <sheetName val="Future"/>
      <sheetName val="Example3"/>
      <sheetName val="Compare"/>
      <sheetName val="Population"/>
      <sheetName val="GDP"/>
      <sheetName val="PerCapita GDP"/>
      <sheetName val="BarroTry"/>
      <sheetName val="Convergence"/>
      <sheetName val="NormPopulation"/>
      <sheetName val="NormGDP"/>
      <sheetName val="NormPerCapita GDP"/>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ow r="6">
          <cell r="B6">
            <v>0.5</v>
          </cell>
        </row>
        <row r="7">
          <cell r="B7">
            <v>0.3</v>
          </cell>
        </row>
        <row r="8">
          <cell r="B8">
            <v>0.1</v>
          </cell>
        </row>
        <row r="10">
          <cell r="B10">
            <v>4</v>
          </cell>
        </row>
      </sheetData>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KCES"/>
      <sheetName val="LKCobbNetS Corrected"/>
      <sheetName val="LKCobbNetS"/>
      <sheetName val="LKCobb"/>
      <sheetName val="EqPath"/>
    </sheetNames>
    <sheetDataSet>
      <sheetData sheetId="0">
        <row r="7">
          <cell r="F7">
            <v>0.1</v>
          </cell>
        </row>
      </sheetData>
      <sheetData sheetId="1" refreshError="1"/>
      <sheetData sheetId="2" refreshError="1"/>
      <sheetData sheetId="3" refreshError="1"/>
      <sheetData sheetId="4">
        <row r="4">
          <cell r="B4">
            <v>0.01</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s://player.vimeo.com/video/238782395" TargetMode="External"/><Relationship Id="rId13" Type="http://schemas.openxmlformats.org/officeDocument/2006/relationships/ctrlProp" Target="../ctrlProps/ctrlProp5.xml"/><Relationship Id="rId3" Type="http://schemas.openxmlformats.org/officeDocument/2006/relationships/hyperlink" Target="http://www.depauw.edu/learn/econexcel/" TargetMode="External"/><Relationship Id="rId7" Type="http://schemas.openxmlformats.org/officeDocument/2006/relationships/hyperlink" Target="mailto:hbarreto@depauw,edu" TargetMode="External"/><Relationship Id="rId12" Type="http://schemas.openxmlformats.org/officeDocument/2006/relationships/ctrlProp" Target="../ctrlProps/ctrlProp4.xml"/><Relationship Id="rId2" Type="http://schemas.openxmlformats.org/officeDocument/2006/relationships/hyperlink" Target="https://www.amazon.com/Capital-Twenty-First-Century-Thomas-Piketty/dp/1491591617" TargetMode="External"/><Relationship Id="rId1" Type="http://schemas.openxmlformats.org/officeDocument/2006/relationships/hyperlink" Target="http://www.amazon.com/Capital-Twenty-First-Century-Thomas-Piketty/dp/1491591617" TargetMode="External"/><Relationship Id="rId6" Type="http://schemas.openxmlformats.org/officeDocument/2006/relationships/hyperlink" Target="mailto:hbarreto@depauw,edu" TargetMode="External"/><Relationship Id="rId11" Type="http://schemas.openxmlformats.org/officeDocument/2006/relationships/vmlDrawing" Target="../drawings/vmlDrawing2.vml"/><Relationship Id="rId5" Type="http://schemas.openxmlformats.org/officeDocument/2006/relationships/hyperlink" Target="mailto:hbarreto@depauw,edu" TargetMode="External"/><Relationship Id="rId10" Type="http://schemas.openxmlformats.org/officeDocument/2006/relationships/drawing" Target="../drawings/drawing2.xml"/><Relationship Id="rId4" Type="http://schemas.openxmlformats.org/officeDocument/2006/relationships/hyperlink" Target="mailto:hbarreto@depauw,edu"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4.bin"/><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hyperlink" Target="http://piketty.pse.ens.fr/en/capital21c2" TargetMode="External"/><Relationship Id="rId21" Type="http://schemas.openxmlformats.org/officeDocument/2006/relationships/ctrlProp" Target="../ctrlProps/ctrlProp18.xml"/><Relationship Id="rId7" Type="http://schemas.openxmlformats.org/officeDocument/2006/relationships/hyperlink" Target="https://player.vimeo.com/video/238606237" TargetMode="Externa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hyperlink" Target="http://piketty.pse.ens.fr/en/capital21c2" TargetMode="Externa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1" Type="http://schemas.openxmlformats.org/officeDocument/2006/relationships/hyperlink" Target="http://piketty.pse.ens.fr/en/capital21c2" TargetMode="External"/><Relationship Id="rId6" Type="http://schemas.openxmlformats.org/officeDocument/2006/relationships/hyperlink" Target="https://player.vimeo.com/video/238959182" TargetMode="Externa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hyperlink" Target="http://academic.depauw.edu/hbarreto_web/238959182.html" TargetMode="Externa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10" Type="http://schemas.openxmlformats.org/officeDocument/2006/relationships/vmlDrawing" Target="../drawings/vmlDrawing4.v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hyperlink" Target="http://wid.world/" TargetMode="External"/><Relationship Id="rId9" Type="http://schemas.openxmlformats.org/officeDocument/2006/relationships/drawing" Target="../drawings/drawing4.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s>
</file>

<file path=xl/worksheets/_rels/sheet5.xml.rels><?xml version="1.0" encoding="UTF-8" standalone="yes"?>
<Relationships xmlns="http://schemas.openxmlformats.org/package/2006/relationships"><Relationship Id="rId13" Type="http://schemas.openxmlformats.org/officeDocument/2006/relationships/oleObject" Target="../embeddings/oleObject5.bin"/><Relationship Id="rId18" Type="http://schemas.openxmlformats.org/officeDocument/2006/relationships/image" Target="../media/image10.emf"/><Relationship Id="rId26" Type="http://schemas.openxmlformats.org/officeDocument/2006/relationships/image" Target="../media/image14.emf"/><Relationship Id="rId21" Type="http://schemas.openxmlformats.org/officeDocument/2006/relationships/oleObject" Target="../embeddings/oleObject9.bin"/><Relationship Id="rId34" Type="http://schemas.openxmlformats.org/officeDocument/2006/relationships/image" Target="../media/image18.emf"/><Relationship Id="rId7" Type="http://schemas.openxmlformats.org/officeDocument/2006/relationships/oleObject" Target="../embeddings/oleObject2.bin"/><Relationship Id="rId12" Type="http://schemas.openxmlformats.org/officeDocument/2006/relationships/image" Target="../media/image7.emf"/><Relationship Id="rId17" Type="http://schemas.openxmlformats.org/officeDocument/2006/relationships/oleObject" Target="../embeddings/oleObject7.bin"/><Relationship Id="rId25" Type="http://schemas.openxmlformats.org/officeDocument/2006/relationships/oleObject" Target="../embeddings/oleObject11.bin"/><Relationship Id="rId33" Type="http://schemas.openxmlformats.org/officeDocument/2006/relationships/oleObject" Target="../embeddings/oleObject15.bin"/><Relationship Id="rId38" Type="http://schemas.openxmlformats.org/officeDocument/2006/relationships/ctrlProp" Target="../ctrlProps/ctrlProp30.xml"/><Relationship Id="rId2" Type="http://schemas.openxmlformats.org/officeDocument/2006/relationships/printerSettings" Target="../printerSettings/printerSettings5.bin"/><Relationship Id="rId16" Type="http://schemas.openxmlformats.org/officeDocument/2006/relationships/image" Target="../media/image9.emf"/><Relationship Id="rId20" Type="http://schemas.openxmlformats.org/officeDocument/2006/relationships/image" Target="../media/image11.emf"/><Relationship Id="rId29" Type="http://schemas.openxmlformats.org/officeDocument/2006/relationships/oleObject" Target="../embeddings/oleObject13.bin"/><Relationship Id="rId1" Type="http://schemas.openxmlformats.org/officeDocument/2006/relationships/hyperlink" Target="http://www.depauw.edu/site/learn/macroexcel/" TargetMode="External"/><Relationship Id="rId6" Type="http://schemas.openxmlformats.org/officeDocument/2006/relationships/image" Target="../media/image4.emf"/><Relationship Id="rId11" Type="http://schemas.openxmlformats.org/officeDocument/2006/relationships/oleObject" Target="../embeddings/oleObject4.bin"/><Relationship Id="rId24" Type="http://schemas.openxmlformats.org/officeDocument/2006/relationships/image" Target="../media/image13.emf"/><Relationship Id="rId32" Type="http://schemas.openxmlformats.org/officeDocument/2006/relationships/image" Target="../media/image17.emf"/><Relationship Id="rId37" Type="http://schemas.openxmlformats.org/officeDocument/2006/relationships/ctrlProp" Target="../ctrlProps/ctrlProp29.xml"/><Relationship Id="rId5" Type="http://schemas.openxmlformats.org/officeDocument/2006/relationships/oleObject" Target="../embeddings/oleObject1.bin"/><Relationship Id="rId15" Type="http://schemas.openxmlformats.org/officeDocument/2006/relationships/oleObject" Target="../embeddings/oleObject6.bin"/><Relationship Id="rId23" Type="http://schemas.openxmlformats.org/officeDocument/2006/relationships/oleObject" Target="../embeddings/oleObject10.bin"/><Relationship Id="rId28" Type="http://schemas.openxmlformats.org/officeDocument/2006/relationships/image" Target="../media/image15.emf"/><Relationship Id="rId36" Type="http://schemas.openxmlformats.org/officeDocument/2006/relationships/image" Target="../media/image19.emf"/><Relationship Id="rId10" Type="http://schemas.openxmlformats.org/officeDocument/2006/relationships/image" Target="../media/image6.emf"/><Relationship Id="rId19" Type="http://schemas.openxmlformats.org/officeDocument/2006/relationships/oleObject" Target="../embeddings/oleObject8.bin"/><Relationship Id="rId31" Type="http://schemas.openxmlformats.org/officeDocument/2006/relationships/oleObject" Target="../embeddings/oleObject14.bin"/><Relationship Id="rId4" Type="http://schemas.openxmlformats.org/officeDocument/2006/relationships/vmlDrawing" Target="../drawings/vmlDrawing5.vml"/><Relationship Id="rId9" Type="http://schemas.openxmlformats.org/officeDocument/2006/relationships/oleObject" Target="../embeddings/oleObject3.bin"/><Relationship Id="rId14" Type="http://schemas.openxmlformats.org/officeDocument/2006/relationships/image" Target="../media/image8.emf"/><Relationship Id="rId22" Type="http://schemas.openxmlformats.org/officeDocument/2006/relationships/image" Target="../media/image12.emf"/><Relationship Id="rId27" Type="http://schemas.openxmlformats.org/officeDocument/2006/relationships/oleObject" Target="../embeddings/oleObject12.bin"/><Relationship Id="rId30" Type="http://schemas.openxmlformats.org/officeDocument/2006/relationships/image" Target="../media/image16.emf"/><Relationship Id="rId35" Type="http://schemas.openxmlformats.org/officeDocument/2006/relationships/oleObject" Target="../embeddings/oleObject16.bin"/><Relationship Id="rId8" Type="http://schemas.openxmlformats.org/officeDocument/2006/relationships/image" Target="../media/image5.emf"/><Relationship Id="rId3"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34.xml"/><Relationship Id="rId13" Type="http://schemas.openxmlformats.org/officeDocument/2006/relationships/ctrlProp" Target="../ctrlProps/ctrlProp39.xml"/><Relationship Id="rId3" Type="http://schemas.openxmlformats.org/officeDocument/2006/relationships/drawing" Target="../drawings/drawing6.xml"/><Relationship Id="rId7" Type="http://schemas.openxmlformats.org/officeDocument/2006/relationships/ctrlProp" Target="../ctrlProps/ctrlProp33.xml"/><Relationship Id="rId12" Type="http://schemas.openxmlformats.org/officeDocument/2006/relationships/ctrlProp" Target="../ctrlProps/ctrlProp38.xml"/><Relationship Id="rId2" Type="http://schemas.openxmlformats.org/officeDocument/2006/relationships/printerSettings" Target="../printerSettings/printerSettings6.bin"/><Relationship Id="rId16" Type="http://schemas.openxmlformats.org/officeDocument/2006/relationships/ctrlProp" Target="../ctrlProps/ctrlProp42.xml"/><Relationship Id="rId1" Type="http://schemas.openxmlformats.org/officeDocument/2006/relationships/hyperlink" Target="https://www.nobelprize.org/nobel_prizes/economic-sciences/laureates/1987/solow-bio.html" TargetMode="External"/><Relationship Id="rId6" Type="http://schemas.openxmlformats.org/officeDocument/2006/relationships/ctrlProp" Target="../ctrlProps/ctrlProp32.xml"/><Relationship Id="rId11" Type="http://schemas.openxmlformats.org/officeDocument/2006/relationships/ctrlProp" Target="../ctrlProps/ctrlProp37.xml"/><Relationship Id="rId5" Type="http://schemas.openxmlformats.org/officeDocument/2006/relationships/ctrlProp" Target="../ctrlProps/ctrlProp31.xml"/><Relationship Id="rId15" Type="http://schemas.openxmlformats.org/officeDocument/2006/relationships/ctrlProp" Target="../ctrlProps/ctrlProp41.xml"/><Relationship Id="rId10" Type="http://schemas.openxmlformats.org/officeDocument/2006/relationships/ctrlProp" Target="../ctrlProps/ctrlProp36.xml"/><Relationship Id="rId4" Type="http://schemas.openxmlformats.org/officeDocument/2006/relationships/vmlDrawing" Target="../drawings/vmlDrawing6.vml"/><Relationship Id="rId9" Type="http://schemas.openxmlformats.org/officeDocument/2006/relationships/ctrlProp" Target="../ctrlProps/ctrlProp35.xml"/><Relationship Id="rId14" Type="http://schemas.openxmlformats.org/officeDocument/2006/relationships/ctrlProp" Target="../ctrlProps/ctrlProp40.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44.xml"/><Relationship Id="rId3" Type="http://schemas.openxmlformats.org/officeDocument/2006/relationships/hyperlink" Target="https://player.vimeo.com/video/240409378" TargetMode="External"/><Relationship Id="rId7" Type="http://schemas.openxmlformats.org/officeDocument/2006/relationships/ctrlProp" Target="../ctrlProps/ctrlProp43.xml"/><Relationship Id="rId2" Type="http://schemas.openxmlformats.org/officeDocument/2006/relationships/hyperlink" Target="https://player.vimeo.com/video/240381464" TargetMode="External"/><Relationship Id="rId1" Type="http://schemas.openxmlformats.org/officeDocument/2006/relationships/hyperlink" Target="https://player.vimeo.com/video/239720469" TargetMode="External"/><Relationship Id="rId6" Type="http://schemas.openxmlformats.org/officeDocument/2006/relationships/vmlDrawing" Target="../drawings/vmlDrawing7.vml"/><Relationship Id="rId5" Type="http://schemas.openxmlformats.org/officeDocument/2006/relationships/drawing" Target="../drawings/drawing7.xml"/><Relationship Id="rId10" Type="http://schemas.openxmlformats.org/officeDocument/2006/relationships/ctrlProp" Target="../ctrlProps/ctrlProp46.xml"/><Relationship Id="rId4" Type="http://schemas.openxmlformats.org/officeDocument/2006/relationships/printerSettings" Target="../printerSettings/printerSettings7.bin"/><Relationship Id="rId9" Type="http://schemas.openxmlformats.org/officeDocument/2006/relationships/ctrlProp" Target="../ctrlProps/ctrlProp45.xml"/></Relationships>
</file>

<file path=xl/worksheets/_rels/sheet8.xml.rels><?xml version="1.0" encoding="UTF-8" standalone="yes"?>
<Relationships xmlns="http://schemas.openxmlformats.org/package/2006/relationships"><Relationship Id="rId8" Type="http://schemas.openxmlformats.org/officeDocument/2006/relationships/hyperlink" Target="https://www.amazon.com/Anti-Piketty-Capital-21st-Century-Emmanuel-Martin/dp/1944424253" TargetMode="External"/><Relationship Id="rId3" Type="http://schemas.openxmlformats.org/officeDocument/2006/relationships/hyperlink" Target="http://cepr.org/active/publications/policy_insights/viewpi.php?pino=63" TargetMode="External"/><Relationship Id="rId7" Type="http://schemas.openxmlformats.org/officeDocument/2006/relationships/hyperlink" Target="http://www.cc.com/video-clips/e301vf/the-colbert-report-thomas-piketty" TargetMode="External"/><Relationship Id="rId2" Type="http://schemas.openxmlformats.org/officeDocument/2006/relationships/hyperlink" Target="https://www.amazon.com/Second-Machine-Age-Prosperity-Technologies/dp/B00HFX8JMQ" TargetMode="External"/><Relationship Id="rId1" Type="http://schemas.openxmlformats.org/officeDocument/2006/relationships/hyperlink" Target="https://www.amazon.com/Rise-Fall-American-Growth-Standard/dp/B01ITPUXEU" TargetMode="External"/><Relationship Id="rId6" Type="http://schemas.openxmlformats.org/officeDocument/2006/relationships/hyperlink" Target="http://www.cc.com/video-clips/e301vf/the-colbert-report-thomas-piketty" TargetMode="External"/><Relationship Id="rId11" Type="http://schemas.openxmlformats.org/officeDocument/2006/relationships/drawing" Target="../drawings/drawing8.xml"/><Relationship Id="rId5" Type="http://schemas.openxmlformats.org/officeDocument/2006/relationships/hyperlink" Target="http://www.amazon.com/Second-Machine-Age-Prosperity-Technologies/dp/0393239357" TargetMode="External"/><Relationship Id="rId10" Type="http://schemas.openxmlformats.org/officeDocument/2006/relationships/printerSettings" Target="../printerSettings/printerSettings8.bin"/><Relationship Id="rId4" Type="http://schemas.openxmlformats.org/officeDocument/2006/relationships/hyperlink" Target="http://www.amazon.com/Capital-Twenty-First-Century-Thomas-Piketty/dp/1491534656" TargetMode="External"/><Relationship Id="rId9" Type="http://schemas.openxmlformats.org/officeDocument/2006/relationships/hyperlink" Target="http://www.amazon.com/Anti-Piketty-Capital-21st-Century-Emmanuel-Martin/dp/194442425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N214"/>
  <sheetViews>
    <sheetView workbookViewId="0">
      <pane ySplit="16" topLeftCell="A206" activePane="bottomLeft" state="frozen"/>
      <selection pane="bottomLeft" activeCell="I15" sqref="I15"/>
    </sheetView>
  </sheetViews>
  <sheetFormatPr defaultRowHeight="13.2"/>
  <sheetData>
    <row r="1" spans="1:14" ht="16.2" thickBot="1">
      <c r="A1" s="26" t="s">
        <v>23</v>
      </c>
      <c r="B1" s="5"/>
      <c r="C1" s="5"/>
      <c r="D1" s="5"/>
    </row>
    <row r="2" spans="1:14" ht="13.8" thickBot="1">
      <c r="A2" s="25" t="s">
        <v>9</v>
      </c>
      <c r="B2" s="24"/>
      <c r="C2" s="24"/>
      <c r="D2" s="23"/>
      <c r="F2" s="1" t="s">
        <v>33</v>
      </c>
    </row>
    <row r="3" spans="1:14">
      <c r="A3" s="17" t="s">
        <v>2</v>
      </c>
      <c r="B3" s="20">
        <v>0.01</v>
      </c>
      <c r="C3" s="22" t="s">
        <v>17</v>
      </c>
      <c r="D3" s="21"/>
      <c r="F3" s="1" t="s">
        <v>31</v>
      </c>
    </row>
    <row r="4" spans="1:14">
      <c r="A4" s="17" t="s">
        <v>3</v>
      </c>
      <c r="B4" s="15">
        <v>0.01</v>
      </c>
      <c r="C4" s="4" t="s">
        <v>8</v>
      </c>
      <c r="D4" s="19"/>
      <c r="F4" s="1" t="s">
        <v>36</v>
      </c>
    </row>
    <row r="5" spans="1:14" ht="13.8" thickBot="1">
      <c r="A5" s="17" t="s">
        <v>16</v>
      </c>
      <c r="B5" s="15">
        <v>1</v>
      </c>
      <c r="C5" s="3" t="s">
        <v>15</v>
      </c>
      <c r="D5" s="16"/>
      <c r="F5" s="1" t="s">
        <v>32</v>
      </c>
    </row>
    <row r="6" spans="1:14" ht="13.8" thickBot="1">
      <c r="A6" s="18" t="s">
        <v>25</v>
      </c>
      <c r="B6" s="15">
        <v>0.3</v>
      </c>
      <c r="C6" s="3" t="s">
        <v>6</v>
      </c>
      <c r="D6" s="16"/>
      <c r="E6" s="34" t="s">
        <v>34</v>
      </c>
      <c r="F6" s="35">
        <v>0.7</v>
      </c>
      <c r="G6" s="36" t="s">
        <v>24</v>
      </c>
      <c r="H6" s="37"/>
    </row>
    <row r="7" spans="1:14" ht="13.8" thickBot="1">
      <c r="A7" s="17" t="s">
        <v>5</v>
      </c>
      <c r="B7" s="15">
        <v>0.3</v>
      </c>
      <c r="C7" s="3" t="s">
        <v>18</v>
      </c>
      <c r="D7" s="16"/>
      <c r="E7" s="38" t="s">
        <v>21</v>
      </c>
      <c r="F7" s="35">
        <v>0.1</v>
      </c>
      <c r="G7" s="35" t="e">
        <f>1/(1-rho)</f>
        <v>#NAME?</v>
      </c>
      <c r="H7" s="36" t="s">
        <v>35</v>
      </c>
    </row>
    <row r="8" spans="1:14" ht="13.8" thickBot="1">
      <c r="A8" s="14" t="s">
        <v>4</v>
      </c>
      <c r="B8" s="8">
        <v>0.1</v>
      </c>
      <c r="C8" s="2" t="s">
        <v>19</v>
      </c>
      <c r="D8" s="13"/>
    </row>
    <row r="9" spans="1:14">
      <c r="A9" s="12" t="s">
        <v>14</v>
      </c>
      <c r="B9" s="11"/>
      <c r="C9" s="11"/>
      <c r="D9" s="10"/>
    </row>
    <row r="10" spans="1:14" ht="13.8" thickBot="1">
      <c r="A10" s="9" t="s">
        <v>13</v>
      </c>
      <c r="B10" s="8">
        <v>3.7999763397299264</v>
      </c>
      <c r="C10" s="27" t="s">
        <v>26</v>
      </c>
      <c r="D10" s="28">
        <v>1</v>
      </c>
    </row>
    <row r="12" spans="1:14">
      <c r="N12" s="1"/>
    </row>
    <row r="13" spans="1:14" s="30" customFormat="1" ht="13.8" thickBot="1">
      <c r="A13" s="7" t="s">
        <v>1</v>
      </c>
      <c r="B13" s="31" t="s">
        <v>22</v>
      </c>
      <c r="C13" s="31" t="s">
        <v>10</v>
      </c>
      <c r="D13" s="31" t="s">
        <v>0</v>
      </c>
      <c r="E13" s="31" t="s">
        <v>12</v>
      </c>
      <c r="F13" s="31" t="s">
        <v>11</v>
      </c>
      <c r="G13" s="31" t="s">
        <v>27</v>
      </c>
      <c r="H13" s="31" t="s">
        <v>28</v>
      </c>
      <c r="I13" s="31" t="s">
        <v>29</v>
      </c>
      <c r="J13" s="31" t="s">
        <v>30</v>
      </c>
      <c r="K13" s="31" t="s">
        <v>20</v>
      </c>
      <c r="L13" s="29" t="s">
        <v>21</v>
      </c>
      <c r="N13" s="29"/>
    </row>
    <row r="14" spans="1:14" s="30" customFormat="1">
      <c r="A14" s="6">
        <v>2000</v>
      </c>
      <c r="B14" s="30">
        <f>D10</f>
        <v>1</v>
      </c>
      <c r="C14" s="30">
        <f>B10</f>
        <v>3.7999763397299264</v>
      </c>
      <c r="D14" s="30" t="e">
        <f>A*(alpha1*C14^rho+alpha2*B14^rho)^(1/rho)</f>
        <v>#NAME?</v>
      </c>
      <c r="E14" s="30" t="e">
        <f t="shared" ref="E14:E77" si="0">(1-s)*D14</f>
        <v>#NAME?</v>
      </c>
      <c r="F14" s="30" t="e">
        <f t="shared" ref="F14:F77" si="1">s*D14</f>
        <v>#NAME?</v>
      </c>
      <c r="G14" s="30">
        <f t="shared" ref="G14:G77" si="2">dep*C14</f>
        <v>0.37999763397299269</v>
      </c>
      <c r="H14" s="30" t="e">
        <f>F14-G14</f>
        <v>#NAME?</v>
      </c>
      <c r="K14" s="30" t="e">
        <f>C14/D14</f>
        <v>#NAME?</v>
      </c>
      <c r="L14" s="32" t="e">
        <f t="shared" ref="L14:L77" si="3">alpha1/K14</f>
        <v>#NAME?</v>
      </c>
    </row>
    <row r="15" spans="1:14" s="30" customFormat="1">
      <c r="A15" s="30">
        <v>2001</v>
      </c>
      <c r="B15" s="30">
        <f t="shared" ref="B15:B46" si="4">(1+n)*B14</f>
        <v>1.01</v>
      </c>
      <c r="C15" s="30" t="e">
        <f>C14+H14</f>
        <v>#NAME?</v>
      </c>
      <c r="D15" s="30" t="e">
        <f t="shared" ref="D15:D46" si="5">A*(alpha1*C15^rho+alpha2*((1+g)^(A15-$A$14)*B15)^rho)^(1/rho)</f>
        <v>#NAME?</v>
      </c>
      <c r="E15" s="30" t="e">
        <f t="shared" si="0"/>
        <v>#NAME?</v>
      </c>
      <c r="F15" s="30" t="e">
        <f t="shared" si="1"/>
        <v>#NAME?</v>
      </c>
      <c r="G15" s="30" t="e">
        <f t="shared" si="2"/>
        <v>#NAME?</v>
      </c>
      <c r="H15" s="30" t="e">
        <f>F15-G15</f>
        <v>#NAME?</v>
      </c>
      <c r="I15" s="33" t="e">
        <f>(C15-C14)/C14</f>
        <v>#NAME?</v>
      </c>
      <c r="J15" s="33" t="e">
        <f>(D15-D14)/D14</f>
        <v>#NAME?</v>
      </c>
      <c r="K15" s="30" t="e">
        <f t="shared" ref="K15:K78" si="6">C15/D15</f>
        <v>#NAME?</v>
      </c>
      <c r="L15" s="32" t="e">
        <f t="shared" si="3"/>
        <v>#NAME?</v>
      </c>
      <c r="M15" s="30" t="e">
        <f>K15-K14</f>
        <v>#NAME?</v>
      </c>
      <c r="N15" s="39" t="s">
        <v>37</v>
      </c>
    </row>
    <row r="16" spans="1:14" s="30" customFormat="1">
      <c r="A16" s="6">
        <v>2002</v>
      </c>
      <c r="B16" s="30">
        <f t="shared" si="4"/>
        <v>1.0201</v>
      </c>
      <c r="C16" s="30" t="e">
        <f t="shared" ref="C16:C79" si="7">C15+H15</f>
        <v>#NAME?</v>
      </c>
      <c r="D16" s="30" t="e">
        <f t="shared" si="5"/>
        <v>#NAME?</v>
      </c>
      <c r="E16" s="30" t="e">
        <f t="shared" si="0"/>
        <v>#NAME?</v>
      </c>
      <c r="F16" s="30" t="e">
        <f t="shared" si="1"/>
        <v>#NAME?</v>
      </c>
      <c r="G16" s="30" t="e">
        <f t="shared" si="2"/>
        <v>#NAME?</v>
      </c>
      <c r="H16" s="30" t="e">
        <f t="shared" ref="H16:H79" si="8">F16-G16</f>
        <v>#NAME?</v>
      </c>
      <c r="I16" s="33" t="e">
        <f t="shared" ref="I16:I79" si="9">(C16-C15)/C15</f>
        <v>#NAME?</v>
      </c>
      <c r="J16" s="33" t="e">
        <f>(D16-D15)/D15</f>
        <v>#NAME?</v>
      </c>
      <c r="K16" s="30" t="e">
        <f t="shared" si="6"/>
        <v>#NAME?</v>
      </c>
      <c r="L16" s="32" t="e">
        <f t="shared" si="3"/>
        <v>#NAME?</v>
      </c>
    </row>
    <row r="17" spans="1:12" s="30" customFormat="1">
      <c r="A17" s="30">
        <v>2003</v>
      </c>
      <c r="B17" s="30">
        <f t="shared" si="4"/>
        <v>1.0303009999999999</v>
      </c>
      <c r="C17" s="30" t="e">
        <f t="shared" si="7"/>
        <v>#NAME?</v>
      </c>
      <c r="D17" s="30" t="e">
        <f t="shared" si="5"/>
        <v>#NAME?</v>
      </c>
      <c r="E17" s="30" t="e">
        <f t="shared" si="0"/>
        <v>#NAME?</v>
      </c>
      <c r="F17" s="30" t="e">
        <f t="shared" si="1"/>
        <v>#NAME?</v>
      </c>
      <c r="G17" s="30" t="e">
        <f t="shared" si="2"/>
        <v>#NAME?</v>
      </c>
      <c r="H17" s="30" t="e">
        <f t="shared" si="8"/>
        <v>#NAME?</v>
      </c>
      <c r="I17" s="33" t="e">
        <f t="shared" si="9"/>
        <v>#NAME?</v>
      </c>
      <c r="J17" s="33" t="e">
        <f t="shared" ref="J17:J80" si="10">(D17-D16)/D16</f>
        <v>#NAME?</v>
      </c>
      <c r="K17" s="30" t="e">
        <f t="shared" si="6"/>
        <v>#NAME?</v>
      </c>
      <c r="L17" s="32" t="e">
        <f t="shared" si="3"/>
        <v>#NAME?</v>
      </c>
    </row>
    <row r="18" spans="1:12" s="30" customFormat="1">
      <c r="A18" s="6">
        <v>2004</v>
      </c>
      <c r="B18" s="30">
        <f t="shared" si="4"/>
        <v>1.04060401</v>
      </c>
      <c r="C18" s="30" t="e">
        <f t="shared" si="7"/>
        <v>#NAME?</v>
      </c>
      <c r="D18" s="30" t="e">
        <f t="shared" si="5"/>
        <v>#NAME?</v>
      </c>
      <c r="E18" s="30" t="e">
        <f t="shared" si="0"/>
        <v>#NAME?</v>
      </c>
      <c r="F18" s="30" t="e">
        <f t="shared" si="1"/>
        <v>#NAME?</v>
      </c>
      <c r="G18" s="30" t="e">
        <f t="shared" si="2"/>
        <v>#NAME?</v>
      </c>
      <c r="H18" s="30" t="e">
        <f t="shared" si="8"/>
        <v>#NAME?</v>
      </c>
      <c r="I18" s="33" t="e">
        <f t="shared" si="9"/>
        <v>#NAME?</v>
      </c>
      <c r="J18" s="33" t="e">
        <f t="shared" si="10"/>
        <v>#NAME?</v>
      </c>
      <c r="K18" s="30" t="e">
        <f t="shared" si="6"/>
        <v>#NAME?</v>
      </c>
      <c r="L18" s="32" t="e">
        <f t="shared" si="3"/>
        <v>#NAME?</v>
      </c>
    </row>
    <row r="19" spans="1:12">
      <c r="A19" s="30">
        <v>2005</v>
      </c>
      <c r="B19" s="30">
        <f t="shared" si="4"/>
        <v>1.0510100500999999</v>
      </c>
      <c r="C19" s="30" t="e">
        <f t="shared" si="7"/>
        <v>#NAME?</v>
      </c>
      <c r="D19" s="30" t="e">
        <f t="shared" si="5"/>
        <v>#NAME?</v>
      </c>
      <c r="E19" s="30" t="e">
        <f t="shared" si="0"/>
        <v>#NAME?</v>
      </c>
      <c r="F19" s="30" t="e">
        <f t="shared" si="1"/>
        <v>#NAME?</v>
      </c>
      <c r="G19" s="30" t="e">
        <f t="shared" si="2"/>
        <v>#NAME?</v>
      </c>
      <c r="H19" s="30" t="e">
        <f t="shared" si="8"/>
        <v>#NAME?</v>
      </c>
      <c r="I19" s="33" t="e">
        <f t="shared" si="9"/>
        <v>#NAME?</v>
      </c>
      <c r="J19" s="33" t="e">
        <f t="shared" si="10"/>
        <v>#NAME?</v>
      </c>
      <c r="K19" s="30" t="e">
        <f t="shared" si="6"/>
        <v>#NAME?</v>
      </c>
      <c r="L19" s="32" t="e">
        <f t="shared" si="3"/>
        <v>#NAME?</v>
      </c>
    </row>
    <row r="20" spans="1:12">
      <c r="A20" s="6">
        <v>2006</v>
      </c>
      <c r="B20" s="30">
        <f t="shared" si="4"/>
        <v>1.0615201506009999</v>
      </c>
      <c r="C20" s="30" t="e">
        <f t="shared" si="7"/>
        <v>#NAME?</v>
      </c>
      <c r="D20" s="30" t="e">
        <f t="shared" si="5"/>
        <v>#NAME?</v>
      </c>
      <c r="E20" s="30" t="e">
        <f t="shared" si="0"/>
        <v>#NAME?</v>
      </c>
      <c r="F20" s="30" t="e">
        <f t="shared" si="1"/>
        <v>#NAME?</v>
      </c>
      <c r="G20" s="30" t="e">
        <f t="shared" si="2"/>
        <v>#NAME?</v>
      </c>
      <c r="H20" s="30" t="e">
        <f t="shared" si="8"/>
        <v>#NAME?</v>
      </c>
      <c r="I20" s="33" t="e">
        <f t="shared" si="9"/>
        <v>#NAME?</v>
      </c>
      <c r="J20" s="33" t="e">
        <f t="shared" si="10"/>
        <v>#NAME?</v>
      </c>
      <c r="K20" s="30" t="e">
        <f t="shared" si="6"/>
        <v>#NAME?</v>
      </c>
      <c r="L20" s="32" t="e">
        <f t="shared" si="3"/>
        <v>#NAME?</v>
      </c>
    </row>
    <row r="21" spans="1:12">
      <c r="A21" s="30">
        <v>2007</v>
      </c>
      <c r="B21" s="30">
        <f t="shared" si="4"/>
        <v>1.0721353521070098</v>
      </c>
      <c r="C21" s="30" t="e">
        <f t="shared" si="7"/>
        <v>#NAME?</v>
      </c>
      <c r="D21" s="30" t="e">
        <f t="shared" si="5"/>
        <v>#NAME?</v>
      </c>
      <c r="E21" s="30" t="e">
        <f t="shared" si="0"/>
        <v>#NAME?</v>
      </c>
      <c r="F21" s="30" t="e">
        <f t="shared" si="1"/>
        <v>#NAME?</v>
      </c>
      <c r="G21" s="30" t="e">
        <f t="shared" si="2"/>
        <v>#NAME?</v>
      </c>
      <c r="H21" s="30" t="e">
        <f t="shared" si="8"/>
        <v>#NAME?</v>
      </c>
      <c r="I21" s="33" t="e">
        <f t="shared" si="9"/>
        <v>#NAME?</v>
      </c>
      <c r="J21" s="33" t="e">
        <f t="shared" si="10"/>
        <v>#NAME?</v>
      </c>
      <c r="K21" s="30" t="e">
        <f t="shared" si="6"/>
        <v>#NAME?</v>
      </c>
      <c r="L21" s="32" t="e">
        <f t="shared" si="3"/>
        <v>#NAME?</v>
      </c>
    </row>
    <row r="22" spans="1:12">
      <c r="A22" s="6">
        <v>2008</v>
      </c>
      <c r="B22" s="30">
        <f t="shared" si="4"/>
        <v>1.08285670562808</v>
      </c>
      <c r="C22" s="30" t="e">
        <f t="shared" si="7"/>
        <v>#NAME?</v>
      </c>
      <c r="D22" s="30" t="e">
        <f t="shared" si="5"/>
        <v>#NAME?</v>
      </c>
      <c r="E22" s="30" t="e">
        <f t="shared" si="0"/>
        <v>#NAME?</v>
      </c>
      <c r="F22" s="30" t="e">
        <f t="shared" si="1"/>
        <v>#NAME?</v>
      </c>
      <c r="G22" s="30" t="e">
        <f t="shared" si="2"/>
        <v>#NAME?</v>
      </c>
      <c r="H22" s="30" t="e">
        <f t="shared" si="8"/>
        <v>#NAME?</v>
      </c>
      <c r="I22" s="33" t="e">
        <f t="shared" si="9"/>
        <v>#NAME?</v>
      </c>
      <c r="J22" s="33" t="e">
        <f t="shared" si="10"/>
        <v>#NAME?</v>
      </c>
      <c r="K22" s="30" t="e">
        <f t="shared" si="6"/>
        <v>#NAME?</v>
      </c>
      <c r="L22" s="32" t="e">
        <f t="shared" si="3"/>
        <v>#NAME?</v>
      </c>
    </row>
    <row r="23" spans="1:12">
      <c r="A23" s="30">
        <v>2009</v>
      </c>
      <c r="B23" s="30">
        <f t="shared" si="4"/>
        <v>1.0936852726843609</v>
      </c>
      <c r="C23" s="30" t="e">
        <f t="shared" si="7"/>
        <v>#NAME?</v>
      </c>
      <c r="D23" s="30" t="e">
        <f t="shared" si="5"/>
        <v>#NAME?</v>
      </c>
      <c r="E23" s="30" t="e">
        <f t="shared" si="0"/>
        <v>#NAME?</v>
      </c>
      <c r="F23" s="30" t="e">
        <f t="shared" si="1"/>
        <v>#NAME?</v>
      </c>
      <c r="G23" s="30" t="e">
        <f t="shared" si="2"/>
        <v>#NAME?</v>
      </c>
      <c r="H23" s="30" t="e">
        <f t="shared" si="8"/>
        <v>#NAME?</v>
      </c>
      <c r="I23" s="33" t="e">
        <f t="shared" si="9"/>
        <v>#NAME?</v>
      </c>
      <c r="J23" s="33" t="e">
        <f t="shared" si="10"/>
        <v>#NAME?</v>
      </c>
      <c r="K23" s="30" t="e">
        <f t="shared" si="6"/>
        <v>#NAME?</v>
      </c>
      <c r="L23" s="32" t="e">
        <f t="shared" si="3"/>
        <v>#NAME?</v>
      </c>
    </row>
    <row r="24" spans="1:12">
      <c r="A24" s="6">
        <v>2010</v>
      </c>
      <c r="B24" s="30">
        <f t="shared" si="4"/>
        <v>1.1046221254112045</v>
      </c>
      <c r="C24" s="30" t="e">
        <f t="shared" si="7"/>
        <v>#NAME?</v>
      </c>
      <c r="D24" s="30" t="e">
        <f t="shared" si="5"/>
        <v>#NAME?</v>
      </c>
      <c r="E24" s="30" t="e">
        <f t="shared" si="0"/>
        <v>#NAME?</v>
      </c>
      <c r="F24" s="30" t="e">
        <f t="shared" si="1"/>
        <v>#NAME?</v>
      </c>
      <c r="G24" s="30" t="e">
        <f t="shared" si="2"/>
        <v>#NAME?</v>
      </c>
      <c r="H24" s="30" t="e">
        <f t="shared" si="8"/>
        <v>#NAME?</v>
      </c>
      <c r="I24" s="33" t="e">
        <f t="shared" si="9"/>
        <v>#NAME?</v>
      </c>
      <c r="J24" s="33" t="e">
        <f t="shared" si="10"/>
        <v>#NAME?</v>
      </c>
      <c r="K24" s="30" t="e">
        <f t="shared" si="6"/>
        <v>#NAME?</v>
      </c>
      <c r="L24" s="32" t="e">
        <f t="shared" si="3"/>
        <v>#NAME?</v>
      </c>
    </row>
    <row r="25" spans="1:12">
      <c r="A25" s="30">
        <v>2011</v>
      </c>
      <c r="B25" s="30">
        <f t="shared" si="4"/>
        <v>1.1156683466653166</v>
      </c>
      <c r="C25" s="30" t="e">
        <f t="shared" si="7"/>
        <v>#NAME?</v>
      </c>
      <c r="D25" s="30" t="e">
        <f t="shared" si="5"/>
        <v>#NAME?</v>
      </c>
      <c r="E25" s="30" t="e">
        <f t="shared" si="0"/>
        <v>#NAME?</v>
      </c>
      <c r="F25" s="30" t="e">
        <f t="shared" si="1"/>
        <v>#NAME?</v>
      </c>
      <c r="G25" s="30" t="e">
        <f t="shared" si="2"/>
        <v>#NAME?</v>
      </c>
      <c r="H25" s="30" t="e">
        <f t="shared" si="8"/>
        <v>#NAME?</v>
      </c>
      <c r="I25" s="33" t="e">
        <f t="shared" si="9"/>
        <v>#NAME?</v>
      </c>
      <c r="J25" s="33" t="e">
        <f t="shared" si="10"/>
        <v>#NAME?</v>
      </c>
      <c r="K25" s="30" t="e">
        <f t="shared" si="6"/>
        <v>#NAME?</v>
      </c>
      <c r="L25" s="32" t="e">
        <f t="shared" si="3"/>
        <v>#NAME?</v>
      </c>
    </row>
    <row r="26" spans="1:12">
      <c r="A26" s="6">
        <v>2012</v>
      </c>
      <c r="B26" s="30">
        <f t="shared" si="4"/>
        <v>1.1268250301319698</v>
      </c>
      <c r="C26" s="30" t="e">
        <f t="shared" si="7"/>
        <v>#NAME?</v>
      </c>
      <c r="D26" s="30" t="e">
        <f t="shared" si="5"/>
        <v>#NAME?</v>
      </c>
      <c r="E26" s="30" t="e">
        <f t="shared" si="0"/>
        <v>#NAME?</v>
      </c>
      <c r="F26" s="30" t="e">
        <f t="shared" si="1"/>
        <v>#NAME?</v>
      </c>
      <c r="G26" s="30" t="e">
        <f t="shared" si="2"/>
        <v>#NAME?</v>
      </c>
      <c r="H26" s="30" t="e">
        <f t="shared" si="8"/>
        <v>#NAME?</v>
      </c>
      <c r="I26" s="33" t="e">
        <f t="shared" si="9"/>
        <v>#NAME?</v>
      </c>
      <c r="J26" s="33" t="e">
        <f t="shared" si="10"/>
        <v>#NAME?</v>
      </c>
      <c r="K26" s="30" t="e">
        <f t="shared" si="6"/>
        <v>#NAME?</v>
      </c>
      <c r="L26" s="32" t="e">
        <f t="shared" si="3"/>
        <v>#NAME?</v>
      </c>
    </row>
    <row r="27" spans="1:12">
      <c r="A27" s="30">
        <v>2013</v>
      </c>
      <c r="B27" s="30">
        <f t="shared" si="4"/>
        <v>1.1380932804332895</v>
      </c>
      <c r="C27" s="30" t="e">
        <f t="shared" si="7"/>
        <v>#NAME?</v>
      </c>
      <c r="D27" s="30" t="e">
        <f t="shared" si="5"/>
        <v>#NAME?</v>
      </c>
      <c r="E27" s="30" t="e">
        <f t="shared" si="0"/>
        <v>#NAME?</v>
      </c>
      <c r="F27" s="30" t="e">
        <f t="shared" si="1"/>
        <v>#NAME?</v>
      </c>
      <c r="G27" s="30" t="e">
        <f t="shared" si="2"/>
        <v>#NAME?</v>
      </c>
      <c r="H27" s="30" t="e">
        <f t="shared" si="8"/>
        <v>#NAME?</v>
      </c>
      <c r="I27" s="33" t="e">
        <f t="shared" si="9"/>
        <v>#NAME?</v>
      </c>
      <c r="J27" s="33" t="e">
        <f t="shared" si="10"/>
        <v>#NAME?</v>
      </c>
      <c r="K27" s="30" t="e">
        <f t="shared" si="6"/>
        <v>#NAME?</v>
      </c>
      <c r="L27" s="32" t="e">
        <f t="shared" si="3"/>
        <v>#NAME?</v>
      </c>
    </row>
    <row r="28" spans="1:12">
      <c r="A28" s="6">
        <v>2014</v>
      </c>
      <c r="B28" s="30">
        <f t="shared" si="4"/>
        <v>1.1494742132376223</v>
      </c>
      <c r="C28" s="30" t="e">
        <f t="shared" si="7"/>
        <v>#NAME?</v>
      </c>
      <c r="D28" s="30" t="e">
        <f t="shared" si="5"/>
        <v>#NAME?</v>
      </c>
      <c r="E28" s="30" t="e">
        <f t="shared" si="0"/>
        <v>#NAME?</v>
      </c>
      <c r="F28" s="30" t="e">
        <f t="shared" si="1"/>
        <v>#NAME?</v>
      </c>
      <c r="G28" s="30" t="e">
        <f t="shared" si="2"/>
        <v>#NAME?</v>
      </c>
      <c r="H28" s="30" t="e">
        <f t="shared" si="8"/>
        <v>#NAME?</v>
      </c>
      <c r="I28" s="33" t="e">
        <f t="shared" si="9"/>
        <v>#NAME?</v>
      </c>
      <c r="J28" s="33" t="e">
        <f t="shared" si="10"/>
        <v>#NAME?</v>
      </c>
      <c r="K28" s="30" t="e">
        <f t="shared" si="6"/>
        <v>#NAME?</v>
      </c>
      <c r="L28" s="32" t="e">
        <f t="shared" si="3"/>
        <v>#NAME?</v>
      </c>
    </row>
    <row r="29" spans="1:12">
      <c r="A29" s="30">
        <v>2015</v>
      </c>
      <c r="B29" s="30">
        <f t="shared" si="4"/>
        <v>1.1609689553699987</v>
      </c>
      <c r="C29" s="30" t="e">
        <f t="shared" si="7"/>
        <v>#NAME?</v>
      </c>
      <c r="D29" s="30" t="e">
        <f t="shared" si="5"/>
        <v>#NAME?</v>
      </c>
      <c r="E29" s="30" t="e">
        <f t="shared" si="0"/>
        <v>#NAME?</v>
      </c>
      <c r="F29" s="30" t="e">
        <f t="shared" si="1"/>
        <v>#NAME?</v>
      </c>
      <c r="G29" s="30" t="e">
        <f t="shared" si="2"/>
        <v>#NAME?</v>
      </c>
      <c r="H29" s="30" t="e">
        <f t="shared" si="8"/>
        <v>#NAME?</v>
      </c>
      <c r="I29" s="33" t="e">
        <f t="shared" si="9"/>
        <v>#NAME?</v>
      </c>
      <c r="J29" s="33" t="e">
        <f t="shared" si="10"/>
        <v>#NAME?</v>
      </c>
      <c r="K29" s="30" t="e">
        <f t="shared" si="6"/>
        <v>#NAME?</v>
      </c>
      <c r="L29" s="32" t="e">
        <f t="shared" si="3"/>
        <v>#NAME?</v>
      </c>
    </row>
    <row r="30" spans="1:12">
      <c r="A30" s="6">
        <v>2016</v>
      </c>
      <c r="B30" s="30">
        <f t="shared" si="4"/>
        <v>1.1725786449236986</v>
      </c>
      <c r="C30" s="30" t="e">
        <f t="shared" si="7"/>
        <v>#NAME?</v>
      </c>
      <c r="D30" s="30" t="e">
        <f t="shared" si="5"/>
        <v>#NAME?</v>
      </c>
      <c r="E30" s="30" t="e">
        <f t="shared" si="0"/>
        <v>#NAME?</v>
      </c>
      <c r="F30" s="30" t="e">
        <f t="shared" si="1"/>
        <v>#NAME?</v>
      </c>
      <c r="G30" s="30" t="e">
        <f t="shared" si="2"/>
        <v>#NAME?</v>
      </c>
      <c r="H30" s="30" t="e">
        <f t="shared" si="8"/>
        <v>#NAME?</v>
      </c>
      <c r="I30" s="33" t="e">
        <f t="shared" si="9"/>
        <v>#NAME?</v>
      </c>
      <c r="J30" s="33" t="e">
        <f t="shared" si="10"/>
        <v>#NAME?</v>
      </c>
      <c r="K30" s="30" t="e">
        <f t="shared" si="6"/>
        <v>#NAME?</v>
      </c>
      <c r="L30" s="32" t="e">
        <f t="shared" si="3"/>
        <v>#NAME?</v>
      </c>
    </row>
    <row r="31" spans="1:12">
      <c r="A31" s="30">
        <v>2017</v>
      </c>
      <c r="B31" s="30">
        <f t="shared" si="4"/>
        <v>1.1843044313729356</v>
      </c>
      <c r="C31" s="30" t="e">
        <f t="shared" si="7"/>
        <v>#NAME?</v>
      </c>
      <c r="D31" s="30" t="e">
        <f t="shared" si="5"/>
        <v>#NAME?</v>
      </c>
      <c r="E31" s="30" t="e">
        <f t="shared" si="0"/>
        <v>#NAME?</v>
      </c>
      <c r="F31" s="30" t="e">
        <f t="shared" si="1"/>
        <v>#NAME?</v>
      </c>
      <c r="G31" s="30" t="e">
        <f t="shared" si="2"/>
        <v>#NAME?</v>
      </c>
      <c r="H31" s="30" t="e">
        <f t="shared" si="8"/>
        <v>#NAME?</v>
      </c>
      <c r="I31" s="33" t="e">
        <f t="shared" si="9"/>
        <v>#NAME?</v>
      </c>
      <c r="J31" s="33" t="e">
        <f t="shared" si="10"/>
        <v>#NAME?</v>
      </c>
      <c r="K31" s="30" t="e">
        <f t="shared" si="6"/>
        <v>#NAME?</v>
      </c>
      <c r="L31" s="32" t="e">
        <f t="shared" si="3"/>
        <v>#NAME?</v>
      </c>
    </row>
    <row r="32" spans="1:12">
      <c r="A32" s="6">
        <v>2018</v>
      </c>
      <c r="B32" s="30">
        <f t="shared" si="4"/>
        <v>1.196147475686665</v>
      </c>
      <c r="C32" s="30" t="e">
        <f t="shared" si="7"/>
        <v>#NAME?</v>
      </c>
      <c r="D32" s="30" t="e">
        <f t="shared" si="5"/>
        <v>#NAME?</v>
      </c>
      <c r="E32" s="30" t="e">
        <f t="shared" si="0"/>
        <v>#NAME?</v>
      </c>
      <c r="F32" s="30" t="e">
        <f t="shared" si="1"/>
        <v>#NAME?</v>
      </c>
      <c r="G32" s="30" t="e">
        <f t="shared" si="2"/>
        <v>#NAME?</v>
      </c>
      <c r="H32" s="30" t="e">
        <f t="shared" si="8"/>
        <v>#NAME?</v>
      </c>
      <c r="I32" s="33" t="e">
        <f t="shared" si="9"/>
        <v>#NAME?</v>
      </c>
      <c r="J32" s="33" t="e">
        <f t="shared" si="10"/>
        <v>#NAME?</v>
      </c>
      <c r="K32" s="30" t="e">
        <f t="shared" si="6"/>
        <v>#NAME?</v>
      </c>
      <c r="L32" s="32" t="e">
        <f t="shared" si="3"/>
        <v>#NAME?</v>
      </c>
    </row>
    <row r="33" spans="1:12">
      <c r="A33" s="30">
        <v>2019</v>
      </c>
      <c r="B33" s="30">
        <f t="shared" si="4"/>
        <v>1.2081089504435316</v>
      </c>
      <c r="C33" s="30" t="e">
        <f t="shared" si="7"/>
        <v>#NAME?</v>
      </c>
      <c r="D33" s="30" t="e">
        <f t="shared" si="5"/>
        <v>#NAME?</v>
      </c>
      <c r="E33" s="30" t="e">
        <f t="shared" si="0"/>
        <v>#NAME?</v>
      </c>
      <c r="F33" s="30" t="e">
        <f t="shared" si="1"/>
        <v>#NAME?</v>
      </c>
      <c r="G33" s="30" t="e">
        <f t="shared" si="2"/>
        <v>#NAME?</v>
      </c>
      <c r="H33" s="30" t="e">
        <f t="shared" si="8"/>
        <v>#NAME?</v>
      </c>
      <c r="I33" s="33" t="e">
        <f t="shared" si="9"/>
        <v>#NAME?</v>
      </c>
      <c r="J33" s="33" t="e">
        <f t="shared" si="10"/>
        <v>#NAME?</v>
      </c>
      <c r="K33" s="30" t="e">
        <f t="shared" si="6"/>
        <v>#NAME?</v>
      </c>
      <c r="L33" s="32" t="e">
        <f t="shared" si="3"/>
        <v>#NAME?</v>
      </c>
    </row>
    <row r="34" spans="1:12">
      <c r="A34" s="6">
        <v>2020</v>
      </c>
      <c r="B34" s="30">
        <f t="shared" si="4"/>
        <v>1.220190039947967</v>
      </c>
      <c r="C34" s="30" t="e">
        <f t="shared" si="7"/>
        <v>#NAME?</v>
      </c>
      <c r="D34" s="30" t="e">
        <f t="shared" si="5"/>
        <v>#NAME?</v>
      </c>
      <c r="E34" s="30" t="e">
        <f t="shared" si="0"/>
        <v>#NAME?</v>
      </c>
      <c r="F34" s="30" t="e">
        <f t="shared" si="1"/>
        <v>#NAME?</v>
      </c>
      <c r="G34" s="30" t="e">
        <f t="shared" si="2"/>
        <v>#NAME?</v>
      </c>
      <c r="H34" s="30" t="e">
        <f t="shared" si="8"/>
        <v>#NAME?</v>
      </c>
      <c r="I34" s="33" t="e">
        <f t="shared" si="9"/>
        <v>#NAME?</v>
      </c>
      <c r="J34" s="33" t="e">
        <f t="shared" si="10"/>
        <v>#NAME?</v>
      </c>
      <c r="K34" s="30" t="e">
        <f t="shared" si="6"/>
        <v>#NAME?</v>
      </c>
      <c r="L34" s="32" t="e">
        <f t="shared" si="3"/>
        <v>#NAME?</v>
      </c>
    </row>
    <row r="35" spans="1:12">
      <c r="A35" s="30">
        <v>2021</v>
      </c>
      <c r="B35" s="30">
        <f t="shared" si="4"/>
        <v>1.2323919403474468</v>
      </c>
      <c r="C35" s="30" t="e">
        <f t="shared" si="7"/>
        <v>#NAME?</v>
      </c>
      <c r="D35" s="30" t="e">
        <f t="shared" si="5"/>
        <v>#NAME?</v>
      </c>
      <c r="E35" s="30" t="e">
        <f t="shared" si="0"/>
        <v>#NAME?</v>
      </c>
      <c r="F35" s="30" t="e">
        <f t="shared" si="1"/>
        <v>#NAME?</v>
      </c>
      <c r="G35" s="30" t="e">
        <f t="shared" si="2"/>
        <v>#NAME?</v>
      </c>
      <c r="H35" s="30" t="e">
        <f t="shared" si="8"/>
        <v>#NAME?</v>
      </c>
      <c r="I35" s="33" t="e">
        <f t="shared" si="9"/>
        <v>#NAME?</v>
      </c>
      <c r="J35" s="33" t="e">
        <f t="shared" si="10"/>
        <v>#NAME?</v>
      </c>
      <c r="K35" s="30" t="e">
        <f t="shared" si="6"/>
        <v>#NAME?</v>
      </c>
      <c r="L35" s="32" t="e">
        <f t="shared" si="3"/>
        <v>#NAME?</v>
      </c>
    </row>
    <row r="36" spans="1:12">
      <c r="A36" s="6">
        <v>2022</v>
      </c>
      <c r="B36" s="30">
        <f t="shared" si="4"/>
        <v>1.2447158597509214</v>
      </c>
      <c r="C36" s="30" t="e">
        <f t="shared" si="7"/>
        <v>#NAME?</v>
      </c>
      <c r="D36" s="30" t="e">
        <f t="shared" si="5"/>
        <v>#NAME?</v>
      </c>
      <c r="E36" s="30" t="e">
        <f t="shared" si="0"/>
        <v>#NAME?</v>
      </c>
      <c r="F36" s="30" t="e">
        <f t="shared" si="1"/>
        <v>#NAME?</v>
      </c>
      <c r="G36" s="30" t="e">
        <f t="shared" si="2"/>
        <v>#NAME?</v>
      </c>
      <c r="H36" s="30" t="e">
        <f t="shared" si="8"/>
        <v>#NAME?</v>
      </c>
      <c r="I36" s="33" t="e">
        <f t="shared" si="9"/>
        <v>#NAME?</v>
      </c>
      <c r="J36" s="33" t="e">
        <f t="shared" si="10"/>
        <v>#NAME?</v>
      </c>
      <c r="K36" s="30" t="e">
        <f t="shared" si="6"/>
        <v>#NAME?</v>
      </c>
      <c r="L36" s="32" t="e">
        <f t="shared" si="3"/>
        <v>#NAME?</v>
      </c>
    </row>
    <row r="37" spans="1:12">
      <c r="A37" s="30">
        <v>2023</v>
      </c>
      <c r="B37" s="30">
        <f t="shared" si="4"/>
        <v>1.2571630183484306</v>
      </c>
      <c r="C37" s="30" t="e">
        <f t="shared" si="7"/>
        <v>#NAME?</v>
      </c>
      <c r="D37" s="30" t="e">
        <f t="shared" si="5"/>
        <v>#NAME?</v>
      </c>
      <c r="E37" s="30" t="e">
        <f t="shared" si="0"/>
        <v>#NAME?</v>
      </c>
      <c r="F37" s="30" t="e">
        <f t="shared" si="1"/>
        <v>#NAME?</v>
      </c>
      <c r="G37" s="30" t="e">
        <f t="shared" si="2"/>
        <v>#NAME?</v>
      </c>
      <c r="H37" s="30" t="e">
        <f t="shared" si="8"/>
        <v>#NAME?</v>
      </c>
      <c r="I37" s="33" t="e">
        <f t="shared" si="9"/>
        <v>#NAME?</v>
      </c>
      <c r="J37" s="33" t="e">
        <f t="shared" si="10"/>
        <v>#NAME?</v>
      </c>
      <c r="K37" s="30" t="e">
        <f t="shared" si="6"/>
        <v>#NAME?</v>
      </c>
      <c r="L37" s="32" t="e">
        <f t="shared" si="3"/>
        <v>#NAME?</v>
      </c>
    </row>
    <row r="38" spans="1:12">
      <c r="A38" s="6">
        <v>2024</v>
      </c>
      <c r="B38" s="30">
        <f t="shared" si="4"/>
        <v>1.269734648531915</v>
      </c>
      <c r="C38" s="30" t="e">
        <f t="shared" si="7"/>
        <v>#NAME?</v>
      </c>
      <c r="D38" s="30" t="e">
        <f t="shared" si="5"/>
        <v>#NAME?</v>
      </c>
      <c r="E38" s="30" t="e">
        <f t="shared" si="0"/>
        <v>#NAME?</v>
      </c>
      <c r="F38" s="30" t="e">
        <f t="shared" si="1"/>
        <v>#NAME?</v>
      </c>
      <c r="G38" s="30" t="e">
        <f t="shared" si="2"/>
        <v>#NAME?</v>
      </c>
      <c r="H38" s="30" t="e">
        <f t="shared" si="8"/>
        <v>#NAME?</v>
      </c>
      <c r="I38" s="33" t="e">
        <f t="shared" si="9"/>
        <v>#NAME?</v>
      </c>
      <c r="J38" s="33" t="e">
        <f t="shared" si="10"/>
        <v>#NAME?</v>
      </c>
      <c r="K38" s="30" t="e">
        <f t="shared" si="6"/>
        <v>#NAME?</v>
      </c>
      <c r="L38" s="32" t="e">
        <f t="shared" si="3"/>
        <v>#NAME?</v>
      </c>
    </row>
    <row r="39" spans="1:12">
      <c r="A39" s="30">
        <v>2025</v>
      </c>
      <c r="B39" s="30">
        <f t="shared" si="4"/>
        <v>1.282431995017234</v>
      </c>
      <c r="C39" s="30" t="e">
        <f t="shared" si="7"/>
        <v>#NAME?</v>
      </c>
      <c r="D39" s="30" t="e">
        <f t="shared" si="5"/>
        <v>#NAME?</v>
      </c>
      <c r="E39" s="30" t="e">
        <f t="shared" si="0"/>
        <v>#NAME?</v>
      </c>
      <c r="F39" s="30" t="e">
        <f t="shared" si="1"/>
        <v>#NAME?</v>
      </c>
      <c r="G39" s="30" t="e">
        <f t="shared" si="2"/>
        <v>#NAME?</v>
      </c>
      <c r="H39" s="30" t="e">
        <f t="shared" si="8"/>
        <v>#NAME?</v>
      </c>
      <c r="I39" s="33" t="e">
        <f t="shared" si="9"/>
        <v>#NAME?</v>
      </c>
      <c r="J39" s="33" t="e">
        <f t="shared" si="10"/>
        <v>#NAME?</v>
      </c>
      <c r="K39" s="30" t="e">
        <f t="shared" si="6"/>
        <v>#NAME?</v>
      </c>
      <c r="L39" s="32" t="e">
        <f t="shared" si="3"/>
        <v>#NAME?</v>
      </c>
    </row>
    <row r="40" spans="1:12">
      <c r="A40" s="6">
        <v>2026</v>
      </c>
      <c r="B40" s="30">
        <f t="shared" si="4"/>
        <v>1.2952563149674063</v>
      </c>
      <c r="C40" s="30" t="e">
        <f t="shared" si="7"/>
        <v>#NAME?</v>
      </c>
      <c r="D40" s="30" t="e">
        <f t="shared" si="5"/>
        <v>#NAME?</v>
      </c>
      <c r="E40" s="30" t="e">
        <f t="shared" si="0"/>
        <v>#NAME?</v>
      </c>
      <c r="F40" s="30" t="e">
        <f t="shared" si="1"/>
        <v>#NAME?</v>
      </c>
      <c r="G40" s="30" t="e">
        <f t="shared" si="2"/>
        <v>#NAME?</v>
      </c>
      <c r="H40" s="30" t="e">
        <f t="shared" si="8"/>
        <v>#NAME?</v>
      </c>
      <c r="I40" s="33" t="e">
        <f t="shared" si="9"/>
        <v>#NAME?</v>
      </c>
      <c r="J40" s="33" t="e">
        <f t="shared" si="10"/>
        <v>#NAME?</v>
      </c>
      <c r="K40" s="30" t="e">
        <f t="shared" si="6"/>
        <v>#NAME?</v>
      </c>
      <c r="L40" s="32" t="e">
        <f t="shared" si="3"/>
        <v>#NAME?</v>
      </c>
    </row>
    <row r="41" spans="1:12">
      <c r="A41" s="30">
        <v>2027</v>
      </c>
      <c r="B41" s="30">
        <f t="shared" si="4"/>
        <v>1.3082088781170804</v>
      </c>
      <c r="C41" s="30" t="e">
        <f t="shared" si="7"/>
        <v>#NAME?</v>
      </c>
      <c r="D41" s="30" t="e">
        <f t="shared" si="5"/>
        <v>#NAME?</v>
      </c>
      <c r="E41" s="30" t="e">
        <f t="shared" si="0"/>
        <v>#NAME?</v>
      </c>
      <c r="F41" s="30" t="e">
        <f t="shared" si="1"/>
        <v>#NAME?</v>
      </c>
      <c r="G41" s="30" t="e">
        <f t="shared" si="2"/>
        <v>#NAME?</v>
      </c>
      <c r="H41" s="30" t="e">
        <f t="shared" si="8"/>
        <v>#NAME?</v>
      </c>
      <c r="I41" s="33" t="e">
        <f t="shared" si="9"/>
        <v>#NAME?</v>
      </c>
      <c r="J41" s="33" t="e">
        <f t="shared" si="10"/>
        <v>#NAME?</v>
      </c>
      <c r="K41" s="30" t="e">
        <f t="shared" si="6"/>
        <v>#NAME?</v>
      </c>
      <c r="L41" s="32" t="e">
        <f t="shared" si="3"/>
        <v>#NAME?</v>
      </c>
    </row>
    <row r="42" spans="1:12">
      <c r="A42" s="6">
        <v>2028</v>
      </c>
      <c r="B42" s="30">
        <f t="shared" si="4"/>
        <v>1.3212909668982513</v>
      </c>
      <c r="C42" s="30" t="e">
        <f t="shared" si="7"/>
        <v>#NAME?</v>
      </c>
      <c r="D42" s="30" t="e">
        <f t="shared" si="5"/>
        <v>#NAME?</v>
      </c>
      <c r="E42" s="30" t="e">
        <f t="shared" si="0"/>
        <v>#NAME?</v>
      </c>
      <c r="F42" s="30" t="e">
        <f t="shared" si="1"/>
        <v>#NAME?</v>
      </c>
      <c r="G42" s="30" t="e">
        <f t="shared" si="2"/>
        <v>#NAME?</v>
      </c>
      <c r="H42" s="30" t="e">
        <f t="shared" si="8"/>
        <v>#NAME?</v>
      </c>
      <c r="I42" s="33" t="e">
        <f t="shared" si="9"/>
        <v>#NAME?</v>
      </c>
      <c r="J42" s="33" t="e">
        <f t="shared" si="10"/>
        <v>#NAME?</v>
      </c>
      <c r="K42" s="30" t="e">
        <f t="shared" si="6"/>
        <v>#NAME?</v>
      </c>
      <c r="L42" s="32" t="e">
        <f t="shared" si="3"/>
        <v>#NAME?</v>
      </c>
    </row>
    <row r="43" spans="1:12">
      <c r="A43" s="30">
        <v>2029</v>
      </c>
      <c r="B43" s="30">
        <f t="shared" si="4"/>
        <v>1.3345038765672339</v>
      </c>
      <c r="C43" s="30" t="e">
        <f t="shared" si="7"/>
        <v>#NAME?</v>
      </c>
      <c r="D43" s="30" t="e">
        <f t="shared" si="5"/>
        <v>#NAME?</v>
      </c>
      <c r="E43" s="30" t="e">
        <f t="shared" si="0"/>
        <v>#NAME?</v>
      </c>
      <c r="F43" s="30" t="e">
        <f t="shared" si="1"/>
        <v>#NAME?</v>
      </c>
      <c r="G43" s="30" t="e">
        <f t="shared" si="2"/>
        <v>#NAME?</v>
      </c>
      <c r="H43" s="30" t="e">
        <f t="shared" si="8"/>
        <v>#NAME?</v>
      </c>
      <c r="I43" s="33" t="e">
        <f t="shared" si="9"/>
        <v>#NAME?</v>
      </c>
      <c r="J43" s="33" t="e">
        <f t="shared" si="10"/>
        <v>#NAME?</v>
      </c>
      <c r="K43" s="30" t="e">
        <f t="shared" si="6"/>
        <v>#NAME?</v>
      </c>
      <c r="L43" s="32" t="e">
        <f t="shared" si="3"/>
        <v>#NAME?</v>
      </c>
    </row>
    <row r="44" spans="1:12">
      <c r="A44" s="6">
        <v>2030</v>
      </c>
      <c r="B44" s="30">
        <f t="shared" si="4"/>
        <v>1.3478489153329063</v>
      </c>
      <c r="C44" s="30" t="e">
        <f t="shared" si="7"/>
        <v>#NAME?</v>
      </c>
      <c r="D44" s="30" t="e">
        <f t="shared" si="5"/>
        <v>#NAME?</v>
      </c>
      <c r="E44" s="30" t="e">
        <f t="shared" si="0"/>
        <v>#NAME?</v>
      </c>
      <c r="F44" s="30" t="e">
        <f t="shared" si="1"/>
        <v>#NAME?</v>
      </c>
      <c r="G44" s="30" t="e">
        <f t="shared" si="2"/>
        <v>#NAME?</v>
      </c>
      <c r="H44" s="30" t="e">
        <f t="shared" si="8"/>
        <v>#NAME?</v>
      </c>
      <c r="I44" s="33" t="e">
        <f t="shared" si="9"/>
        <v>#NAME?</v>
      </c>
      <c r="J44" s="33" t="e">
        <f t="shared" si="10"/>
        <v>#NAME?</v>
      </c>
      <c r="K44" s="30" t="e">
        <f t="shared" si="6"/>
        <v>#NAME?</v>
      </c>
      <c r="L44" s="32" t="e">
        <f t="shared" si="3"/>
        <v>#NAME?</v>
      </c>
    </row>
    <row r="45" spans="1:12">
      <c r="A45" s="30">
        <v>2031</v>
      </c>
      <c r="B45" s="30">
        <f t="shared" si="4"/>
        <v>1.3613274044862353</v>
      </c>
      <c r="C45" s="30" t="e">
        <f t="shared" si="7"/>
        <v>#NAME?</v>
      </c>
      <c r="D45" s="30" t="e">
        <f t="shared" si="5"/>
        <v>#NAME?</v>
      </c>
      <c r="E45" s="30" t="e">
        <f t="shared" si="0"/>
        <v>#NAME?</v>
      </c>
      <c r="F45" s="30" t="e">
        <f t="shared" si="1"/>
        <v>#NAME?</v>
      </c>
      <c r="G45" s="30" t="e">
        <f t="shared" si="2"/>
        <v>#NAME?</v>
      </c>
      <c r="H45" s="30" t="e">
        <f t="shared" si="8"/>
        <v>#NAME?</v>
      </c>
      <c r="I45" s="33" t="e">
        <f t="shared" si="9"/>
        <v>#NAME?</v>
      </c>
      <c r="J45" s="33" t="e">
        <f t="shared" si="10"/>
        <v>#NAME?</v>
      </c>
      <c r="K45" s="30" t="e">
        <f t="shared" si="6"/>
        <v>#NAME?</v>
      </c>
      <c r="L45" s="32" t="e">
        <f t="shared" si="3"/>
        <v>#NAME?</v>
      </c>
    </row>
    <row r="46" spans="1:12">
      <c r="A46" s="6">
        <v>2032</v>
      </c>
      <c r="B46" s="30">
        <f t="shared" si="4"/>
        <v>1.3749406785310978</v>
      </c>
      <c r="C46" s="30" t="e">
        <f t="shared" si="7"/>
        <v>#NAME?</v>
      </c>
      <c r="D46" s="30" t="e">
        <f t="shared" si="5"/>
        <v>#NAME?</v>
      </c>
      <c r="E46" s="30" t="e">
        <f t="shared" si="0"/>
        <v>#NAME?</v>
      </c>
      <c r="F46" s="30" t="e">
        <f t="shared" si="1"/>
        <v>#NAME?</v>
      </c>
      <c r="G46" s="30" t="e">
        <f t="shared" si="2"/>
        <v>#NAME?</v>
      </c>
      <c r="H46" s="30" t="e">
        <f t="shared" si="8"/>
        <v>#NAME?</v>
      </c>
      <c r="I46" s="33" t="e">
        <f t="shared" si="9"/>
        <v>#NAME?</v>
      </c>
      <c r="J46" s="33" t="e">
        <f t="shared" si="10"/>
        <v>#NAME?</v>
      </c>
      <c r="K46" s="30" t="e">
        <f t="shared" si="6"/>
        <v>#NAME?</v>
      </c>
      <c r="L46" s="32" t="e">
        <f t="shared" si="3"/>
        <v>#NAME?</v>
      </c>
    </row>
    <row r="47" spans="1:12">
      <c r="A47" s="30">
        <v>2033</v>
      </c>
      <c r="B47" s="30">
        <f t="shared" ref="B47:B78" si="11">(1+n)*B46</f>
        <v>1.3886900853164088</v>
      </c>
      <c r="C47" s="30" t="e">
        <f t="shared" si="7"/>
        <v>#NAME?</v>
      </c>
      <c r="D47" s="30" t="e">
        <f t="shared" ref="D47:D78" si="12">A*(alpha1*C47^rho+alpha2*((1+g)^(A47-$A$14)*B47)^rho)^(1/rho)</f>
        <v>#NAME?</v>
      </c>
      <c r="E47" s="30" t="e">
        <f t="shared" si="0"/>
        <v>#NAME?</v>
      </c>
      <c r="F47" s="30" t="e">
        <f t="shared" si="1"/>
        <v>#NAME?</v>
      </c>
      <c r="G47" s="30" t="e">
        <f t="shared" si="2"/>
        <v>#NAME?</v>
      </c>
      <c r="H47" s="30" t="e">
        <f t="shared" si="8"/>
        <v>#NAME?</v>
      </c>
      <c r="I47" s="33" t="e">
        <f t="shared" si="9"/>
        <v>#NAME?</v>
      </c>
      <c r="J47" s="33" t="e">
        <f t="shared" si="10"/>
        <v>#NAME?</v>
      </c>
      <c r="K47" s="30" t="e">
        <f t="shared" si="6"/>
        <v>#NAME?</v>
      </c>
      <c r="L47" s="32" t="e">
        <f t="shared" si="3"/>
        <v>#NAME?</v>
      </c>
    </row>
    <row r="48" spans="1:12">
      <c r="A48" s="6">
        <v>2034</v>
      </c>
      <c r="B48" s="30">
        <f t="shared" si="11"/>
        <v>1.4025769861695729</v>
      </c>
      <c r="C48" s="30" t="e">
        <f t="shared" si="7"/>
        <v>#NAME?</v>
      </c>
      <c r="D48" s="30" t="e">
        <f t="shared" si="12"/>
        <v>#NAME?</v>
      </c>
      <c r="E48" s="30" t="e">
        <f t="shared" si="0"/>
        <v>#NAME?</v>
      </c>
      <c r="F48" s="30" t="e">
        <f t="shared" si="1"/>
        <v>#NAME?</v>
      </c>
      <c r="G48" s="30" t="e">
        <f t="shared" si="2"/>
        <v>#NAME?</v>
      </c>
      <c r="H48" s="30" t="e">
        <f t="shared" si="8"/>
        <v>#NAME?</v>
      </c>
      <c r="I48" s="33" t="e">
        <f t="shared" si="9"/>
        <v>#NAME?</v>
      </c>
      <c r="J48" s="33" t="e">
        <f t="shared" si="10"/>
        <v>#NAME?</v>
      </c>
      <c r="K48" s="30" t="e">
        <f t="shared" si="6"/>
        <v>#NAME?</v>
      </c>
      <c r="L48" s="32" t="e">
        <f t="shared" si="3"/>
        <v>#NAME?</v>
      </c>
    </row>
    <row r="49" spans="1:12">
      <c r="A49" s="30">
        <v>2035</v>
      </c>
      <c r="B49" s="30">
        <f t="shared" si="11"/>
        <v>1.4166027560312686</v>
      </c>
      <c r="C49" s="30" t="e">
        <f t="shared" si="7"/>
        <v>#NAME?</v>
      </c>
      <c r="D49" s="30" t="e">
        <f t="shared" si="12"/>
        <v>#NAME?</v>
      </c>
      <c r="E49" s="30" t="e">
        <f t="shared" si="0"/>
        <v>#NAME?</v>
      </c>
      <c r="F49" s="30" t="e">
        <f t="shared" si="1"/>
        <v>#NAME?</v>
      </c>
      <c r="G49" s="30" t="e">
        <f t="shared" si="2"/>
        <v>#NAME?</v>
      </c>
      <c r="H49" s="30" t="e">
        <f t="shared" si="8"/>
        <v>#NAME?</v>
      </c>
      <c r="I49" s="33" t="e">
        <f t="shared" si="9"/>
        <v>#NAME?</v>
      </c>
      <c r="J49" s="33" t="e">
        <f t="shared" si="10"/>
        <v>#NAME?</v>
      </c>
      <c r="K49" s="30" t="e">
        <f t="shared" si="6"/>
        <v>#NAME?</v>
      </c>
      <c r="L49" s="32" t="e">
        <f t="shared" si="3"/>
        <v>#NAME?</v>
      </c>
    </row>
    <row r="50" spans="1:12">
      <c r="A50" s="6">
        <v>2036</v>
      </c>
      <c r="B50" s="30">
        <f t="shared" si="11"/>
        <v>1.4307687835915812</v>
      </c>
      <c r="C50" s="30" t="e">
        <f t="shared" si="7"/>
        <v>#NAME?</v>
      </c>
      <c r="D50" s="30" t="e">
        <f t="shared" si="12"/>
        <v>#NAME?</v>
      </c>
      <c r="E50" s="30" t="e">
        <f t="shared" si="0"/>
        <v>#NAME?</v>
      </c>
      <c r="F50" s="30" t="e">
        <f t="shared" si="1"/>
        <v>#NAME?</v>
      </c>
      <c r="G50" s="30" t="e">
        <f t="shared" si="2"/>
        <v>#NAME?</v>
      </c>
      <c r="H50" s="30" t="e">
        <f t="shared" si="8"/>
        <v>#NAME?</v>
      </c>
      <c r="I50" s="33" t="e">
        <f t="shared" si="9"/>
        <v>#NAME?</v>
      </c>
      <c r="J50" s="33" t="e">
        <f t="shared" si="10"/>
        <v>#NAME?</v>
      </c>
      <c r="K50" s="30" t="e">
        <f t="shared" si="6"/>
        <v>#NAME?</v>
      </c>
      <c r="L50" s="32" t="e">
        <f t="shared" si="3"/>
        <v>#NAME?</v>
      </c>
    </row>
    <row r="51" spans="1:12">
      <c r="A51" s="30">
        <v>2037</v>
      </c>
      <c r="B51" s="30">
        <f t="shared" si="11"/>
        <v>1.4450764714274971</v>
      </c>
      <c r="C51" s="30" t="e">
        <f t="shared" si="7"/>
        <v>#NAME?</v>
      </c>
      <c r="D51" s="30" t="e">
        <f t="shared" si="12"/>
        <v>#NAME?</v>
      </c>
      <c r="E51" s="30" t="e">
        <f t="shared" si="0"/>
        <v>#NAME?</v>
      </c>
      <c r="F51" s="30" t="e">
        <f t="shared" si="1"/>
        <v>#NAME?</v>
      </c>
      <c r="G51" s="30" t="e">
        <f t="shared" si="2"/>
        <v>#NAME?</v>
      </c>
      <c r="H51" s="30" t="e">
        <f t="shared" si="8"/>
        <v>#NAME?</v>
      </c>
      <c r="I51" s="33" t="e">
        <f t="shared" si="9"/>
        <v>#NAME?</v>
      </c>
      <c r="J51" s="33" t="e">
        <f t="shared" si="10"/>
        <v>#NAME?</v>
      </c>
      <c r="K51" s="30" t="e">
        <f t="shared" si="6"/>
        <v>#NAME?</v>
      </c>
      <c r="L51" s="32" t="e">
        <f t="shared" si="3"/>
        <v>#NAME?</v>
      </c>
    </row>
    <row r="52" spans="1:12">
      <c r="A52" s="6">
        <v>2038</v>
      </c>
      <c r="B52" s="30">
        <f t="shared" si="11"/>
        <v>1.4595272361417722</v>
      </c>
      <c r="C52" s="30" t="e">
        <f t="shared" si="7"/>
        <v>#NAME?</v>
      </c>
      <c r="D52" s="30" t="e">
        <f t="shared" si="12"/>
        <v>#NAME?</v>
      </c>
      <c r="E52" s="30" t="e">
        <f t="shared" si="0"/>
        <v>#NAME?</v>
      </c>
      <c r="F52" s="30" t="e">
        <f t="shared" si="1"/>
        <v>#NAME?</v>
      </c>
      <c r="G52" s="30" t="e">
        <f t="shared" si="2"/>
        <v>#NAME?</v>
      </c>
      <c r="H52" s="30" t="e">
        <f t="shared" si="8"/>
        <v>#NAME?</v>
      </c>
      <c r="I52" s="33" t="e">
        <f t="shared" si="9"/>
        <v>#NAME?</v>
      </c>
      <c r="J52" s="33" t="e">
        <f t="shared" si="10"/>
        <v>#NAME?</v>
      </c>
      <c r="K52" s="30" t="e">
        <f t="shared" si="6"/>
        <v>#NAME?</v>
      </c>
      <c r="L52" s="32" t="e">
        <f t="shared" si="3"/>
        <v>#NAME?</v>
      </c>
    </row>
    <row r="53" spans="1:12">
      <c r="A53" s="30">
        <v>2039</v>
      </c>
      <c r="B53" s="30">
        <f t="shared" si="11"/>
        <v>1.4741225085031899</v>
      </c>
      <c r="C53" s="30" t="e">
        <f t="shared" si="7"/>
        <v>#NAME?</v>
      </c>
      <c r="D53" s="30" t="e">
        <f t="shared" si="12"/>
        <v>#NAME?</v>
      </c>
      <c r="E53" s="30" t="e">
        <f t="shared" si="0"/>
        <v>#NAME?</v>
      </c>
      <c r="F53" s="30" t="e">
        <f t="shared" si="1"/>
        <v>#NAME?</v>
      </c>
      <c r="G53" s="30" t="e">
        <f t="shared" si="2"/>
        <v>#NAME?</v>
      </c>
      <c r="H53" s="30" t="e">
        <f t="shared" si="8"/>
        <v>#NAME?</v>
      </c>
      <c r="I53" s="33" t="e">
        <f t="shared" si="9"/>
        <v>#NAME?</v>
      </c>
      <c r="J53" s="33" t="e">
        <f t="shared" si="10"/>
        <v>#NAME?</v>
      </c>
      <c r="K53" s="30" t="e">
        <f t="shared" si="6"/>
        <v>#NAME?</v>
      </c>
      <c r="L53" s="32" t="e">
        <f t="shared" si="3"/>
        <v>#NAME?</v>
      </c>
    </row>
    <row r="54" spans="1:12">
      <c r="A54" s="6">
        <v>2040</v>
      </c>
      <c r="B54" s="30">
        <f t="shared" si="11"/>
        <v>1.4888637335882218</v>
      </c>
      <c r="C54" s="30" t="e">
        <f t="shared" si="7"/>
        <v>#NAME?</v>
      </c>
      <c r="D54" s="30" t="e">
        <f t="shared" si="12"/>
        <v>#NAME?</v>
      </c>
      <c r="E54" s="30" t="e">
        <f t="shared" si="0"/>
        <v>#NAME?</v>
      </c>
      <c r="F54" s="30" t="e">
        <f t="shared" si="1"/>
        <v>#NAME?</v>
      </c>
      <c r="G54" s="30" t="e">
        <f t="shared" si="2"/>
        <v>#NAME?</v>
      </c>
      <c r="H54" s="30" t="e">
        <f t="shared" si="8"/>
        <v>#NAME?</v>
      </c>
      <c r="I54" s="33" t="e">
        <f t="shared" si="9"/>
        <v>#NAME?</v>
      </c>
      <c r="J54" s="33" t="e">
        <f t="shared" si="10"/>
        <v>#NAME?</v>
      </c>
      <c r="K54" s="30" t="e">
        <f t="shared" si="6"/>
        <v>#NAME?</v>
      </c>
      <c r="L54" s="32" t="e">
        <f t="shared" si="3"/>
        <v>#NAME?</v>
      </c>
    </row>
    <row r="55" spans="1:12">
      <c r="A55" s="30">
        <v>2041</v>
      </c>
      <c r="B55" s="30">
        <f t="shared" si="11"/>
        <v>1.5037523709241041</v>
      </c>
      <c r="C55" s="30" t="e">
        <f t="shared" si="7"/>
        <v>#NAME?</v>
      </c>
      <c r="D55" s="30" t="e">
        <f t="shared" si="12"/>
        <v>#NAME?</v>
      </c>
      <c r="E55" s="30" t="e">
        <f t="shared" si="0"/>
        <v>#NAME?</v>
      </c>
      <c r="F55" s="30" t="e">
        <f t="shared" si="1"/>
        <v>#NAME?</v>
      </c>
      <c r="G55" s="30" t="e">
        <f t="shared" si="2"/>
        <v>#NAME?</v>
      </c>
      <c r="H55" s="30" t="e">
        <f t="shared" si="8"/>
        <v>#NAME?</v>
      </c>
      <c r="I55" s="33" t="e">
        <f t="shared" si="9"/>
        <v>#NAME?</v>
      </c>
      <c r="J55" s="33" t="e">
        <f t="shared" si="10"/>
        <v>#NAME?</v>
      </c>
      <c r="K55" s="30" t="e">
        <f t="shared" si="6"/>
        <v>#NAME?</v>
      </c>
      <c r="L55" s="32" t="e">
        <f t="shared" si="3"/>
        <v>#NAME?</v>
      </c>
    </row>
    <row r="56" spans="1:12">
      <c r="A56" s="6">
        <v>2042</v>
      </c>
      <c r="B56" s="30">
        <f t="shared" si="11"/>
        <v>1.5187898946333451</v>
      </c>
      <c r="C56" s="30" t="e">
        <f t="shared" si="7"/>
        <v>#NAME?</v>
      </c>
      <c r="D56" s="30" t="e">
        <f t="shared" si="12"/>
        <v>#NAME?</v>
      </c>
      <c r="E56" s="30" t="e">
        <f t="shared" si="0"/>
        <v>#NAME?</v>
      </c>
      <c r="F56" s="30" t="e">
        <f t="shared" si="1"/>
        <v>#NAME?</v>
      </c>
      <c r="G56" s="30" t="e">
        <f t="shared" si="2"/>
        <v>#NAME?</v>
      </c>
      <c r="H56" s="30" t="e">
        <f t="shared" si="8"/>
        <v>#NAME?</v>
      </c>
      <c r="I56" s="33" t="e">
        <f t="shared" si="9"/>
        <v>#NAME?</v>
      </c>
      <c r="J56" s="33" t="e">
        <f t="shared" si="10"/>
        <v>#NAME?</v>
      </c>
      <c r="K56" s="30" t="e">
        <f t="shared" si="6"/>
        <v>#NAME?</v>
      </c>
      <c r="L56" s="32" t="e">
        <f t="shared" si="3"/>
        <v>#NAME?</v>
      </c>
    </row>
    <row r="57" spans="1:12">
      <c r="A57" s="30">
        <v>2043</v>
      </c>
      <c r="B57" s="30">
        <f t="shared" si="11"/>
        <v>1.5339777935796786</v>
      </c>
      <c r="C57" s="30" t="e">
        <f t="shared" si="7"/>
        <v>#NAME?</v>
      </c>
      <c r="D57" s="30" t="e">
        <f t="shared" si="12"/>
        <v>#NAME?</v>
      </c>
      <c r="E57" s="30" t="e">
        <f t="shared" si="0"/>
        <v>#NAME?</v>
      </c>
      <c r="F57" s="30" t="e">
        <f t="shared" si="1"/>
        <v>#NAME?</v>
      </c>
      <c r="G57" s="30" t="e">
        <f t="shared" si="2"/>
        <v>#NAME?</v>
      </c>
      <c r="H57" s="30" t="e">
        <f t="shared" si="8"/>
        <v>#NAME?</v>
      </c>
      <c r="I57" s="33" t="e">
        <f t="shared" si="9"/>
        <v>#NAME?</v>
      </c>
      <c r="J57" s="33" t="e">
        <f t="shared" si="10"/>
        <v>#NAME?</v>
      </c>
      <c r="K57" s="30" t="e">
        <f t="shared" si="6"/>
        <v>#NAME?</v>
      </c>
      <c r="L57" s="32" t="e">
        <f t="shared" si="3"/>
        <v>#NAME?</v>
      </c>
    </row>
    <row r="58" spans="1:12">
      <c r="A58" s="6">
        <v>2044</v>
      </c>
      <c r="B58" s="30">
        <f t="shared" si="11"/>
        <v>1.5493175715154754</v>
      </c>
      <c r="C58" s="30" t="e">
        <f t="shared" si="7"/>
        <v>#NAME?</v>
      </c>
      <c r="D58" s="30" t="e">
        <f t="shared" si="12"/>
        <v>#NAME?</v>
      </c>
      <c r="E58" s="30" t="e">
        <f t="shared" si="0"/>
        <v>#NAME?</v>
      </c>
      <c r="F58" s="30" t="e">
        <f t="shared" si="1"/>
        <v>#NAME?</v>
      </c>
      <c r="G58" s="30" t="e">
        <f t="shared" si="2"/>
        <v>#NAME?</v>
      </c>
      <c r="H58" s="30" t="e">
        <f t="shared" si="8"/>
        <v>#NAME?</v>
      </c>
      <c r="I58" s="33" t="e">
        <f t="shared" si="9"/>
        <v>#NAME?</v>
      </c>
      <c r="J58" s="33" t="e">
        <f t="shared" si="10"/>
        <v>#NAME?</v>
      </c>
      <c r="K58" s="30" t="e">
        <f t="shared" si="6"/>
        <v>#NAME?</v>
      </c>
      <c r="L58" s="32" t="e">
        <f t="shared" si="3"/>
        <v>#NAME?</v>
      </c>
    </row>
    <row r="59" spans="1:12">
      <c r="A59" s="30">
        <v>2045</v>
      </c>
      <c r="B59" s="30">
        <f t="shared" si="11"/>
        <v>1.5648107472306303</v>
      </c>
      <c r="C59" s="30" t="e">
        <f t="shared" si="7"/>
        <v>#NAME?</v>
      </c>
      <c r="D59" s="30" t="e">
        <f t="shared" si="12"/>
        <v>#NAME?</v>
      </c>
      <c r="E59" s="30" t="e">
        <f t="shared" si="0"/>
        <v>#NAME?</v>
      </c>
      <c r="F59" s="30" t="e">
        <f t="shared" si="1"/>
        <v>#NAME?</v>
      </c>
      <c r="G59" s="30" t="e">
        <f t="shared" si="2"/>
        <v>#NAME?</v>
      </c>
      <c r="H59" s="30" t="e">
        <f t="shared" si="8"/>
        <v>#NAME?</v>
      </c>
      <c r="I59" s="33" t="e">
        <f t="shared" si="9"/>
        <v>#NAME?</v>
      </c>
      <c r="J59" s="33" t="e">
        <f t="shared" si="10"/>
        <v>#NAME?</v>
      </c>
      <c r="K59" s="30" t="e">
        <f t="shared" si="6"/>
        <v>#NAME?</v>
      </c>
      <c r="L59" s="32" t="e">
        <f t="shared" si="3"/>
        <v>#NAME?</v>
      </c>
    </row>
    <row r="60" spans="1:12">
      <c r="A60" s="6">
        <v>2046</v>
      </c>
      <c r="B60" s="30">
        <f t="shared" si="11"/>
        <v>1.5804588547029366</v>
      </c>
      <c r="C60" s="30" t="e">
        <f t="shared" si="7"/>
        <v>#NAME?</v>
      </c>
      <c r="D60" s="30" t="e">
        <f t="shared" si="12"/>
        <v>#NAME?</v>
      </c>
      <c r="E60" s="30" t="e">
        <f t="shared" si="0"/>
        <v>#NAME?</v>
      </c>
      <c r="F60" s="30" t="e">
        <f t="shared" si="1"/>
        <v>#NAME?</v>
      </c>
      <c r="G60" s="30" t="e">
        <f t="shared" si="2"/>
        <v>#NAME?</v>
      </c>
      <c r="H60" s="30" t="e">
        <f t="shared" si="8"/>
        <v>#NAME?</v>
      </c>
      <c r="I60" s="33" t="e">
        <f t="shared" si="9"/>
        <v>#NAME?</v>
      </c>
      <c r="J60" s="33" t="e">
        <f t="shared" si="10"/>
        <v>#NAME?</v>
      </c>
      <c r="K60" s="30" t="e">
        <f t="shared" si="6"/>
        <v>#NAME?</v>
      </c>
      <c r="L60" s="32" t="e">
        <f t="shared" si="3"/>
        <v>#NAME?</v>
      </c>
    </row>
    <row r="61" spans="1:12">
      <c r="A61" s="30">
        <v>2047</v>
      </c>
      <c r="B61" s="30">
        <f t="shared" si="11"/>
        <v>1.5962634432499661</v>
      </c>
      <c r="C61" s="30" t="e">
        <f t="shared" si="7"/>
        <v>#NAME?</v>
      </c>
      <c r="D61" s="30" t="e">
        <f t="shared" si="12"/>
        <v>#NAME?</v>
      </c>
      <c r="E61" s="30" t="e">
        <f t="shared" si="0"/>
        <v>#NAME?</v>
      </c>
      <c r="F61" s="30" t="e">
        <f t="shared" si="1"/>
        <v>#NAME?</v>
      </c>
      <c r="G61" s="30" t="e">
        <f t="shared" si="2"/>
        <v>#NAME?</v>
      </c>
      <c r="H61" s="30" t="e">
        <f t="shared" si="8"/>
        <v>#NAME?</v>
      </c>
      <c r="I61" s="33" t="e">
        <f t="shared" si="9"/>
        <v>#NAME?</v>
      </c>
      <c r="J61" s="33" t="e">
        <f t="shared" si="10"/>
        <v>#NAME?</v>
      </c>
      <c r="K61" s="30" t="e">
        <f t="shared" si="6"/>
        <v>#NAME?</v>
      </c>
      <c r="L61" s="32" t="e">
        <f t="shared" si="3"/>
        <v>#NAME?</v>
      </c>
    </row>
    <row r="62" spans="1:12">
      <c r="A62" s="6">
        <v>2048</v>
      </c>
      <c r="B62" s="30">
        <f t="shared" si="11"/>
        <v>1.6122260776824657</v>
      </c>
      <c r="C62" s="30" t="e">
        <f t="shared" si="7"/>
        <v>#NAME?</v>
      </c>
      <c r="D62" s="30" t="e">
        <f t="shared" si="12"/>
        <v>#NAME?</v>
      </c>
      <c r="E62" s="30" t="e">
        <f t="shared" si="0"/>
        <v>#NAME?</v>
      </c>
      <c r="F62" s="30" t="e">
        <f t="shared" si="1"/>
        <v>#NAME?</v>
      </c>
      <c r="G62" s="30" t="e">
        <f t="shared" si="2"/>
        <v>#NAME?</v>
      </c>
      <c r="H62" s="30" t="e">
        <f t="shared" si="8"/>
        <v>#NAME?</v>
      </c>
      <c r="I62" s="33" t="e">
        <f t="shared" si="9"/>
        <v>#NAME?</v>
      </c>
      <c r="J62" s="33" t="e">
        <f t="shared" si="10"/>
        <v>#NAME?</v>
      </c>
      <c r="K62" s="30" t="e">
        <f t="shared" si="6"/>
        <v>#NAME?</v>
      </c>
      <c r="L62" s="32" t="e">
        <f t="shared" si="3"/>
        <v>#NAME?</v>
      </c>
    </row>
    <row r="63" spans="1:12">
      <c r="A63" s="30">
        <v>2049</v>
      </c>
      <c r="B63" s="30">
        <f t="shared" si="11"/>
        <v>1.6283483384592905</v>
      </c>
      <c r="C63" s="30" t="e">
        <f t="shared" si="7"/>
        <v>#NAME?</v>
      </c>
      <c r="D63" s="30" t="e">
        <f t="shared" si="12"/>
        <v>#NAME?</v>
      </c>
      <c r="E63" s="30" t="e">
        <f t="shared" si="0"/>
        <v>#NAME?</v>
      </c>
      <c r="F63" s="30" t="e">
        <f t="shared" si="1"/>
        <v>#NAME?</v>
      </c>
      <c r="G63" s="30" t="e">
        <f t="shared" si="2"/>
        <v>#NAME?</v>
      </c>
      <c r="H63" s="30" t="e">
        <f t="shared" si="8"/>
        <v>#NAME?</v>
      </c>
      <c r="I63" s="33" t="e">
        <f t="shared" si="9"/>
        <v>#NAME?</v>
      </c>
      <c r="J63" s="33" t="e">
        <f t="shared" si="10"/>
        <v>#NAME?</v>
      </c>
      <c r="K63" s="30" t="e">
        <f t="shared" si="6"/>
        <v>#NAME?</v>
      </c>
      <c r="L63" s="32" t="e">
        <f t="shared" si="3"/>
        <v>#NAME?</v>
      </c>
    </row>
    <row r="64" spans="1:12">
      <c r="A64" s="6">
        <v>2050</v>
      </c>
      <c r="B64" s="30">
        <f t="shared" si="11"/>
        <v>1.6446318218438833</v>
      </c>
      <c r="C64" s="30" t="e">
        <f t="shared" si="7"/>
        <v>#NAME?</v>
      </c>
      <c r="D64" s="30" t="e">
        <f t="shared" si="12"/>
        <v>#NAME?</v>
      </c>
      <c r="E64" s="30" t="e">
        <f t="shared" si="0"/>
        <v>#NAME?</v>
      </c>
      <c r="F64" s="30" t="e">
        <f t="shared" si="1"/>
        <v>#NAME?</v>
      </c>
      <c r="G64" s="30" t="e">
        <f t="shared" si="2"/>
        <v>#NAME?</v>
      </c>
      <c r="H64" s="30" t="e">
        <f t="shared" si="8"/>
        <v>#NAME?</v>
      </c>
      <c r="I64" s="33" t="e">
        <f t="shared" si="9"/>
        <v>#NAME?</v>
      </c>
      <c r="J64" s="33" t="e">
        <f t="shared" si="10"/>
        <v>#NAME?</v>
      </c>
      <c r="K64" s="30" t="e">
        <f t="shared" si="6"/>
        <v>#NAME?</v>
      </c>
      <c r="L64" s="32" t="e">
        <f t="shared" si="3"/>
        <v>#NAME?</v>
      </c>
    </row>
    <row r="65" spans="1:12">
      <c r="A65" s="30">
        <v>2051</v>
      </c>
      <c r="B65" s="30">
        <f t="shared" si="11"/>
        <v>1.6610781400623222</v>
      </c>
      <c r="C65" s="30" t="e">
        <f t="shared" si="7"/>
        <v>#NAME?</v>
      </c>
      <c r="D65" s="30" t="e">
        <f t="shared" si="12"/>
        <v>#NAME?</v>
      </c>
      <c r="E65" s="30" t="e">
        <f t="shared" si="0"/>
        <v>#NAME?</v>
      </c>
      <c r="F65" s="30" t="e">
        <f t="shared" si="1"/>
        <v>#NAME?</v>
      </c>
      <c r="G65" s="30" t="e">
        <f t="shared" si="2"/>
        <v>#NAME?</v>
      </c>
      <c r="H65" s="30" t="e">
        <f t="shared" si="8"/>
        <v>#NAME?</v>
      </c>
      <c r="I65" s="33" t="e">
        <f t="shared" si="9"/>
        <v>#NAME?</v>
      </c>
      <c r="J65" s="33" t="e">
        <f t="shared" si="10"/>
        <v>#NAME?</v>
      </c>
      <c r="K65" s="30" t="e">
        <f t="shared" si="6"/>
        <v>#NAME?</v>
      </c>
      <c r="L65" s="32" t="e">
        <f t="shared" si="3"/>
        <v>#NAME?</v>
      </c>
    </row>
    <row r="66" spans="1:12">
      <c r="A66" s="6">
        <v>2052</v>
      </c>
      <c r="B66" s="30">
        <f t="shared" si="11"/>
        <v>1.6776889214629456</v>
      </c>
      <c r="C66" s="30" t="e">
        <f t="shared" si="7"/>
        <v>#NAME?</v>
      </c>
      <c r="D66" s="30" t="e">
        <f t="shared" si="12"/>
        <v>#NAME?</v>
      </c>
      <c r="E66" s="30" t="e">
        <f t="shared" si="0"/>
        <v>#NAME?</v>
      </c>
      <c r="F66" s="30" t="e">
        <f t="shared" si="1"/>
        <v>#NAME?</v>
      </c>
      <c r="G66" s="30" t="e">
        <f t="shared" si="2"/>
        <v>#NAME?</v>
      </c>
      <c r="H66" s="30" t="e">
        <f t="shared" si="8"/>
        <v>#NAME?</v>
      </c>
      <c r="I66" s="33" t="e">
        <f t="shared" si="9"/>
        <v>#NAME?</v>
      </c>
      <c r="J66" s="33" t="e">
        <f t="shared" si="10"/>
        <v>#NAME?</v>
      </c>
      <c r="K66" s="30" t="e">
        <f t="shared" si="6"/>
        <v>#NAME?</v>
      </c>
      <c r="L66" s="32" t="e">
        <f t="shared" si="3"/>
        <v>#NAME?</v>
      </c>
    </row>
    <row r="67" spans="1:12">
      <c r="A67" s="30">
        <v>2053</v>
      </c>
      <c r="B67" s="30">
        <f t="shared" si="11"/>
        <v>1.694465810677575</v>
      </c>
      <c r="C67" s="30" t="e">
        <f t="shared" si="7"/>
        <v>#NAME?</v>
      </c>
      <c r="D67" s="30" t="e">
        <f t="shared" si="12"/>
        <v>#NAME?</v>
      </c>
      <c r="E67" s="30" t="e">
        <f t="shared" si="0"/>
        <v>#NAME?</v>
      </c>
      <c r="F67" s="30" t="e">
        <f t="shared" si="1"/>
        <v>#NAME?</v>
      </c>
      <c r="G67" s="30" t="e">
        <f t="shared" si="2"/>
        <v>#NAME?</v>
      </c>
      <c r="H67" s="30" t="e">
        <f t="shared" si="8"/>
        <v>#NAME?</v>
      </c>
      <c r="I67" s="33" t="e">
        <f t="shared" si="9"/>
        <v>#NAME?</v>
      </c>
      <c r="J67" s="33" t="e">
        <f t="shared" si="10"/>
        <v>#NAME?</v>
      </c>
      <c r="K67" s="30" t="e">
        <f t="shared" si="6"/>
        <v>#NAME?</v>
      </c>
      <c r="L67" s="32" t="e">
        <f t="shared" si="3"/>
        <v>#NAME?</v>
      </c>
    </row>
    <row r="68" spans="1:12">
      <c r="A68" s="6">
        <v>2054</v>
      </c>
      <c r="B68" s="30">
        <f t="shared" si="11"/>
        <v>1.7114104687843508</v>
      </c>
      <c r="C68" s="30" t="e">
        <f t="shared" si="7"/>
        <v>#NAME?</v>
      </c>
      <c r="D68" s="30" t="e">
        <f t="shared" si="12"/>
        <v>#NAME?</v>
      </c>
      <c r="E68" s="30" t="e">
        <f t="shared" si="0"/>
        <v>#NAME?</v>
      </c>
      <c r="F68" s="30" t="e">
        <f t="shared" si="1"/>
        <v>#NAME?</v>
      </c>
      <c r="G68" s="30" t="e">
        <f t="shared" si="2"/>
        <v>#NAME?</v>
      </c>
      <c r="H68" s="30" t="e">
        <f t="shared" si="8"/>
        <v>#NAME?</v>
      </c>
      <c r="I68" s="33" t="e">
        <f t="shared" si="9"/>
        <v>#NAME?</v>
      </c>
      <c r="J68" s="33" t="e">
        <f t="shared" si="10"/>
        <v>#NAME?</v>
      </c>
      <c r="K68" s="30" t="e">
        <f t="shared" si="6"/>
        <v>#NAME?</v>
      </c>
      <c r="L68" s="32" t="e">
        <f t="shared" si="3"/>
        <v>#NAME?</v>
      </c>
    </row>
    <row r="69" spans="1:12">
      <c r="A69" s="30">
        <v>2055</v>
      </c>
      <c r="B69" s="30">
        <f t="shared" si="11"/>
        <v>1.7285245734721943</v>
      </c>
      <c r="C69" s="30" t="e">
        <f t="shared" si="7"/>
        <v>#NAME?</v>
      </c>
      <c r="D69" s="30" t="e">
        <f t="shared" si="12"/>
        <v>#NAME?</v>
      </c>
      <c r="E69" s="30" t="e">
        <f t="shared" si="0"/>
        <v>#NAME?</v>
      </c>
      <c r="F69" s="30" t="e">
        <f t="shared" si="1"/>
        <v>#NAME?</v>
      </c>
      <c r="G69" s="30" t="e">
        <f t="shared" si="2"/>
        <v>#NAME?</v>
      </c>
      <c r="H69" s="30" t="e">
        <f t="shared" si="8"/>
        <v>#NAME?</v>
      </c>
      <c r="I69" s="33" t="e">
        <f t="shared" si="9"/>
        <v>#NAME?</v>
      </c>
      <c r="J69" s="33" t="e">
        <f t="shared" si="10"/>
        <v>#NAME?</v>
      </c>
      <c r="K69" s="30" t="e">
        <f t="shared" si="6"/>
        <v>#NAME?</v>
      </c>
      <c r="L69" s="32" t="e">
        <f t="shared" si="3"/>
        <v>#NAME?</v>
      </c>
    </row>
    <row r="70" spans="1:12">
      <c r="A70" s="6">
        <v>2056</v>
      </c>
      <c r="B70" s="30">
        <f t="shared" si="11"/>
        <v>1.7458098192069162</v>
      </c>
      <c r="C70" s="30" t="e">
        <f t="shared" si="7"/>
        <v>#NAME?</v>
      </c>
      <c r="D70" s="30" t="e">
        <f t="shared" si="12"/>
        <v>#NAME?</v>
      </c>
      <c r="E70" s="30" t="e">
        <f t="shared" si="0"/>
        <v>#NAME?</v>
      </c>
      <c r="F70" s="30" t="e">
        <f t="shared" si="1"/>
        <v>#NAME?</v>
      </c>
      <c r="G70" s="30" t="e">
        <f t="shared" si="2"/>
        <v>#NAME?</v>
      </c>
      <c r="H70" s="30" t="e">
        <f t="shared" si="8"/>
        <v>#NAME?</v>
      </c>
      <c r="I70" s="33" t="e">
        <f t="shared" si="9"/>
        <v>#NAME?</v>
      </c>
      <c r="J70" s="33" t="e">
        <f t="shared" si="10"/>
        <v>#NAME?</v>
      </c>
      <c r="K70" s="30" t="e">
        <f t="shared" si="6"/>
        <v>#NAME?</v>
      </c>
      <c r="L70" s="32" t="e">
        <f t="shared" si="3"/>
        <v>#NAME?</v>
      </c>
    </row>
    <row r="71" spans="1:12">
      <c r="A71" s="30">
        <v>2057</v>
      </c>
      <c r="B71" s="30">
        <f t="shared" si="11"/>
        <v>1.7632679173989854</v>
      </c>
      <c r="C71" s="30" t="e">
        <f t="shared" si="7"/>
        <v>#NAME?</v>
      </c>
      <c r="D71" s="30" t="e">
        <f t="shared" si="12"/>
        <v>#NAME?</v>
      </c>
      <c r="E71" s="30" t="e">
        <f t="shared" si="0"/>
        <v>#NAME?</v>
      </c>
      <c r="F71" s="30" t="e">
        <f t="shared" si="1"/>
        <v>#NAME?</v>
      </c>
      <c r="G71" s="30" t="e">
        <f t="shared" si="2"/>
        <v>#NAME?</v>
      </c>
      <c r="H71" s="30" t="e">
        <f t="shared" si="8"/>
        <v>#NAME?</v>
      </c>
      <c r="I71" s="33" t="e">
        <f t="shared" si="9"/>
        <v>#NAME?</v>
      </c>
      <c r="J71" s="33" t="e">
        <f t="shared" si="10"/>
        <v>#NAME?</v>
      </c>
      <c r="K71" s="30" t="e">
        <f t="shared" si="6"/>
        <v>#NAME?</v>
      </c>
      <c r="L71" s="32" t="e">
        <f t="shared" si="3"/>
        <v>#NAME?</v>
      </c>
    </row>
    <row r="72" spans="1:12">
      <c r="A72" s="6">
        <v>2058</v>
      </c>
      <c r="B72" s="30">
        <f t="shared" si="11"/>
        <v>1.7809005965729752</v>
      </c>
      <c r="C72" s="30" t="e">
        <f t="shared" si="7"/>
        <v>#NAME?</v>
      </c>
      <c r="D72" s="30" t="e">
        <f t="shared" si="12"/>
        <v>#NAME?</v>
      </c>
      <c r="E72" s="30" t="e">
        <f t="shared" si="0"/>
        <v>#NAME?</v>
      </c>
      <c r="F72" s="30" t="e">
        <f t="shared" si="1"/>
        <v>#NAME?</v>
      </c>
      <c r="G72" s="30" t="e">
        <f t="shared" si="2"/>
        <v>#NAME?</v>
      </c>
      <c r="H72" s="30" t="e">
        <f t="shared" si="8"/>
        <v>#NAME?</v>
      </c>
      <c r="I72" s="33" t="e">
        <f t="shared" si="9"/>
        <v>#NAME?</v>
      </c>
      <c r="J72" s="33" t="e">
        <f t="shared" si="10"/>
        <v>#NAME?</v>
      </c>
      <c r="K72" s="30" t="e">
        <f t="shared" si="6"/>
        <v>#NAME?</v>
      </c>
      <c r="L72" s="32" t="e">
        <f t="shared" si="3"/>
        <v>#NAME?</v>
      </c>
    </row>
    <row r="73" spans="1:12">
      <c r="A73" s="30">
        <v>2059</v>
      </c>
      <c r="B73" s="30">
        <f t="shared" si="11"/>
        <v>1.798709602538705</v>
      </c>
      <c r="C73" s="30" t="e">
        <f t="shared" si="7"/>
        <v>#NAME?</v>
      </c>
      <c r="D73" s="30" t="e">
        <f t="shared" si="12"/>
        <v>#NAME?</v>
      </c>
      <c r="E73" s="30" t="e">
        <f t="shared" si="0"/>
        <v>#NAME?</v>
      </c>
      <c r="F73" s="30" t="e">
        <f t="shared" si="1"/>
        <v>#NAME?</v>
      </c>
      <c r="G73" s="30" t="e">
        <f t="shared" si="2"/>
        <v>#NAME?</v>
      </c>
      <c r="H73" s="30" t="e">
        <f t="shared" si="8"/>
        <v>#NAME?</v>
      </c>
      <c r="I73" s="33" t="e">
        <f t="shared" si="9"/>
        <v>#NAME?</v>
      </c>
      <c r="J73" s="33" t="e">
        <f t="shared" si="10"/>
        <v>#NAME?</v>
      </c>
      <c r="K73" s="30" t="e">
        <f t="shared" si="6"/>
        <v>#NAME?</v>
      </c>
      <c r="L73" s="32" t="e">
        <f t="shared" si="3"/>
        <v>#NAME?</v>
      </c>
    </row>
    <row r="74" spans="1:12">
      <c r="A74" s="6">
        <v>2060</v>
      </c>
      <c r="B74" s="30">
        <f t="shared" si="11"/>
        <v>1.8166966985640922</v>
      </c>
      <c r="C74" s="30" t="e">
        <f t="shared" si="7"/>
        <v>#NAME?</v>
      </c>
      <c r="D74" s="30" t="e">
        <f t="shared" si="12"/>
        <v>#NAME?</v>
      </c>
      <c r="E74" s="30" t="e">
        <f t="shared" si="0"/>
        <v>#NAME?</v>
      </c>
      <c r="F74" s="30" t="e">
        <f t="shared" si="1"/>
        <v>#NAME?</v>
      </c>
      <c r="G74" s="30" t="e">
        <f t="shared" si="2"/>
        <v>#NAME?</v>
      </c>
      <c r="H74" s="30" t="e">
        <f t="shared" si="8"/>
        <v>#NAME?</v>
      </c>
      <c r="I74" s="33" t="e">
        <f t="shared" si="9"/>
        <v>#NAME?</v>
      </c>
      <c r="J74" s="33" t="e">
        <f t="shared" si="10"/>
        <v>#NAME?</v>
      </c>
      <c r="K74" s="30" t="e">
        <f t="shared" si="6"/>
        <v>#NAME?</v>
      </c>
      <c r="L74" s="32" t="e">
        <f t="shared" si="3"/>
        <v>#NAME?</v>
      </c>
    </row>
    <row r="75" spans="1:12">
      <c r="A75" s="30">
        <v>2061</v>
      </c>
      <c r="B75" s="30">
        <f t="shared" si="11"/>
        <v>1.8348636655497332</v>
      </c>
      <c r="C75" s="30" t="e">
        <f t="shared" si="7"/>
        <v>#NAME?</v>
      </c>
      <c r="D75" s="30" t="e">
        <f t="shared" si="12"/>
        <v>#NAME?</v>
      </c>
      <c r="E75" s="30" t="e">
        <f t="shared" si="0"/>
        <v>#NAME?</v>
      </c>
      <c r="F75" s="30" t="e">
        <f t="shared" si="1"/>
        <v>#NAME?</v>
      </c>
      <c r="G75" s="30" t="e">
        <f t="shared" si="2"/>
        <v>#NAME?</v>
      </c>
      <c r="H75" s="30" t="e">
        <f t="shared" si="8"/>
        <v>#NAME?</v>
      </c>
      <c r="I75" s="33" t="e">
        <f t="shared" si="9"/>
        <v>#NAME?</v>
      </c>
      <c r="J75" s="33" t="e">
        <f t="shared" si="10"/>
        <v>#NAME?</v>
      </c>
      <c r="K75" s="30" t="e">
        <f t="shared" si="6"/>
        <v>#NAME?</v>
      </c>
      <c r="L75" s="32" t="e">
        <f t="shared" si="3"/>
        <v>#NAME?</v>
      </c>
    </row>
    <row r="76" spans="1:12">
      <c r="A76" s="6">
        <v>2062</v>
      </c>
      <c r="B76" s="30">
        <f t="shared" si="11"/>
        <v>1.8532123022052305</v>
      </c>
      <c r="C76" s="30" t="e">
        <f t="shared" si="7"/>
        <v>#NAME?</v>
      </c>
      <c r="D76" s="30" t="e">
        <f t="shared" si="12"/>
        <v>#NAME?</v>
      </c>
      <c r="E76" s="30" t="e">
        <f t="shared" si="0"/>
        <v>#NAME?</v>
      </c>
      <c r="F76" s="30" t="e">
        <f t="shared" si="1"/>
        <v>#NAME?</v>
      </c>
      <c r="G76" s="30" t="e">
        <f t="shared" si="2"/>
        <v>#NAME?</v>
      </c>
      <c r="H76" s="30" t="e">
        <f t="shared" si="8"/>
        <v>#NAME?</v>
      </c>
      <c r="I76" s="33" t="e">
        <f t="shared" si="9"/>
        <v>#NAME?</v>
      </c>
      <c r="J76" s="33" t="e">
        <f t="shared" si="10"/>
        <v>#NAME?</v>
      </c>
      <c r="K76" s="30" t="e">
        <f t="shared" si="6"/>
        <v>#NAME?</v>
      </c>
      <c r="L76" s="32" t="e">
        <f t="shared" si="3"/>
        <v>#NAME?</v>
      </c>
    </row>
    <row r="77" spans="1:12">
      <c r="A77" s="30">
        <v>2063</v>
      </c>
      <c r="B77" s="30">
        <f t="shared" si="11"/>
        <v>1.8717444252272828</v>
      </c>
      <c r="C77" s="30" t="e">
        <f t="shared" si="7"/>
        <v>#NAME?</v>
      </c>
      <c r="D77" s="30" t="e">
        <f t="shared" si="12"/>
        <v>#NAME?</v>
      </c>
      <c r="E77" s="30" t="e">
        <f t="shared" si="0"/>
        <v>#NAME?</v>
      </c>
      <c r="F77" s="30" t="e">
        <f t="shared" si="1"/>
        <v>#NAME?</v>
      </c>
      <c r="G77" s="30" t="e">
        <f t="shared" si="2"/>
        <v>#NAME?</v>
      </c>
      <c r="H77" s="30" t="e">
        <f t="shared" si="8"/>
        <v>#NAME?</v>
      </c>
      <c r="I77" s="33" t="e">
        <f t="shared" si="9"/>
        <v>#NAME?</v>
      </c>
      <c r="J77" s="33" t="e">
        <f t="shared" si="10"/>
        <v>#NAME?</v>
      </c>
      <c r="K77" s="30" t="e">
        <f t="shared" si="6"/>
        <v>#NAME?</v>
      </c>
      <c r="L77" s="32" t="e">
        <f t="shared" si="3"/>
        <v>#NAME?</v>
      </c>
    </row>
    <row r="78" spans="1:12">
      <c r="A78" s="6">
        <v>2064</v>
      </c>
      <c r="B78" s="30">
        <f t="shared" si="11"/>
        <v>1.8904618694795556</v>
      </c>
      <c r="C78" s="30" t="e">
        <f t="shared" si="7"/>
        <v>#NAME?</v>
      </c>
      <c r="D78" s="30" t="e">
        <f t="shared" si="12"/>
        <v>#NAME?</v>
      </c>
      <c r="E78" s="30" t="e">
        <f t="shared" ref="E78:E141" si="13">(1-s)*D78</f>
        <v>#NAME?</v>
      </c>
      <c r="F78" s="30" t="e">
        <f t="shared" ref="F78:F141" si="14">s*D78</f>
        <v>#NAME?</v>
      </c>
      <c r="G78" s="30" t="e">
        <f t="shared" ref="G78:G141" si="15">dep*C78</f>
        <v>#NAME?</v>
      </c>
      <c r="H78" s="30" t="e">
        <f t="shared" si="8"/>
        <v>#NAME?</v>
      </c>
      <c r="I78" s="33" t="e">
        <f t="shared" si="9"/>
        <v>#NAME?</v>
      </c>
      <c r="J78" s="33" t="e">
        <f t="shared" si="10"/>
        <v>#NAME?</v>
      </c>
      <c r="K78" s="30" t="e">
        <f t="shared" si="6"/>
        <v>#NAME?</v>
      </c>
      <c r="L78" s="32" t="e">
        <f t="shared" ref="L78:L141" si="16">alpha1/K78</f>
        <v>#NAME?</v>
      </c>
    </row>
    <row r="79" spans="1:12">
      <c r="A79" s="30">
        <v>2065</v>
      </c>
      <c r="B79" s="30">
        <f t="shared" ref="B79:B110" si="17">(1+n)*B78</f>
        <v>1.9093664881743513</v>
      </c>
      <c r="C79" s="30" t="e">
        <f t="shared" si="7"/>
        <v>#NAME?</v>
      </c>
      <c r="D79" s="30" t="e">
        <f t="shared" ref="D79:D110" si="18">A*(alpha1*C79^rho+alpha2*((1+g)^(A79-$A$14)*B79)^rho)^(1/rho)</f>
        <v>#NAME?</v>
      </c>
      <c r="E79" s="30" t="e">
        <f t="shared" si="13"/>
        <v>#NAME?</v>
      </c>
      <c r="F79" s="30" t="e">
        <f t="shared" si="14"/>
        <v>#NAME?</v>
      </c>
      <c r="G79" s="30" t="e">
        <f t="shared" si="15"/>
        <v>#NAME?</v>
      </c>
      <c r="H79" s="30" t="e">
        <f t="shared" si="8"/>
        <v>#NAME?</v>
      </c>
      <c r="I79" s="33" t="e">
        <f t="shared" si="9"/>
        <v>#NAME?</v>
      </c>
      <c r="J79" s="33" t="e">
        <f t="shared" si="10"/>
        <v>#NAME?</v>
      </c>
      <c r="K79" s="30" t="e">
        <f t="shared" ref="K79:K114" si="19">C79/D79</f>
        <v>#NAME?</v>
      </c>
      <c r="L79" s="32" t="e">
        <f t="shared" si="16"/>
        <v>#NAME?</v>
      </c>
    </row>
    <row r="80" spans="1:12">
      <c r="A80" s="6">
        <v>2066</v>
      </c>
      <c r="B80" s="30">
        <f t="shared" si="17"/>
        <v>1.9284601530560948</v>
      </c>
      <c r="C80" s="30" t="e">
        <f t="shared" ref="C80:C114" si="20">C79+H79</f>
        <v>#NAME?</v>
      </c>
      <c r="D80" s="30" t="e">
        <f t="shared" si="18"/>
        <v>#NAME?</v>
      </c>
      <c r="E80" s="30" t="e">
        <f t="shared" si="13"/>
        <v>#NAME?</v>
      </c>
      <c r="F80" s="30" t="e">
        <f t="shared" si="14"/>
        <v>#NAME?</v>
      </c>
      <c r="G80" s="30" t="e">
        <f t="shared" si="15"/>
        <v>#NAME?</v>
      </c>
      <c r="H80" s="30" t="e">
        <f t="shared" ref="H80:H114" si="21">F80-G80</f>
        <v>#NAME?</v>
      </c>
      <c r="I80" s="33" t="e">
        <f t="shared" ref="I80:I143" si="22">(C80-C79)/C79</f>
        <v>#NAME?</v>
      </c>
      <c r="J80" s="33" t="e">
        <f t="shared" si="10"/>
        <v>#NAME?</v>
      </c>
      <c r="K80" s="30" t="e">
        <f t="shared" si="19"/>
        <v>#NAME?</v>
      </c>
      <c r="L80" s="32" t="e">
        <f t="shared" si="16"/>
        <v>#NAME?</v>
      </c>
    </row>
    <row r="81" spans="1:12">
      <c r="A81" s="30">
        <v>2067</v>
      </c>
      <c r="B81" s="30">
        <f t="shared" si="17"/>
        <v>1.9477447545866557</v>
      </c>
      <c r="C81" s="30" t="e">
        <f t="shared" si="20"/>
        <v>#NAME?</v>
      </c>
      <c r="D81" s="30" t="e">
        <f t="shared" si="18"/>
        <v>#NAME?</v>
      </c>
      <c r="E81" s="30" t="e">
        <f t="shared" si="13"/>
        <v>#NAME?</v>
      </c>
      <c r="F81" s="30" t="e">
        <f t="shared" si="14"/>
        <v>#NAME?</v>
      </c>
      <c r="G81" s="30" t="e">
        <f t="shared" si="15"/>
        <v>#NAME?</v>
      </c>
      <c r="H81" s="30" t="e">
        <f t="shared" si="21"/>
        <v>#NAME?</v>
      </c>
      <c r="I81" s="33" t="e">
        <f t="shared" si="22"/>
        <v>#NAME?</v>
      </c>
      <c r="J81" s="33" t="e">
        <f t="shared" ref="J81:J114" si="23">(D81-D80)/D80</f>
        <v>#NAME?</v>
      </c>
      <c r="K81" s="30" t="e">
        <f t="shared" si="19"/>
        <v>#NAME?</v>
      </c>
      <c r="L81" s="32" t="e">
        <f t="shared" si="16"/>
        <v>#NAME?</v>
      </c>
    </row>
    <row r="82" spans="1:12">
      <c r="A82" s="6">
        <v>2068</v>
      </c>
      <c r="B82" s="30">
        <f t="shared" si="17"/>
        <v>1.9672222021325223</v>
      </c>
      <c r="C82" s="30" t="e">
        <f t="shared" si="20"/>
        <v>#NAME?</v>
      </c>
      <c r="D82" s="30" t="e">
        <f t="shared" si="18"/>
        <v>#NAME?</v>
      </c>
      <c r="E82" s="30" t="e">
        <f t="shared" si="13"/>
        <v>#NAME?</v>
      </c>
      <c r="F82" s="30" t="e">
        <f t="shared" si="14"/>
        <v>#NAME?</v>
      </c>
      <c r="G82" s="30" t="e">
        <f t="shared" si="15"/>
        <v>#NAME?</v>
      </c>
      <c r="H82" s="30" t="e">
        <f t="shared" si="21"/>
        <v>#NAME?</v>
      </c>
      <c r="I82" s="33" t="e">
        <f t="shared" si="22"/>
        <v>#NAME?</v>
      </c>
      <c r="J82" s="33" t="e">
        <f t="shared" si="23"/>
        <v>#NAME?</v>
      </c>
      <c r="K82" s="30" t="e">
        <f t="shared" si="19"/>
        <v>#NAME?</v>
      </c>
      <c r="L82" s="32" t="e">
        <f t="shared" si="16"/>
        <v>#NAME?</v>
      </c>
    </row>
    <row r="83" spans="1:12">
      <c r="A83" s="30">
        <v>2069</v>
      </c>
      <c r="B83" s="30">
        <f t="shared" si="17"/>
        <v>1.9868944241538475</v>
      </c>
      <c r="C83" s="30" t="e">
        <f t="shared" si="20"/>
        <v>#NAME?</v>
      </c>
      <c r="D83" s="30" t="e">
        <f t="shared" si="18"/>
        <v>#NAME?</v>
      </c>
      <c r="E83" s="30" t="e">
        <f t="shared" si="13"/>
        <v>#NAME?</v>
      </c>
      <c r="F83" s="30" t="e">
        <f t="shared" si="14"/>
        <v>#NAME?</v>
      </c>
      <c r="G83" s="30" t="e">
        <f t="shared" si="15"/>
        <v>#NAME?</v>
      </c>
      <c r="H83" s="30" t="e">
        <f t="shared" si="21"/>
        <v>#NAME?</v>
      </c>
      <c r="I83" s="33" t="e">
        <f t="shared" si="22"/>
        <v>#NAME?</v>
      </c>
      <c r="J83" s="33" t="e">
        <f t="shared" si="23"/>
        <v>#NAME?</v>
      </c>
      <c r="K83" s="30" t="e">
        <f t="shared" si="19"/>
        <v>#NAME?</v>
      </c>
      <c r="L83" s="32" t="e">
        <f t="shared" si="16"/>
        <v>#NAME?</v>
      </c>
    </row>
    <row r="84" spans="1:12">
      <c r="A84" s="6">
        <v>2070</v>
      </c>
      <c r="B84" s="30">
        <f t="shared" si="17"/>
        <v>2.006763368395386</v>
      </c>
      <c r="C84" s="30" t="e">
        <f t="shared" si="20"/>
        <v>#NAME?</v>
      </c>
      <c r="D84" s="30" t="e">
        <f t="shared" si="18"/>
        <v>#NAME?</v>
      </c>
      <c r="E84" s="30" t="e">
        <f t="shared" si="13"/>
        <v>#NAME?</v>
      </c>
      <c r="F84" s="30" t="e">
        <f t="shared" si="14"/>
        <v>#NAME?</v>
      </c>
      <c r="G84" s="30" t="e">
        <f t="shared" si="15"/>
        <v>#NAME?</v>
      </c>
      <c r="H84" s="30" t="e">
        <f t="shared" si="21"/>
        <v>#NAME?</v>
      </c>
      <c r="I84" s="33" t="e">
        <f t="shared" si="22"/>
        <v>#NAME?</v>
      </c>
      <c r="J84" s="33" t="e">
        <f t="shared" si="23"/>
        <v>#NAME?</v>
      </c>
      <c r="K84" s="30" t="e">
        <f t="shared" si="19"/>
        <v>#NAME?</v>
      </c>
      <c r="L84" s="32" t="e">
        <f t="shared" si="16"/>
        <v>#NAME?</v>
      </c>
    </row>
    <row r="85" spans="1:12">
      <c r="A85" s="30">
        <v>2071</v>
      </c>
      <c r="B85" s="30">
        <f t="shared" si="17"/>
        <v>2.0268310020793399</v>
      </c>
      <c r="C85" s="30" t="e">
        <f t="shared" si="20"/>
        <v>#NAME?</v>
      </c>
      <c r="D85" s="30" t="e">
        <f t="shared" si="18"/>
        <v>#NAME?</v>
      </c>
      <c r="E85" s="30" t="e">
        <f t="shared" si="13"/>
        <v>#NAME?</v>
      </c>
      <c r="F85" s="30" t="e">
        <f t="shared" si="14"/>
        <v>#NAME?</v>
      </c>
      <c r="G85" s="30" t="e">
        <f t="shared" si="15"/>
        <v>#NAME?</v>
      </c>
      <c r="H85" s="30" t="e">
        <f t="shared" si="21"/>
        <v>#NAME?</v>
      </c>
      <c r="I85" s="33" t="e">
        <f t="shared" si="22"/>
        <v>#NAME?</v>
      </c>
      <c r="J85" s="33" t="e">
        <f t="shared" si="23"/>
        <v>#NAME?</v>
      </c>
      <c r="K85" s="30" t="e">
        <f t="shared" si="19"/>
        <v>#NAME?</v>
      </c>
      <c r="L85" s="32" t="e">
        <f t="shared" si="16"/>
        <v>#NAME?</v>
      </c>
    </row>
    <row r="86" spans="1:12">
      <c r="A86" s="6">
        <v>2072</v>
      </c>
      <c r="B86" s="30">
        <f t="shared" si="17"/>
        <v>2.0470993121001331</v>
      </c>
      <c r="C86" s="30" t="e">
        <f t="shared" si="20"/>
        <v>#NAME?</v>
      </c>
      <c r="D86" s="30" t="e">
        <f t="shared" si="18"/>
        <v>#NAME?</v>
      </c>
      <c r="E86" s="30" t="e">
        <f t="shared" si="13"/>
        <v>#NAME?</v>
      </c>
      <c r="F86" s="30" t="e">
        <f t="shared" si="14"/>
        <v>#NAME?</v>
      </c>
      <c r="G86" s="30" t="e">
        <f t="shared" si="15"/>
        <v>#NAME?</v>
      </c>
      <c r="H86" s="30" t="e">
        <f t="shared" si="21"/>
        <v>#NAME?</v>
      </c>
      <c r="I86" s="33" t="e">
        <f t="shared" si="22"/>
        <v>#NAME?</v>
      </c>
      <c r="J86" s="33" t="e">
        <f t="shared" si="23"/>
        <v>#NAME?</v>
      </c>
      <c r="K86" s="30" t="e">
        <f t="shared" si="19"/>
        <v>#NAME?</v>
      </c>
      <c r="L86" s="32" t="e">
        <f t="shared" si="16"/>
        <v>#NAME?</v>
      </c>
    </row>
    <row r="87" spans="1:12">
      <c r="A87" s="30">
        <v>2073</v>
      </c>
      <c r="B87" s="30">
        <f t="shared" si="17"/>
        <v>2.0675703052211345</v>
      </c>
      <c r="C87" s="30" t="e">
        <f t="shared" si="20"/>
        <v>#NAME?</v>
      </c>
      <c r="D87" s="30" t="e">
        <f t="shared" si="18"/>
        <v>#NAME?</v>
      </c>
      <c r="E87" s="30" t="e">
        <f t="shared" si="13"/>
        <v>#NAME?</v>
      </c>
      <c r="F87" s="30" t="e">
        <f t="shared" si="14"/>
        <v>#NAME?</v>
      </c>
      <c r="G87" s="30" t="e">
        <f t="shared" si="15"/>
        <v>#NAME?</v>
      </c>
      <c r="H87" s="30" t="e">
        <f t="shared" si="21"/>
        <v>#NAME?</v>
      </c>
      <c r="I87" s="33" t="e">
        <f t="shared" si="22"/>
        <v>#NAME?</v>
      </c>
      <c r="J87" s="33" t="e">
        <f t="shared" si="23"/>
        <v>#NAME?</v>
      </c>
      <c r="K87" s="30" t="e">
        <f t="shared" si="19"/>
        <v>#NAME?</v>
      </c>
      <c r="L87" s="32" t="e">
        <f t="shared" si="16"/>
        <v>#NAME?</v>
      </c>
    </row>
    <row r="88" spans="1:12">
      <c r="A88" s="6">
        <v>2074</v>
      </c>
      <c r="B88" s="30">
        <f t="shared" si="17"/>
        <v>2.0882460082733458</v>
      </c>
      <c r="C88" s="30" t="e">
        <f t="shared" si="20"/>
        <v>#NAME?</v>
      </c>
      <c r="D88" s="30" t="e">
        <f t="shared" si="18"/>
        <v>#NAME?</v>
      </c>
      <c r="E88" s="30" t="e">
        <f t="shared" si="13"/>
        <v>#NAME?</v>
      </c>
      <c r="F88" s="30" t="e">
        <f t="shared" si="14"/>
        <v>#NAME?</v>
      </c>
      <c r="G88" s="30" t="e">
        <f t="shared" si="15"/>
        <v>#NAME?</v>
      </c>
      <c r="H88" s="30" t="e">
        <f t="shared" si="21"/>
        <v>#NAME?</v>
      </c>
      <c r="I88" s="33" t="e">
        <f t="shared" si="22"/>
        <v>#NAME?</v>
      </c>
      <c r="J88" s="33" t="e">
        <f t="shared" si="23"/>
        <v>#NAME?</v>
      </c>
      <c r="K88" s="30" t="e">
        <f t="shared" si="19"/>
        <v>#NAME?</v>
      </c>
      <c r="L88" s="32" t="e">
        <f t="shared" si="16"/>
        <v>#NAME?</v>
      </c>
    </row>
    <row r="89" spans="1:12">
      <c r="A89" s="30">
        <v>2075</v>
      </c>
      <c r="B89" s="30">
        <f t="shared" si="17"/>
        <v>2.1091284683560794</v>
      </c>
      <c r="C89" s="30" t="e">
        <f t="shared" si="20"/>
        <v>#NAME?</v>
      </c>
      <c r="D89" s="30" t="e">
        <f t="shared" si="18"/>
        <v>#NAME?</v>
      </c>
      <c r="E89" s="30" t="e">
        <f t="shared" si="13"/>
        <v>#NAME?</v>
      </c>
      <c r="F89" s="30" t="e">
        <f t="shared" si="14"/>
        <v>#NAME?</v>
      </c>
      <c r="G89" s="30" t="e">
        <f t="shared" si="15"/>
        <v>#NAME?</v>
      </c>
      <c r="H89" s="30" t="e">
        <f t="shared" si="21"/>
        <v>#NAME?</v>
      </c>
      <c r="I89" s="33" t="e">
        <f t="shared" si="22"/>
        <v>#NAME?</v>
      </c>
      <c r="J89" s="33" t="e">
        <f t="shared" si="23"/>
        <v>#NAME?</v>
      </c>
      <c r="K89" s="30" t="e">
        <f t="shared" si="19"/>
        <v>#NAME?</v>
      </c>
      <c r="L89" s="32" t="e">
        <f t="shared" si="16"/>
        <v>#NAME?</v>
      </c>
    </row>
    <row r="90" spans="1:12">
      <c r="A90" s="6">
        <v>2076</v>
      </c>
      <c r="B90" s="30">
        <f t="shared" si="17"/>
        <v>2.1302197530396403</v>
      </c>
      <c r="C90" s="30" t="e">
        <f t="shared" si="20"/>
        <v>#NAME?</v>
      </c>
      <c r="D90" s="30" t="e">
        <f t="shared" si="18"/>
        <v>#NAME?</v>
      </c>
      <c r="E90" s="30" t="e">
        <f t="shared" si="13"/>
        <v>#NAME?</v>
      </c>
      <c r="F90" s="30" t="e">
        <f t="shared" si="14"/>
        <v>#NAME?</v>
      </c>
      <c r="G90" s="30" t="e">
        <f t="shared" si="15"/>
        <v>#NAME?</v>
      </c>
      <c r="H90" s="30" t="e">
        <f t="shared" si="21"/>
        <v>#NAME?</v>
      </c>
      <c r="I90" s="33" t="e">
        <f t="shared" si="22"/>
        <v>#NAME?</v>
      </c>
      <c r="J90" s="33" t="e">
        <f t="shared" si="23"/>
        <v>#NAME?</v>
      </c>
      <c r="K90" s="30" t="e">
        <f t="shared" si="19"/>
        <v>#NAME?</v>
      </c>
      <c r="L90" s="32" t="e">
        <f t="shared" si="16"/>
        <v>#NAME?</v>
      </c>
    </row>
    <row r="91" spans="1:12">
      <c r="A91" s="30">
        <v>2077</v>
      </c>
      <c r="B91" s="30">
        <f t="shared" si="17"/>
        <v>2.1515219505700367</v>
      </c>
      <c r="C91" s="30" t="e">
        <f t="shared" si="20"/>
        <v>#NAME?</v>
      </c>
      <c r="D91" s="30" t="e">
        <f t="shared" si="18"/>
        <v>#NAME?</v>
      </c>
      <c r="E91" s="30" t="e">
        <f t="shared" si="13"/>
        <v>#NAME?</v>
      </c>
      <c r="F91" s="30" t="e">
        <f t="shared" si="14"/>
        <v>#NAME?</v>
      </c>
      <c r="G91" s="30" t="e">
        <f t="shared" si="15"/>
        <v>#NAME?</v>
      </c>
      <c r="H91" s="30" t="e">
        <f t="shared" si="21"/>
        <v>#NAME?</v>
      </c>
      <c r="I91" s="33" t="e">
        <f t="shared" si="22"/>
        <v>#NAME?</v>
      </c>
      <c r="J91" s="33" t="e">
        <f t="shared" si="23"/>
        <v>#NAME?</v>
      </c>
      <c r="K91" s="30" t="e">
        <f t="shared" si="19"/>
        <v>#NAME?</v>
      </c>
      <c r="L91" s="32" t="e">
        <f t="shared" si="16"/>
        <v>#NAME?</v>
      </c>
    </row>
    <row r="92" spans="1:12">
      <c r="A92" s="6">
        <v>2078</v>
      </c>
      <c r="B92" s="30">
        <f t="shared" si="17"/>
        <v>2.1730371700757369</v>
      </c>
      <c r="C92" s="30" t="e">
        <f t="shared" si="20"/>
        <v>#NAME?</v>
      </c>
      <c r="D92" s="30" t="e">
        <f t="shared" si="18"/>
        <v>#NAME?</v>
      </c>
      <c r="E92" s="30" t="e">
        <f t="shared" si="13"/>
        <v>#NAME?</v>
      </c>
      <c r="F92" s="30" t="e">
        <f t="shared" si="14"/>
        <v>#NAME?</v>
      </c>
      <c r="G92" s="30" t="e">
        <f t="shared" si="15"/>
        <v>#NAME?</v>
      </c>
      <c r="H92" s="30" t="e">
        <f t="shared" si="21"/>
        <v>#NAME?</v>
      </c>
      <c r="I92" s="33" t="e">
        <f t="shared" si="22"/>
        <v>#NAME?</v>
      </c>
      <c r="J92" s="33" t="e">
        <f t="shared" si="23"/>
        <v>#NAME?</v>
      </c>
      <c r="K92" s="30" t="e">
        <f t="shared" si="19"/>
        <v>#NAME?</v>
      </c>
      <c r="L92" s="32" t="e">
        <f t="shared" si="16"/>
        <v>#NAME?</v>
      </c>
    </row>
    <row r="93" spans="1:12">
      <c r="A93" s="30">
        <v>2079</v>
      </c>
      <c r="B93" s="30">
        <f t="shared" si="17"/>
        <v>2.1947675417764945</v>
      </c>
      <c r="C93" s="30" t="e">
        <f t="shared" si="20"/>
        <v>#NAME?</v>
      </c>
      <c r="D93" s="30" t="e">
        <f t="shared" si="18"/>
        <v>#NAME?</v>
      </c>
      <c r="E93" s="30" t="e">
        <f t="shared" si="13"/>
        <v>#NAME?</v>
      </c>
      <c r="F93" s="30" t="e">
        <f t="shared" si="14"/>
        <v>#NAME?</v>
      </c>
      <c r="G93" s="30" t="e">
        <f t="shared" si="15"/>
        <v>#NAME?</v>
      </c>
      <c r="H93" s="30" t="e">
        <f t="shared" si="21"/>
        <v>#NAME?</v>
      </c>
      <c r="I93" s="33" t="e">
        <f t="shared" si="22"/>
        <v>#NAME?</v>
      </c>
      <c r="J93" s="33" t="e">
        <f t="shared" si="23"/>
        <v>#NAME?</v>
      </c>
      <c r="K93" s="30" t="e">
        <f t="shared" si="19"/>
        <v>#NAME?</v>
      </c>
      <c r="L93" s="32" t="e">
        <f t="shared" si="16"/>
        <v>#NAME?</v>
      </c>
    </row>
    <row r="94" spans="1:12">
      <c r="A94" s="6">
        <v>2080</v>
      </c>
      <c r="B94" s="30">
        <f t="shared" si="17"/>
        <v>2.2167152171942592</v>
      </c>
      <c r="C94" s="30" t="e">
        <f t="shared" si="20"/>
        <v>#NAME?</v>
      </c>
      <c r="D94" s="30" t="e">
        <f t="shared" si="18"/>
        <v>#NAME?</v>
      </c>
      <c r="E94" s="30" t="e">
        <f t="shared" si="13"/>
        <v>#NAME?</v>
      </c>
      <c r="F94" s="30" t="e">
        <f t="shared" si="14"/>
        <v>#NAME?</v>
      </c>
      <c r="G94" s="30" t="e">
        <f t="shared" si="15"/>
        <v>#NAME?</v>
      </c>
      <c r="H94" s="30" t="e">
        <f t="shared" si="21"/>
        <v>#NAME?</v>
      </c>
      <c r="I94" s="33" t="e">
        <f t="shared" si="22"/>
        <v>#NAME?</v>
      </c>
      <c r="J94" s="33" t="e">
        <f t="shared" si="23"/>
        <v>#NAME?</v>
      </c>
      <c r="K94" s="30" t="e">
        <f t="shared" si="19"/>
        <v>#NAME?</v>
      </c>
      <c r="L94" s="32" t="e">
        <f t="shared" si="16"/>
        <v>#NAME?</v>
      </c>
    </row>
    <row r="95" spans="1:12">
      <c r="A95" s="30">
        <v>2081</v>
      </c>
      <c r="B95" s="30">
        <f t="shared" si="17"/>
        <v>2.2388823693662019</v>
      </c>
      <c r="C95" s="30" t="e">
        <f t="shared" si="20"/>
        <v>#NAME?</v>
      </c>
      <c r="D95" s="30" t="e">
        <f t="shared" si="18"/>
        <v>#NAME?</v>
      </c>
      <c r="E95" s="30" t="e">
        <f t="shared" si="13"/>
        <v>#NAME?</v>
      </c>
      <c r="F95" s="30" t="e">
        <f t="shared" si="14"/>
        <v>#NAME?</v>
      </c>
      <c r="G95" s="30" t="e">
        <f t="shared" si="15"/>
        <v>#NAME?</v>
      </c>
      <c r="H95" s="30" t="e">
        <f t="shared" si="21"/>
        <v>#NAME?</v>
      </c>
      <c r="I95" s="33" t="e">
        <f t="shared" si="22"/>
        <v>#NAME?</v>
      </c>
      <c r="J95" s="33" t="e">
        <f t="shared" si="23"/>
        <v>#NAME?</v>
      </c>
      <c r="K95" s="30" t="e">
        <f t="shared" si="19"/>
        <v>#NAME?</v>
      </c>
      <c r="L95" s="32" t="e">
        <f t="shared" si="16"/>
        <v>#NAME?</v>
      </c>
    </row>
    <row r="96" spans="1:12">
      <c r="A96" s="6">
        <v>2082</v>
      </c>
      <c r="B96" s="30">
        <f t="shared" si="17"/>
        <v>2.2612711930598639</v>
      </c>
      <c r="C96" s="30" t="e">
        <f t="shared" si="20"/>
        <v>#NAME?</v>
      </c>
      <c r="D96" s="30" t="e">
        <f t="shared" si="18"/>
        <v>#NAME?</v>
      </c>
      <c r="E96" s="30" t="e">
        <f t="shared" si="13"/>
        <v>#NAME?</v>
      </c>
      <c r="F96" s="30" t="e">
        <f t="shared" si="14"/>
        <v>#NAME?</v>
      </c>
      <c r="G96" s="30" t="e">
        <f t="shared" si="15"/>
        <v>#NAME?</v>
      </c>
      <c r="H96" s="30" t="e">
        <f t="shared" si="21"/>
        <v>#NAME?</v>
      </c>
      <c r="I96" s="33" t="e">
        <f t="shared" si="22"/>
        <v>#NAME?</v>
      </c>
      <c r="J96" s="33" t="e">
        <f t="shared" si="23"/>
        <v>#NAME?</v>
      </c>
      <c r="K96" s="30" t="e">
        <f t="shared" si="19"/>
        <v>#NAME?</v>
      </c>
      <c r="L96" s="32" t="e">
        <f t="shared" si="16"/>
        <v>#NAME?</v>
      </c>
    </row>
    <row r="97" spans="1:12">
      <c r="A97" s="30">
        <v>2083</v>
      </c>
      <c r="B97" s="30">
        <f t="shared" si="17"/>
        <v>2.2838839049904625</v>
      </c>
      <c r="C97" s="30" t="e">
        <f t="shared" si="20"/>
        <v>#NAME?</v>
      </c>
      <c r="D97" s="30" t="e">
        <f t="shared" si="18"/>
        <v>#NAME?</v>
      </c>
      <c r="E97" s="30" t="e">
        <f t="shared" si="13"/>
        <v>#NAME?</v>
      </c>
      <c r="F97" s="30" t="e">
        <f t="shared" si="14"/>
        <v>#NAME?</v>
      </c>
      <c r="G97" s="30" t="e">
        <f t="shared" si="15"/>
        <v>#NAME?</v>
      </c>
      <c r="H97" s="30" t="e">
        <f t="shared" si="21"/>
        <v>#NAME?</v>
      </c>
      <c r="I97" s="33" t="e">
        <f t="shared" si="22"/>
        <v>#NAME?</v>
      </c>
      <c r="J97" s="33" t="e">
        <f t="shared" si="23"/>
        <v>#NAME?</v>
      </c>
      <c r="K97" s="30" t="e">
        <f t="shared" si="19"/>
        <v>#NAME?</v>
      </c>
      <c r="L97" s="32" t="e">
        <f t="shared" si="16"/>
        <v>#NAME?</v>
      </c>
    </row>
    <row r="98" spans="1:12">
      <c r="A98" s="6">
        <v>2084</v>
      </c>
      <c r="B98" s="30">
        <f t="shared" si="17"/>
        <v>2.3067227440403673</v>
      </c>
      <c r="C98" s="30" t="e">
        <f t="shared" si="20"/>
        <v>#NAME?</v>
      </c>
      <c r="D98" s="30" t="e">
        <f t="shared" si="18"/>
        <v>#NAME?</v>
      </c>
      <c r="E98" s="30" t="e">
        <f t="shared" si="13"/>
        <v>#NAME?</v>
      </c>
      <c r="F98" s="30" t="e">
        <f t="shared" si="14"/>
        <v>#NAME?</v>
      </c>
      <c r="G98" s="30" t="e">
        <f t="shared" si="15"/>
        <v>#NAME?</v>
      </c>
      <c r="H98" s="30" t="e">
        <f t="shared" si="21"/>
        <v>#NAME?</v>
      </c>
      <c r="I98" s="33" t="e">
        <f t="shared" si="22"/>
        <v>#NAME?</v>
      </c>
      <c r="J98" s="33" t="e">
        <f t="shared" si="23"/>
        <v>#NAME?</v>
      </c>
      <c r="K98" s="30" t="e">
        <f t="shared" si="19"/>
        <v>#NAME?</v>
      </c>
      <c r="L98" s="32" t="e">
        <f t="shared" si="16"/>
        <v>#NAME?</v>
      </c>
    </row>
    <row r="99" spans="1:12">
      <c r="A99" s="30">
        <v>2085</v>
      </c>
      <c r="B99" s="30">
        <f t="shared" si="17"/>
        <v>2.3297899714807708</v>
      </c>
      <c r="C99" s="30" t="e">
        <f t="shared" si="20"/>
        <v>#NAME?</v>
      </c>
      <c r="D99" s="30" t="e">
        <f t="shared" si="18"/>
        <v>#NAME?</v>
      </c>
      <c r="E99" s="30" t="e">
        <f t="shared" si="13"/>
        <v>#NAME?</v>
      </c>
      <c r="F99" s="30" t="e">
        <f t="shared" si="14"/>
        <v>#NAME?</v>
      </c>
      <c r="G99" s="30" t="e">
        <f t="shared" si="15"/>
        <v>#NAME?</v>
      </c>
      <c r="H99" s="30" t="e">
        <f t="shared" si="21"/>
        <v>#NAME?</v>
      </c>
      <c r="I99" s="33" t="e">
        <f t="shared" si="22"/>
        <v>#NAME?</v>
      </c>
      <c r="J99" s="33" t="e">
        <f t="shared" si="23"/>
        <v>#NAME?</v>
      </c>
      <c r="K99" s="30" t="e">
        <f t="shared" si="19"/>
        <v>#NAME?</v>
      </c>
      <c r="L99" s="32" t="e">
        <f t="shared" si="16"/>
        <v>#NAME?</v>
      </c>
    </row>
    <row r="100" spans="1:12">
      <c r="A100" s="6">
        <v>2086</v>
      </c>
      <c r="B100" s="30">
        <f t="shared" si="17"/>
        <v>2.3530878711955787</v>
      </c>
      <c r="C100" s="30" t="e">
        <f t="shared" si="20"/>
        <v>#NAME?</v>
      </c>
      <c r="D100" s="30" t="e">
        <f t="shared" si="18"/>
        <v>#NAME?</v>
      </c>
      <c r="E100" s="30" t="e">
        <f t="shared" si="13"/>
        <v>#NAME?</v>
      </c>
      <c r="F100" s="30" t="e">
        <f t="shared" si="14"/>
        <v>#NAME?</v>
      </c>
      <c r="G100" s="30" t="e">
        <f t="shared" si="15"/>
        <v>#NAME?</v>
      </c>
      <c r="H100" s="30" t="e">
        <f t="shared" si="21"/>
        <v>#NAME?</v>
      </c>
      <c r="I100" s="33" t="e">
        <f t="shared" si="22"/>
        <v>#NAME?</v>
      </c>
      <c r="J100" s="33" t="e">
        <f t="shared" si="23"/>
        <v>#NAME?</v>
      </c>
      <c r="K100" s="30" t="e">
        <f t="shared" si="19"/>
        <v>#NAME?</v>
      </c>
      <c r="L100" s="32" t="e">
        <f t="shared" si="16"/>
        <v>#NAME?</v>
      </c>
    </row>
    <row r="101" spans="1:12">
      <c r="A101" s="30">
        <v>2087</v>
      </c>
      <c r="B101" s="30">
        <f t="shared" si="17"/>
        <v>2.3766187499075344</v>
      </c>
      <c r="C101" s="30" t="e">
        <f t="shared" si="20"/>
        <v>#NAME?</v>
      </c>
      <c r="D101" s="30" t="e">
        <f t="shared" si="18"/>
        <v>#NAME?</v>
      </c>
      <c r="E101" s="30" t="e">
        <f t="shared" si="13"/>
        <v>#NAME?</v>
      </c>
      <c r="F101" s="30" t="e">
        <f t="shared" si="14"/>
        <v>#NAME?</v>
      </c>
      <c r="G101" s="30" t="e">
        <f t="shared" si="15"/>
        <v>#NAME?</v>
      </c>
      <c r="H101" s="30" t="e">
        <f t="shared" si="21"/>
        <v>#NAME?</v>
      </c>
      <c r="I101" s="33" t="e">
        <f t="shared" si="22"/>
        <v>#NAME?</v>
      </c>
      <c r="J101" s="33" t="e">
        <f t="shared" si="23"/>
        <v>#NAME?</v>
      </c>
      <c r="K101" s="30" t="e">
        <f t="shared" si="19"/>
        <v>#NAME?</v>
      </c>
      <c r="L101" s="32" t="e">
        <f t="shared" si="16"/>
        <v>#NAME?</v>
      </c>
    </row>
    <row r="102" spans="1:12">
      <c r="A102" s="6">
        <v>2088</v>
      </c>
      <c r="B102" s="30">
        <f t="shared" si="17"/>
        <v>2.40038493740661</v>
      </c>
      <c r="C102" s="30" t="e">
        <f t="shared" si="20"/>
        <v>#NAME?</v>
      </c>
      <c r="D102" s="30" t="e">
        <f t="shared" si="18"/>
        <v>#NAME?</v>
      </c>
      <c r="E102" s="30" t="e">
        <f t="shared" si="13"/>
        <v>#NAME?</v>
      </c>
      <c r="F102" s="30" t="e">
        <f t="shared" si="14"/>
        <v>#NAME?</v>
      </c>
      <c r="G102" s="30" t="e">
        <f t="shared" si="15"/>
        <v>#NAME?</v>
      </c>
      <c r="H102" s="30" t="e">
        <f t="shared" si="21"/>
        <v>#NAME?</v>
      </c>
      <c r="I102" s="33" t="e">
        <f t="shared" si="22"/>
        <v>#NAME?</v>
      </c>
      <c r="J102" s="33" t="e">
        <f t="shared" si="23"/>
        <v>#NAME?</v>
      </c>
      <c r="K102" s="30" t="e">
        <f t="shared" si="19"/>
        <v>#NAME?</v>
      </c>
      <c r="L102" s="32" t="e">
        <f t="shared" si="16"/>
        <v>#NAME?</v>
      </c>
    </row>
    <row r="103" spans="1:12">
      <c r="A103" s="30">
        <v>2089</v>
      </c>
      <c r="B103" s="30">
        <f t="shared" si="17"/>
        <v>2.4243887867806762</v>
      </c>
      <c r="C103" s="30" t="e">
        <f t="shared" si="20"/>
        <v>#NAME?</v>
      </c>
      <c r="D103" s="30" t="e">
        <f t="shared" si="18"/>
        <v>#NAME?</v>
      </c>
      <c r="E103" s="30" t="e">
        <f t="shared" si="13"/>
        <v>#NAME?</v>
      </c>
      <c r="F103" s="30" t="e">
        <f t="shared" si="14"/>
        <v>#NAME?</v>
      </c>
      <c r="G103" s="30" t="e">
        <f t="shared" si="15"/>
        <v>#NAME?</v>
      </c>
      <c r="H103" s="30" t="e">
        <f t="shared" si="21"/>
        <v>#NAME?</v>
      </c>
      <c r="I103" s="33" t="e">
        <f t="shared" si="22"/>
        <v>#NAME?</v>
      </c>
      <c r="J103" s="33" t="e">
        <f t="shared" si="23"/>
        <v>#NAME?</v>
      </c>
      <c r="K103" s="30" t="e">
        <f t="shared" si="19"/>
        <v>#NAME?</v>
      </c>
      <c r="L103" s="32" t="e">
        <f t="shared" si="16"/>
        <v>#NAME?</v>
      </c>
    </row>
    <row r="104" spans="1:12">
      <c r="A104" s="6">
        <v>2090</v>
      </c>
      <c r="B104" s="30">
        <f t="shared" si="17"/>
        <v>2.4486326746484828</v>
      </c>
      <c r="C104" s="30" t="e">
        <f t="shared" si="20"/>
        <v>#NAME?</v>
      </c>
      <c r="D104" s="30" t="e">
        <f t="shared" si="18"/>
        <v>#NAME?</v>
      </c>
      <c r="E104" s="30" t="e">
        <f t="shared" si="13"/>
        <v>#NAME?</v>
      </c>
      <c r="F104" s="30" t="e">
        <f t="shared" si="14"/>
        <v>#NAME?</v>
      </c>
      <c r="G104" s="30" t="e">
        <f t="shared" si="15"/>
        <v>#NAME?</v>
      </c>
      <c r="H104" s="30" t="e">
        <f t="shared" si="21"/>
        <v>#NAME?</v>
      </c>
      <c r="I104" s="33" t="e">
        <f t="shared" si="22"/>
        <v>#NAME?</v>
      </c>
      <c r="J104" s="33" t="e">
        <f t="shared" si="23"/>
        <v>#NAME?</v>
      </c>
      <c r="K104" s="30" t="e">
        <f t="shared" si="19"/>
        <v>#NAME?</v>
      </c>
      <c r="L104" s="32" t="e">
        <f t="shared" si="16"/>
        <v>#NAME?</v>
      </c>
    </row>
    <row r="105" spans="1:12">
      <c r="A105" s="30">
        <v>2091</v>
      </c>
      <c r="B105" s="30">
        <f t="shared" si="17"/>
        <v>2.4731190013949678</v>
      </c>
      <c r="C105" s="30" t="e">
        <f t="shared" si="20"/>
        <v>#NAME?</v>
      </c>
      <c r="D105" s="30" t="e">
        <f t="shared" si="18"/>
        <v>#NAME?</v>
      </c>
      <c r="E105" s="30" t="e">
        <f t="shared" si="13"/>
        <v>#NAME?</v>
      </c>
      <c r="F105" s="30" t="e">
        <f t="shared" si="14"/>
        <v>#NAME?</v>
      </c>
      <c r="G105" s="30" t="e">
        <f t="shared" si="15"/>
        <v>#NAME?</v>
      </c>
      <c r="H105" s="30" t="e">
        <f t="shared" si="21"/>
        <v>#NAME?</v>
      </c>
      <c r="I105" s="33" t="e">
        <f t="shared" si="22"/>
        <v>#NAME?</v>
      </c>
      <c r="J105" s="33" t="e">
        <f t="shared" si="23"/>
        <v>#NAME?</v>
      </c>
      <c r="K105" s="30" t="e">
        <f t="shared" si="19"/>
        <v>#NAME?</v>
      </c>
      <c r="L105" s="32" t="e">
        <f t="shared" si="16"/>
        <v>#NAME?</v>
      </c>
    </row>
    <row r="106" spans="1:12">
      <c r="A106" s="6">
        <v>2092</v>
      </c>
      <c r="B106" s="30">
        <f t="shared" si="17"/>
        <v>2.4978501914089173</v>
      </c>
      <c r="C106" s="30" t="e">
        <f t="shared" si="20"/>
        <v>#NAME?</v>
      </c>
      <c r="D106" s="30" t="e">
        <f t="shared" si="18"/>
        <v>#NAME?</v>
      </c>
      <c r="E106" s="30" t="e">
        <f t="shared" si="13"/>
        <v>#NAME?</v>
      </c>
      <c r="F106" s="30" t="e">
        <f t="shared" si="14"/>
        <v>#NAME?</v>
      </c>
      <c r="G106" s="30" t="e">
        <f t="shared" si="15"/>
        <v>#NAME?</v>
      </c>
      <c r="H106" s="30" t="e">
        <f t="shared" si="21"/>
        <v>#NAME?</v>
      </c>
      <c r="I106" s="33" t="e">
        <f t="shared" si="22"/>
        <v>#NAME?</v>
      </c>
      <c r="J106" s="33" t="e">
        <f t="shared" si="23"/>
        <v>#NAME?</v>
      </c>
      <c r="K106" s="30" t="e">
        <f t="shared" si="19"/>
        <v>#NAME?</v>
      </c>
      <c r="L106" s="32" t="e">
        <f t="shared" si="16"/>
        <v>#NAME?</v>
      </c>
    </row>
    <row r="107" spans="1:12">
      <c r="A107" s="30">
        <v>2093</v>
      </c>
      <c r="B107" s="30">
        <f t="shared" si="17"/>
        <v>2.5228286933230066</v>
      </c>
      <c r="C107" s="30" t="e">
        <f t="shared" si="20"/>
        <v>#NAME?</v>
      </c>
      <c r="D107" s="30" t="e">
        <f t="shared" si="18"/>
        <v>#NAME?</v>
      </c>
      <c r="E107" s="30" t="e">
        <f t="shared" si="13"/>
        <v>#NAME?</v>
      </c>
      <c r="F107" s="30" t="e">
        <f t="shared" si="14"/>
        <v>#NAME?</v>
      </c>
      <c r="G107" s="30" t="e">
        <f t="shared" si="15"/>
        <v>#NAME?</v>
      </c>
      <c r="H107" s="30" t="e">
        <f t="shared" si="21"/>
        <v>#NAME?</v>
      </c>
      <c r="I107" s="33" t="e">
        <f t="shared" si="22"/>
        <v>#NAME?</v>
      </c>
      <c r="J107" s="33" t="e">
        <f t="shared" si="23"/>
        <v>#NAME?</v>
      </c>
      <c r="K107" s="30" t="e">
        <f t="shared" si="19"/>
        <v>#NAME?</v>
      </c>
      <c r="L107" s="32" t="e">
        <f t="shared" si="16"/>
        <v>#NAME?</v>
      </c>
    </row>
    <row r="108" spans="1:12">
      <c r="A108" s="6">
        <v>2094</v>
      </c>
      <c r="B108" s="30">
        <f t="shared" si="17"/>
        <v>2.5480569802562365</v>
      </c>
      <c r="C108" s="30" t="e">
        <f t="shared" si="20"/>
        <v>#NAME?</v>
      </c>
      <c r="D108" s="30" t="e">
        <f t="shared" si="18"/>
        <v>#NAME?</v>
      </c>
      <c r="E108" s="30" t="e">
        <f t="shared" si="13"/>
        <v>#NAME?</v>
      </c>
      <c r="F108" s="30" t="e">
        <f t="shared" si="14"/>
        <v>#NAME?</v>
      </c>
      <c r="G108" s="30" t="e">
        <f t="shared" si="15"/>
        <v>#NAME?</v>
      </c>
      <c r="H108" s="30" t="e">
        <f t="shared" si="21"/>
        <v>#NAME?</v>
      </c>
      <c r="I108" s="33" t="e">
        <f t="shared" si="22"/>
        <v>#NAME?</v>
      </c>
      <c r="J108" s="33" t="e">
        <f t="shared" si="23"/>
        <v>#NAME?</v>
      </c>
      <c r="K108" s="30" t="e">
        <f t="shared" si="19"/>
        <v>#NAME?</v>
      </c>
      <c r="L108" s="32" t="e">
        <f t="shared" si="16"/>
        <v>#NAME?</v>
      </c>
    </row>
    <row r="109" spans="1:12">
      <c r="A109" s="30">
        <v>2095</v>
      </c>
      <c r="B109" s="30">
        <f t="shared" si="17"/>
        <v>2.5735375500587989</v>
      </c>
      <c r="C109" s="30" t="e">
        <f t="shared" si="20"/>
        <v>#NAME?</v>
      </c>
      <c r="D109" s="30" t="e">
        <f t="shared" si="18"/>
        <v>#NAME?</v>
      </c>
      <c r="E109" s="30" t="e">
        <f t="shared" si="13"/>
        <v>#NAME?</v>
      </c>
      <c r="F109" s="30" t="e">
        <f t="shared" si="14"/>
        <v>#NAME?</v>
      </c>
      <c r="G109" s="30" t="e">
        <f t="shared" si="15"/>
        <v>#NAME?</v>
      </c>
      <c r="H109" s="30" t="e">
        <f t="shared" si="21"/>
        <v>#NAME?</v>
      </c>
      <c r="I109" s="33" t="e">
        <f t="shared" si="22"/>
        <v>#NAME?</v>
      </c>
      <c r="J109" s="33" t="e">
        <f t="shared" si="23"/>
        <v>#NAME?</v>
      </c>
      <c r="K109" s="30" t="e">
        <f t="shared" si="19"/>
        <v>#NAME?</v>
      </c>
      <c r="L109" s="32" t="e">
        <f t="shared" si="16"/>
        <v>#NAME?</v>
      </c>
    </row>
    <row r="110" spans="1:12">
      <c r="A110" s="6">
        <v>2096</v>
      </c>
      <c r="B110" s="30">
        <f t="shared" si="17"/>
        <v>2.5992729255593869</v>
      </c>
      <c r="C110" s="30" t="e">
        <f t="shared" si="20"/>
        <v>#NAME?</v>
      </c>
      <c r="D110" s="30" t="e">
        <f t="shared" si="18"/>
        <v>#NAME?</v>
      </c>
      <c r="E110" s="30" t="e">
        <f t="shared" si="13"/>
        <v>#NAME?</v>
      </c>
      <c r="F110" s="30" t="e">
        <f t="shared" si="14"/>
        <v>#NAME?</v>
      </c>
      <c r="G110" s="30" t="e">
        <f t="shared" si="15"/>
        <v>#NAME?</v>
      </c>
      <c r="H110" s="30" t="e">
        <f t="shared" si="21"/>
        <v>#NAME?</v>
      </c>
      <c r="I110" s="33" t="e">
        <f t="shared" si="22"/>
        <v>#NAME?</v>
      </c>
      <c r="J110" s="33" t="e">
        <f t="shared" si="23"/>
        <v>#NAME?</v>
      </c>
      <c r="K110" s="30" t="e">
        <f t="shared" si="19"/>
        <v>#NAME?</v>
      </c>
      <c r="L110" s="32" t="e">
        <f t="shared" si="16"/>
        <v>#NAME?</v>
      </c>
    </row>
    <row r="111" spans="1:12">
      <c r="A111" s="30">
        <v>2097</v>
      </c>
      <c r="B111" s="30">
        <f t="shared" ref="B111:B142" si="24">(1+n)*B110</f>
        <v>2.6252656548149806</v>
      </c>
      <c r="C111" s="30" t="e">
        <f t="shared" si="20"/>
        <v>#NAME?</v>
      </c>
      <c r="D111" s="30" t="e">
        <f t="shared" ref="D111:D142" si="25">A*(alpha1*C111^rho+alpha2*((1+g)^(A111-$A$14)*B111)^rho)^(1/rho)</f>
        <v>#NAME?</v>
      </c>
      <c r="E111" s="30" t="e">
        <f t="shared" si="13"/>
        <v>#NAME?</v>
      </c>
      <c r="F111" s="30" t="e">
        <f t="shared" si="14"/>
        <v>#NAME?</v>
      </c>
      <c r="G111" s="30" t="e">
        <f t="shared" si="15"/>
        <v>#NAME?</v>
      </c>
      <c r="H111" s="30" t="e">
        <f t="shared" si="21"/>
        <v>#NAME?</v>
      </c>
      <c r="I111" s="33" t="e">
        <f t="shared" si="22"/>
        <v>#NAME?</v>
      </c>
      <c r="J111" s="33" t="e">
        <f t="shared" si="23"/>
        <v>#NAME?</v>
      </c>
      <c r="K111" s="30" t="e">
        <f t="shared" si="19"/>
        <v>#NAME?</v>
      </c>
      <c r="L111" s="32" t="e">
        <f t="shared" si="16"/>
        <v>#NAME?</v>
      </c>
    </row>
    <row r="112" spans="1:12">
      <c r="A112" s="6">
        <v>2098</v>
      </c>
      <c r="B112" s="30">
        <f t="shared" si="24"/>
        <v>2.6515183113631307</v>
      </c>
      <c r="C112" s="30" t="e">
        <f t="shared" si="20"/>
        <v>#NAME?</v>
      </c>
      <c r="D112" s="30" t="e">
        <f t="shared" si="25"/>
        <v>#NAME?</v>
      </c>
      <c r="E112" s="30" t="e">
        <f t="shared" si="13"/>
        <v>#NAME?</v>
      </c>
      <c r="F112" s="30" t="e">
        <f t="shared" si="14"/>
        <v>#NAME?</v>
      </c>
      <c r="G112" s="30" t="e">
        <f t="shared" si="15"/>
        <v>#NAME?</v>
      </c>
      <c r="H112" s="30" t="e">
        <f t="shared" si="21"/>
        <v>#NAME?</v>
      </c>
      <c r="I112" s="33" t="e">
        <f t="shared" si="22"/>
        <v>#NAME?</v>
      </c>
      <c r="J112" s="33" t="e">
        <f t="shared" si="23"/>
        <v>#NAME?</v>
      </c>
      <c r="K112" s="30" t="e">
        <f t="shared" si="19"/>
        <v>#NAME?</v>
      </c>
      <c r="L112" s="32" t="e">
        <f t="shared" si="16"/>
        <v>#NAME?</v>
      </c>
    </row>
    <row r="113" spans="1:12">
      <c r="A113" s="30">
        <v>2099</v>
      </c>
      <c r="B113" s="30">
        <f t="shared" si="24"/>
        <v>2.6780334944767619</v>
      </c>
      <c r="C113" s="30" t="e">
        <f t="shared" si="20"/>
        <v>#NAME?</v>
      </c>
      <c r="D113" s="30" t="e">
        <f t="shared" si="25"/>
        <v>#NAME?</v>
      </c>
      <c r="E113" s="30" t="e">
        <f t="shared" si="13"/>
        <v>#NAME?</v>
      </c>
      <c r="F113" s="30" t="e">
        <f t="shared" si="14"/>
        <v>#NAME?</v>
      </c>
      <c r="G113" s="30" t="e">
        <f t="shared" si="15"/>
        <v>#NAME?</v>
      </c>
      <c r="H113" s="30" t="e">
        <f t="shared" si="21"/>
        <v>#NAME?</v>
      </c>
      <c r="I113" s="33" t="e">
        <f t="shared" si="22"/>
        <v>#NAME?</v>
      </c>
      <c r="J113" s="33" t="e">
        <f t="shared" si="23"/>
        <v>#NAME?</v>
      </c>
      <c r="K113" s="30" t="e">
        <f t="shared" si="19"/>
        <v>#NAME?</v>
      </c>
      <c r="L113" s="32" t="e">
        <f t="shared" si="16"/>
        <v>#NAME?</v>
      </c>
    </row>
    <row r="114" spans="1:12">
      <c r="A114" s="6">
        <v>2100</v>
      </c>
      <c r="B114" s="30">
        <f t="shared" si="24"/>
        <v>2.7048138294215294</v>
      </c>
      <c r="C114" s="30" t="e">
        <f t="shared" si="20"/>
        <v>#NAME?</v>
      </c>
      <c r="D114" s="30" t="e">
        <f t="shared" si="25"/>
        <v>#NAME?</v>
      </c>
      <c r="E114" s="30" t="e">
        <f t="shared" si="13"/>
        <v>#NAME?</v>
      </c>
      <c r="F114" s="30" t="e">
        <f t="shared" si="14"/>
        <v>#NAME?</v>
      </c>
      <c r="G114" s="30" t="e">
        <f t="shared" si="15"/>
        <v>#NAME?</v>
      </c>
      <c r="H114" s="30" t="e">
        <f t="shared" si="21"/>
        <v>#NAME?</v>
      </c>
      <c r="I114" s="33" t="e">
        <f t="shared" si="22"/>
        <v>#NAME?</v>
      </c>
      <c r="J114" s="33" t="e">
        <f t="shared" si="23"/>
        <v>#NAME?</v>
      </c>
      <c r="K114" s="30" t="e">
        <f t="shared" si="19"/>
        <v>#NAME?</v>
      </c>
      <c r="L114" s="32" t="e">
        <f t="shared" si="16"/>
        <v>#NAME?</v>
      </c>
    </row>
    <row r="115" spans="1:12">
      <c r="A115" s="6">
        <v>2101</v>
      </c>
      <c r="B115" s="30">
        <f t="shared" si="24"/>
        <v>2.7318619677157447</v>
      </c>
      <c r="C115" s="30" t="e">
        <f>C114+H114</f>
        <v>#NAME?</v>
      </c>
      <c r="D115" s="30" t="e">
        <f t="shared" si="25"/>
        <v>#NAME?</v>
      </c>
      <c r="E115" s="30" t="e">
        <f t="shared" si="13"/>
        <v>#NAME?</v>
      </c>
      <c r="F115" s="30" t="e">
        <f t="shared" si="14"/>
        <v>#NAME?</v>
      </c>
      <c r="G115" s="30" t="e">
        <f t="shared" si="15"/>
        <v>#NAME?</v>
      </c>
      <c r="H115" s="30" t="e">
        <f>F115-G115</f>
        <v>#NAME?</v>
      </c>
      <c r="I115" s="33" t="e">
        <f t="shared" si="22"/>
        <v>#NAME?</v>
      </c>
      <c r="J115" s="33" t="e">
        <f>(D115-D114)/D114</f>
        <v>#NAME?</v>
      </c>
      <c r="K115" s="30" t="e">
        <f>C115/D115</f>
        <v>#NAME?</v>
      </c>
      <c r="L115" s="32" t="e">
        <f t="shared" si="16"/>
        <v>#NAME?</v>
      </c>
    </row>
    <row r="116" spans="1:12">
      <c r="A116" s="6">
        <v>2102</v>
      </c>
      <c r="B116" s="30">
        <f t="shared" si="24"/>
        <v>2.7591805873929021</v>
      </c>
      <c r="C116" s="30" t="e">
        <f>C115+H115</f>
        <v>#NAME?</v>
      </c>
      <c r="D116" s="30" t="e">
        <f t="shared" si="25"/>
        <v>#NAME?</v>
      </c>
      <c r="E116" s="30" t="e">
        <f t="shared" si="13"/>
        <v>#NAME?</v>
      </c>
      <c r="F116" s="30" t="e">
        <f t="shared" si="14"/>
        <v>#NAME?</v>
      </c>
      <c r="G116" s="30" t="e">
        <f t="shared" si="15"/>
        <v>#NAME?</v>
      </c>
      <c r="H116" s="30" t="e">
        <f>F116-G116</f>
        <v>#NAME?</v>
      </c>
      <c r="I116" s="33" t="e">
        <f t="shared" si="22"/>
        <v>#NAME?</v>
      </c>
      <c r="J116" s="33" t="e">
        <f>(D116-D115)/D115</f>
        <v>#NAME?</v>
      </c>
      <c r="K116" s="30" t="e">
        <f>C116/D116</f>
        <v>#NAME?</v>
      </c>
      <c r="L116" s="32" t="e">
        <f t="shared" si="16"/>
        <v>#NAME?</v>
      </c>
    </row>
    <row r="117" spans="1:12">
      <c r="A117" s="6">
        <v>2103</v>
      </c>
      <c r="B117" s="30">
        <f t="shared" si="24"/>
        <v>2.7867723932668311</v>
      </c>
      <c r="C117" s="30" t="e">
        <f>C116+H116</f>
        <v>#NAME?</v>
      </c>
      <c r="D117" s="30" t="e">
        <f t="shared" si="25"/>
        <v>#NAME?</v>
      </c>
      <c r="E117" s="30" t="e">
        <f t="shared" si="13"/>
        <v>#NAME?</v>
      </c>
      <c r="F117" s="30" t="e">
        <f t="shared" si="14"/>
        <v>#NAME?</v>
      </c>
      <c r="G117" s="30" t="e">
        <f t="shared" si="15"/>
        <v>#NAME?</v>
      </c>
      <c r="H117" s="30" t="e">
        <f>F117-G117</f>
        <v>#NAME?</v>
      </c>
      <c r="I117" s="33" t="e">
        <f t="shared" si="22"/>
        <v>#NAME?</v>
      </c>
      <c r="J117" s="33" t="e">
        <f>(D117-D116)/D116</f>
        <v>#NAME?</v>
      </c>
      <c r="K117" s="30" t="e">
        <f>C117/D117</f>
        <v>#NAME?</v>
      </c>
      <c r="L117" s="32" t="e">
        <f t="shared" si="16"/>
        <v>#NAME?</v>
      </c>
    </row>
    <row r="118" spans="1:12">
      <c r="A118" s="6">
        <v>2104</v>
      </c>
      <c r="B118" s="30">
        <f t="shared" si="24"/>
        <v>2.8146401171994992</v>
      </c>
      <c r="C118" s="30" t="e">
        <f t="shared" ref="C118:C181" si="26">C117+H117</f>
        <v>#NAME?</v>
      </c>
      <c r="D118" s="30" t="e">
        <f t="shared" si="25"/>
        <v>#NAME?</v>
      </c>
      <c r="E118" s="30" t="e">
        <f t="shared" si="13"/>
        <v>#NAME?</v>
      </c>
      <c r="F118" s="30" t="e">
        <f t="shared" si="14"/>
        <v>#NAME?</v>
      </c>
      <c r="G118" s="30" t="e">
        <f t="shared" si="15"/>
        <v>#NAME?</v>
      </c>
      <c r="H118" s="30" t="e">
        <f t="shared" ref="H118:H181" si="27">F118-G118</f>
        <v>#NAME?</v>
      </c>
      <c r="I118" s="33" t="e">
        <f t="shared" si="22"/>
        <v>#NAME?</v>
      </c>
      <c r="J118" s="33" t="e">
        <f t="shared" ref="J118:J181" si="28">(D118-D117)/D117</f>
        <v>#NAME?</v>
      </c>
      <c r="K118" s="30" t="e">
        <f t="shared" ref="K118:K181" si="29">C118/D118</f>
        <v>#NAME?</v>
      </c>
      <c r="L118" s="32" t="e">
        <f t="shared" si="16"/>
        <v>#NAME?</v>
      </c>
    </row>
    <row r="119" spans="1:12">
      <c r="A119" s="6">
        <v>2105</v>
      </c>
      <c r="B119" s="30">
        <f t="shared" si="24"/>
        <v>2.8427865183714944</v>
      </c>
      <c r="C119" s="30" t="e">
        <f t="shared" si="26"/>
        <v>#NAME?</v>
      </c>
      <c r="D119" s="30" t="e">
        <f t="shared" si="25"/>
        <v>#NAME?</v>
      </c>
      <c r="E119" s="30" t="e">
        <f t="shared" si="13"/>
        <v>#NAME?</v>
      </c>
      <c r="F119" s="30" t="e">
        <f t="shared" si="14"/>
        <v>#NAME?</v>
      </c>
      <c r="G119" s="30" t="e">
        <f t="shared" si="15"/>
        <v>#NAME?</v>
      </c>
      <c r="H119" s="30" t="e">
        <f t="shared" si="27"/>
        <v>#NAME?</v>
      </c>
      <c r="I119" s="33" t="e">
        <f t="shared" si="22"/>
        <v>#NAME?</v>
      </c>
      <c r="J119" s="33" t="e">
        <f t="shared" si="28"/>
        <v>#NAME?</v>
      </c>
      <c r="K119" s="30" t="e">
        <f t="shared" si="29"/>
        <v>#NAME?</v>
      </c>
      <c r="L119" s="32" t="e">
        <f t="shared" si="16"/>
        <v>#NAME?</v>
      </c>
    </row>
    <row r="120" spans="1:12">
      <c r="A120" s="6">
        <v>2106</v>
      </c>
      <c r="B120" s="30">
        <f t="shared" si="24"/>
        <v>2.8712143835552095</v>
      </c>
      <c r="C120" s="30" t="e">
        <f t="shared" si="26"/>
        <v>#NAME?</v>
      </c>
      <c r="D120" s="30" t="e">
        <f t="shared" si="25"/>
        <v>#NAME?</v>
      </c>
      <c r="E120" s="30" t="e">
        <f t="shared" si="13"/>
        <v>#NAME?</v>
      </c>
      <c r="F120" s="30" t="e">
        <f t="shared" si="14"/>
        <v>#NAME?</v>
      </c>
      <c r="G120" s="30" t="e">
        <f t="shared" si="15"/>
        <v>#NAME?</v>
      </c>
      <c r="H120" s="30" t="e">
        <f t="shared" si="27"/>
        <v>#NAME?</v>
      </c>
      <c r="I120" s="33" t="e">
        <f t="shared" si="22"/>
        <v>#NAME?</v>
      </c>
      <c r="J120" s="33" t="e">
        <f t="shared" si="28"/>
        <v>#NAME?</v>
      </c>
      <c r="K120" s="30" t="e">
        <f t="shared" si="29"/>
        <v>#NAME?</v>
      </c>
      <c r="L120" s="32" t="e">
        <f t="shared" si="16"/>
        <v>#NAME?</v>
      </c>
    </row>
    <row r="121" spans="1:12">
      <c r="A121" s="6">
        <v>2107</v>
      </c>
      <c r="B121" s="30">
        <f t="shared" si="24"/>
        <v>2.8999265273907615</v>
      </c>
      <c r="C121" s="30" t="e">
        <f t="shared" si="26"/>
        <v>#NAME?</v>
      </c>
      <c r="D121" s="30" t="e">
        <f t="shared" si="25"/>
        <v>#NAME?</v>
      </c>
      <c r="E121" s="30" t="e">
        <f t="shared" si="13"/>
        <v>#NAME?</v>
      </c>
      <c r="F121" s="30" t="e">
        <f t="shared" si="14"/>
        <v>#NAME?</v>
      </c>
      <c r="G121" s="30" t="e">
        <f t="shared" si="15"/>
        <v>#NAME?</v>
      </c>
      <c r="H121" s="30" t="e">
        <f t="shared" si="27"/>
        <v>#NAME?</v>
      </c>
      <c r="I121" s="33" t="e">
        <f t="shared" si="22"/>
        <v>#NAME?</v>
      </c>
      <c r="J121" s="33" t="e">
        <f t="shared" si="28"/>
        <v>#NAME?</v>
      </c>
      <c r="K121" s="30" t="e">
        <f t="shared" si="29"/>
        <v>#NAME?</v>
      </c>
      <c r="L121" s="32" t="e">
        <f t="shared" si="16"/>
        <v>#NAME?</v>
      </c>
    </row>
    <row r="122" spans="1:12">
      <c r="A122" s="6">
        <v>2108</v>
      </c>
      <c r="B122" s="30">
        <f t="shared" si="24"/>
        <v>2.928925792664669</v>
      </c>
      <c r="C122" s="30" t="e">
        <f t="shared" si="26"/>
        <v>#NAME?</v>
      </c>
      <c r="D122" s="30" t="e">
        <f t="shared" si="25"/>
        <v>#NAME?</v>
      </c>
      <c r="E122" s="30" t="e">
        <f t="shared" si="13"/>
        <v>#NAME?</v>
      </c>
      <c r="F122" s="30" t="e">
        <f t="shared" si="14"/>
        <v>#NAME?</v>
      </c>
      <c r="G122" s="30" t="e">
        <f t="shared" si="15"/>
        <v>#NAME?</v>
      </c>
      <c r="H122" s="30" t="e">
        <f t="shared" si="27"/>
        <v>#NAME?</v>
      </c>
      <c r="I122" s="33" t="e">
        <f t="shared" si="22"/>
        <v>#NAME?</v>
      </c>
      <c r="J122" s="33" t="e">
        <f t="shared" si="28"/>
        <v>#NAME?</v>
      </c>
      <c r="K122" s="30" t="e">
        <f t="shared" si="29"/>
        <v>#NAME?</v>
      </c>
      <c r="L122" s="32" t="e">
        <f t="shared" si="16"/>
        <v>#NAME?</v>
      </c>
    </row>
    <row r="123" spans="1:12">
      <c r="A123" s="6">
        <v>2109</v>
      </c>
      <c r="B123" s="30">
        <f t="shared" si="24"/>
        <v>2.9582150505913156</v>
      </c>
      <c r="C123" s="30" t="e">
        <f t="shared" si="26"/>
        <v>#NAME?</v>
      </c>
      <c r="D123" s="30" t="e">
        <f t="shared" si="25"/>
        <v>#NAME?</v>
      </c>
      <c r="E123" s="30" t="e">
        <f t="shared" si="13"/>
        <v>#NAME?</v>
      </c>
      <c r="F123" s="30" t="e">
        <f t="shared" si="14"/>
        <v>#NAME?</v>
      </c>
      <c r="G123" s="30" t="e">
        <f t="shared" si="15"/>
        <v>#NAME?</v>
      </c>
      <c r="H123" s="30" t="e">
        <f t="shared" si="27"/>
        <v>#NAME?</v>
      </c>
      <c r="I123" s="33" t="e">
        <f t="shared" si="22"/>
        <v>#NAME?</v>
      </c>
      <c r="J123" s="33" t="e">
        <f t="shared" si="28"/>
        <v>#NAME?</v>
      </c>
      <c r="K123" s="30" t="e">
        <f t="shared" si="29"/>
        <v>#NAME?</v>
      </c>
      <c r="L123" s="32" t="e">
        <f t="shared" si="16"/>
        <v>#NAME?</v>
      </c>
    </row>
    <row r="124" spans="1:12">
      <c r="A124" s="6">
        <v>2110</v>
      </c>
      <c r="B124" s="30">
        <f t="shared" si="24"/>
        <v>2.9877972010972287</v>
      </c>
      <c r="C124" s="30" t="e">
        <f t="shared" si="26"/>
        <v>#NAME?</v>
      </c>
      <c r="D124" s="30" t="e">
        <f t="shared" si="25"/>
        <v>#NAME?</v>
      </c>
      <c r="E124" s="30" t="e">
        <f t="shared" si="13"/>
        <v>#NAME?</v>
      </c>
      <c r="F124" s="30" t="e">
        <f t="shared" si="14"/>
        <v>#NAME?</v>
      </c>
      <c r="G124" s="30" t="e">
        <f t="shared" si="15"/>
        <v>#NAME?</v>
      </c>
      <c r="H124" s="30" t="e">
        <f t="shared" si="27"/>
        <v>#NAME?</v>
      </c>
      <c r="I124" s="33" t="e">
        <f t="shared" si="22"/>
        <v>#NAME?</v>
      </c>
      <c r="J124" s="33" t="e">
        <f t="shared" si="28"/>
        <v>#NAME?</v>
      </c>
      <c r="K124" s="30" t="e">
        <f t="shared" si="29"/>
        <v>#NAME?</v>
      </c>
      <c r="L124" s="32" t="e">
        <f t="shared" si="16"/>
        <v>#NAME?</v>
      </c>
    </row>
    <row r="125" spans="1:12">
      <c r="A125" s="6">
        <v>2111</v>
      </c>
      <c r="B125" s="30">
        <f t="shared" si="24"/>
        <v>3.0176751731082012</v>
      </c>
      <c r="C125" s="30" t="e">
        <f t="shared" si="26"/>
        <v>#NAME?</v>
      </c>
      <c r="D125" s="30" t="e">
        <f t="shared" si="25"/>
        <v>#NAME?</v>
      </c>
      <c r="E125" s="30" t="e">
        <f t="shared" si="13"/>
        <v>#NAME?</v>
      </c>
      <c r="F125" s="30" t="e">
        <f t="shared" si="14"/>
        <v>#NAME?</v>
      </c>
      <c r="G125" s="30" t="e">
        <f t="shared" si="15"/>
        <v>#NAME?</v>
      </c>
      <c r="H125" s="30" t="e">
        <f t="shared" si="27"/>
        <v>#NAME?</v>
      </c>
      <c r="I125" s="33" t="e">
        <f t="shared" si="22"/>
        <v>#NAME?</v>
      </c>
      <c r="J125" s="33" t="e">
        <f t="shared" si="28"/>
        <v>#NAME?</v>
      </c>
      <c r="K125" s="30" t="e">
        <f t="shared" si="29"/>
        <v>#NAME?</v>
      </c>
      <c r="L125" s="32" t="e">
        <f t="shared" si="16"/>
        <v>#NAME?</v>
      </c>
    </row>
    <row r="126" spans="1:12">
      <c r="A126" s="6">
        <v>2112</v>
      </c>
      <c r="B126" s="30">
        <f t="shared" si="24"/>
        <v>3.0478519248392835</v>
      </c>
      <c r="C126" s="30" t="e">
        <f t="shared" si="26"/>
        <v>#NAME?</v>
      </c>
      <c r="D126" s="30" t="e">
        <f t="shared" si="25"/>
        <v>#NAME?</v>
      </c>
      <c r="E126" s="30" t="e">
        <f t="shared" si="13"/>
        <v>#NAME?</v>
      </c>
      <c r="F126" s="30" t="e">
        <f t="shared" si="14"/>
        <v>#NAME?</v>
      </c>
      <c r="G126" s="30" t="e">
        <f t="shared" si="15"/>
        <v>#NAME?</v>
      </c>
      <c r="H126" s="30" t="e">
        <f t="shared" si="27"/>
        <v>#NAME?</v>
      </c>
      <c r="I126" s="33" t="e">
        <f t="shared" si="22"/>
        <v>#NAME?</v>
      </c>
      <c r="J126" s="33" t="e">
        <f t="shared" si="28"/>
        <v>#NAME?</v>
      </c>
      <c r="K126" s="30" t="e">
        <f t="shared" si="29"/>
        <v>#NAME?</v>
      </c>
      <c r="L126" s="32" t="e">
        <f t="shared" si="16"/>
        <v>#NAME?</v>
      </c>
    </row>
    <row r="127" spans="1:12">
      <c r="A127" s="6">
        <v>2113</v>
      </c>
      <c r="B127" s="30">
        <f t="shared" si="24"/>
        <v>3.0783304440876762</v>
      </c>
      <c r="C127" s="30" t="e">
        <f t="shared" si="26"/>
        <v>#NAME?</v>
      </c>
      <c r="D127" s="30" t="e">
        <f t="shared" si="25"/>
        <v>#NAME?</v>
      </c>
      <c r="E127" s="30" t="e">
        <f t="shared" si="13"/>
        <v>#NAME?</v>
      </c>
      <c r="F127" s="30" t="e">
        <f t="shared" si="14"/>
        <v>#NAME?</v>
      </c>
      <c r="G127" s="30" t="e">
        <f t="shared" si="15"/>
        <v>#NAME?</v>
      </c>
      <c r="H127" s="30" t="e">
        <f t="shared" si="27"/>
        <v>#NAME?</v>
      </c>
      <c r="I127" s="33" t="e">
        <f t="shared" si="22"/>
        <v>#NAME?</v>
      </c>
      <c r="J127" s="33" t="e">
        <f t="shared" si="28"/>
        <v>#NAME?</v>
      </c>
      <c r="K127" s="30" t="e">
        <f t="shared" si="29"/>
        <v>#NAME?</v>
      </c>
      <c r="L127" s="32" t="e">
        <f t="shared" si="16"/>
        <v>#NAME?</v>
      </c>
    </row>
    <row r="128" spans="1:12">
      <c r="A128" s="6">
        <v>2114</v>
      </c>
      <c r="B128" s="30">
        <f t="shared" si="24"/>
        <v>3.1091137485285532</v>
      </c>
      <c r="C128" s="30" t="e">
        <f t="shared" si="26"/>
        <v>#NAME?</v>
      </c>
      <c r="D128" s="30" t="e">
        <f t="shared" si="25"/>
        <v>#NAME?</v>
      </c>
      <c r="E128" s="30" t="e">
        <f t="shared" si="13"/>
        <v>#NAME?</v>
      </c>
      <c r="F128" s="30" t="e">
        <f t="shared" si="14"/>
        <v>#NAME?</v>
      </c>
      <c r="G128" s="30" t="e">
        <f t="shared" si="15"/>
        <v>#NAME?</v>
      </c>
      <c r="H128" s="30" t="e">
        <f t="shared" si="27"/>
        <v>#NAME?</v>
      </c>
      <c r="I128" s="33" t="e">
        <f t="shared" si="22"/>
        <v>#NAME?</v>
      </c>
      <c r="J128" s="33" t="e">
        <f t="shared" si="28"/>
        <v>#NAME?</v>
      </c>
      <c r="K128" s="30" t="e">
        <f t="shared" si="29"/>
        <v>#NAME?</v>
      </c>
      <c r="L128" s="32" t="e">
        <f t="shared" si="16"/>
        <v>#NAME?</v>
      </c>
    </row>
    <row r="129" spans="1:12">
      <c r="A129" s="6">
        <v>2115</v>
      </c>
      <c r="B129" s="30">
        <f t="shared" si="24"/>
        <v>3.1402048860138385</v>
      </c>
      <c r="C129" s="30" t="e">
        <f t="shared" si="26"/>
        <v>#NAME?</v>
      </c>
      <c r="D129" s="30" t="e">
        <f t="shared" si="25"/>
        <v>#NAME?</v>
      </c>
      <c r="E129" s="30" t="e">
        <f t="shared" si="13"/>
        <v>#NAME?</v>
      </c>
      <c r="F129" s="30" t="e">
        <f t="shared" si="14"/>
        <v>#NAME?</v>
      </c>
      <c r="G129" s="30" t="e">
        <f t="shared" si="15"/>
        <v>#NAME?</v>
      </c>
      <c r="H129" s="30" t="e">
        <f t="shared" si="27"/>
        <v>#NAME?</v>
      </c>
      <c r="I129" s="33" t="e">
        <f t="shared" si="22"/>
        <v>#NAME?</v>
      </c>
      <c r="J129" s="33" t="e">
        <f t="shared" si="28"/>
        <v>#NAME?</v>
      </c>
      <c r="K129" s="30" t="e">
        <f t="shared" si="29"/>
        <v>#NAME?</v>
      </c>
      <c r="L129" s="32" t="e">
        <f t="shared" si="16"/>
        <v>#NAME?</v>
      </c>
    </row>
    <row r="130" spans="1:12">
      <c r="A130" s="6">
        <v>2116</v>
      </c>
      <c r="B130" s="30">
        <f t="shared" si="24"/>
        <v>3.171606934873977</v>
      </c>
      <c r="C130" s="30" t="e">
        <f t="shared" si="26"/>
        <v>#NAME?</v>
      </c>
      <c r="D130" s="30" t="e">
        <f t="shared" si="25"/>
        <v>#NAME?</v>
      </c>
      <c r="E130" s="30" t="e">
        <f t="shared" si="13"/>
        <v>#NAME?</v>
      </c>
      <c r="F130" s="30" t="e">
        <f t="shared" si="14"/>
        <v>#NAME?</v>
      </c>
      <c r="G130" s="30" t="e">
        <f t="shared" si="15"/>
        <v>#NAME?</v>
      </c>
      <c r="H130" s="30" t="e">
        <f t="shared" si="27"/>
        <v>#NAME?</v>
      </c>
      <c r="I130" s="33" t="e">
        <f t="shared" si="22"/>
        <v>#NAME?</v>
      </c>
      <c r="J130" s="33" t="e">
        <f t="shared" si="28"/>
        <v>#NAME?</v>
      </c>
      <c r="K130" s="30" t="e">
        <f t="shared" si="29"/>
        <v>#NAME?</v>
      </c>
      <c r="L130" s="32" t="e">
        <f t="shared" si="16"/>
        <v>#NAME?</v>
      </c>
    </row>
    <row r="131" spans="1:12">
      <c r="A131" s="6">
        <v>2117</v>
      </c>
      <c r="B131" s="30">
        <f t="shared" si="24"/>
        <v>3.203323004222717</v>
      </c>
      <c r="C131" s="30" t="e">
        <f t="shared" si="26"/>
        <v>#NAME?</v>
      </c>
      <c r="D131" s="30" t="e">
        <f t="shared" si="25"/>
        <v>#NAME?</v>
      </c>
      <c r="E131" s="30" t="e">
        <f t="shared" si="13"/>
        <v>#NAME?</v>
      </c>
      <c r="F131" s="30" t="e">
        <f t="shared" si="14"/>
        <v>#NAME?</v>
      </c>
      <c r="G131" s="30" t="e">
        <f t="shared" si="15"/>
        <v>#NAME?</v>
      </c>
      <c r="H131" s="30" t="e">
        <f t="shared" si="27"/>
        <v>#NAME?</v>
      </c>
      <c r="I131" s="33" t="e">
        <f t="shared" si="22"/>
        <v>#NAME?</v>
      </c>
      <c r="J131" s="33" t="e">
        <f t="shared" si="28"/>
        <v>#NAME?</v>
      </c>
      <c r="K131" s="30" t="e">
        <f t="shared" si="29"/>
        <v>#NAME?</v>
      </c>
      <c r="L131" s="32" t="e">
        <f t="shared" si="16"/>
        <v>#NAME?</v>
      </c>
    </row>
    <row r="132" spans="1:12">
      <c r="A132" s="6">
        <v>2118</v>
      </c>
      <c r="B132" s="30">
        <f t="shared" si="24"/>
        <v>3.2353562342649442</v>
      </c>
      <c r="C132" s="30" t="e">
        <f t="shared" si="26"/>
        <v>#NAME?</v>
      </c>
      <c r="D132" s="30" t="e">
        <f t="shared" si="25"/>
        <v>#NAME?</v>
      </c>
      <c r="E132" s="30" t="e">
        <f t="shared" si="13"/>
        <v>#NAME?</v>
      </c>
      <c r="F132" s="30" t="e">
        <f t="shared" si="14"/>
        <v>#NAME?</v>
      </c>
      <c r="G132" s="30" t="e">
        <f t="shared" si="15"/>
        <v>#NAME?</v>
      </c>
      <c r="H132" s="30" t="e">
        <f t="shared" si="27"/>
        <v>#NAME?</v>
      </c>
      <c r="I132" s="33" t="e">
        <f t="shared" si="22"/>
        <v>#NAME?</v>
      </c>
      <c r="J132" s="33" t="e">
        <f t="shared" si="28"/>
        <v>#NAME?</v>
      </c>
      <c r="K132" s="30" t="e">
        <f t="shared" si="29"/>
        <v>#NAME?</v>
      </c>
      <c r="L132" s="32" t="e">
        <f t="shared" si="16"/>
        <v>#NAME?</v>
      </c>
    </row>
    <row r="133" spans="1:12">
      <c r="A133" s="6">
        <v>2119</v>
      </c>
      <c r="B133" s="30">
        <f t="shared" si="24"/>
        <v>3.2677097966075936</v>
      </c>
      <c r="C133" s="30" t="e">
        <f t="shared" si="26"/>
        <v>#NAME?</v>
      </c>
      <c r="D133" s="30" t="e">
        <f t="shared" si="25"/>
        <v>#NAME?</v>
      </c>
      <c r="E133" s="30" t="e">
        <f t="shared" si="13"/>
        <v>#NAME?</v>
      </c>
      <c r="F133" s="30" t="e">
        <f t="shared" si="14"/>
        <v>#NAME?</v>
      </c>
      <c r="G133" s="30" t="e">
        <f t="shared" si="15"/>
        <v>#NAME?</v>
      </c>
      <c r="H133" s="30" t="e">
        <f t="shared" si="27"/>
        <v>#NAME?</v>
      </c>
      <c r="I133" s="33" t="e">
        <f t="shared" si="22"/>
        <v>#NAME?</v>
      </c>
      <c r="J133" s="33" t="e">
        <f t="shared" si="28"/>
        <v>#NAME?</v>
      </c>
      <c r="K133" s="30" t="e">
        <f t="shared" si="29"/>
        <v>#NAME?</v>
      </c>
      <c r="L133" s="32" t="e">
        <f t="shared" si="16"/>
        <v>#NAME?</v>
      </c>
    </row>
    <row r="134" spans="1:12">
      <c r="A134" s="6">
        <v>2120</v>
      </c>
      <c r="B134" s="30">
        <f t="shared" si="24"/>
        <v>3.3003868945736694</v>
      </c>
      <c r="C134" s="30" t="e">
        <f t="shared" si="26"/>
        <v>#NAME?</v>
      </c>
      <c r="D134" s="30" t="e">
        <f t="shared" si="25"/>
        <v>#NAME?</v>
      </c>
      <c r="E134" s="30" t="e">
        <f t="shared" si="13"/>
        <v>#NAME?</v>
      </c>
      <c r="F134" s="30" t="e">
        <f t="shared" si="14"/>
        <v>#NAME?</v>
      </c>
      <c r="G134" s="30" t="e">
        <f t="shared" si="15"/>
        <v>#NAME?</v>
      </c>
      <c r="H134" s="30" t="e">
        <f t="shared" si="27"/>
        <v>#NAME?</v>
      </c>
      <c r="I134" s="33" t="e">
        <f t="shared" si="22"/>
        <v>#NAME?</v>
      </c>
      <c r="J134" s="33" t="e">
        <f t="shared" si="28"/>
        <v>#NAME?</v>
      </c>
      <c r="K134" s="30" t="e">
        <f t="shared" si="29"/>
        <v>#NAME?</v>
      </c>
      <c r="L134" s="32" t="e">
        <f t="shared" si="16"/>
        <v>#NAME?</v>
      </c>
    </row>
    <row r="135" spans="1:12">
      <c r="A135" s="6">
        <v>2121</v>
      </c>
      <c r="B135" s="30">
        <f t="shared" si="24"/>
        <v>3.333390763519406</v>
      </c>
      <c r="C135" s="30" t="e">
        <f t="shared" si="26"/>
        <v>#NAME?</v>
      </c>
      <c r="D135" s="30" t="e">
        <f t="shared" si="25"/>
        <v>#NAME?</v>
      </c>
      <c r="E135" s="30" t="e">
        <f t="shared" si="13"/>
        <v>#NAME?</v>
      </c>
      <c r="F135" s="30" t="e">
        <f t="shared" si="14"/>
        <v>#NAME?</v>
      </c>
      <c r="G135" s="30" t="e">
        <f t="shared" si="15"/>
        <v>#NAME?</v>
      </c>
      <c r="H135" s="30" t="e">
        <f t="shared" si="27"/>
        <v>#NAME?</v>
      </c>
      <c r="I135" s="33" t="e">
        <f t="shared" si="22"/>
        <v>#NAME?</v>
      </c>
      <c r="J135" s="33" t="e">
        <f t="shared" si="28"/>
        <v>#NAME?</v>
      </c>
      <c r="K135" s="30" t="e">
        <f t="shared" si="29"/>
        <v>#NAME?</v>
      </c>
      <c r="L135" s="32" t="e">
        <f t="shared" si="16"/>
        <v>#NAME?</v>
      </c>
    </row>
    <row r="136" spans="1:12">
      <c r="A136" s="6">
        <v>2122</v>
      </c>
      <c r="B136" s="30">
        <f t="shared" si="24"/>
        <v>3.3667246711545999</v>
      </c>
      <c r="C136" s="30" t="e">
        <f t="shared" si="26"/>
        <v>#NAME?</v>
      </c>
      <c r="D136" s="30" t="e">
        <f t="shared" si="25"/>
        <v>#NAME?</v>
      </c>
      <c r="E136" s="30" t="e">
        <f t="shared" si="13"/>
        <v>#NAME?</v>
      </c>
      <c r="F136" s="30" t="e">
        <f t="shared" si="14"/>
        <v>#NAME?</v>
      </c>
      <c r="G136" s="30" t="e">
        <f t="shared" si="15"/>
        <v>#NAME?</v>
      </c>
      <c r="H136" s="30" t="e">
        <f t="shared" si="27"/>
        <v>#NAME?</v>
      </c>
      <c r="I136" s="33" t="e">
        <f t="shared" si="22"/>
        <v>#NAME?</v>
      </c>
      <c r="J136" s="33" t="e">
        <f t="shared" si="28"/>
        <v>#NAME?</v>
      </c>
      <c r="K136" s="30" t="e">
        <f t="shared" si="29"/>
        <v>#NAME?</v>
      </c>
      <c r="L136" s="32" t="e">
        <f t="shared" si="16"/>
        <v>#NAME?</v>
      </c>
    </row>
    <row r="137" spans="1:12">
      <c r="A137" s="6">
        <v>2123</v>
      </c>
      <c r="B137" s="30">
        <f t="shared" si="24"/>
        <v>3.4003919178661461</v>
      </c>
      <c r="C137" s="30" t="e">
        <f t="shared" si="26"/>
        <v>#NAME?</v>
      </c>
      <c r="D137" s="30" t="e">
        <f t="shared" si="25"/>
        <v>#NAME?</v>
      </c>
      <c r="E137" s="30" t="e">
        <f t="shared" si="13"/>
        <v>#NAME?</v>
      </c>
      <c r="F137" s="30" t="e">
        <f t="shared" si="14"/>
        <v>#NAME?</v>
      </c>
      <c r="G137" s="30" t="e">
        <f t="shared" si="15"/>
        <v>#NAME?</v>
      </c>
      <c r="H137" s="30" t="e">
        <f t="shared" si="27"/>
        <v>#NAME?</v>
      </c>
      <c r="I137" s="33" t="e">
        <f t="shared" si="22"/>
        <v>#NAME?</v>
      </c>
      <c r="J137" s="33" t="e">
        <f t="shared" si="28"/>
        <v>#NAME?</v>
      </c>
      <c r="K137" s="30" t="e">
        <f t="shared" si="29"/>
        <v>#NAME?</v>
      </c>
      <c r="L137" s="32" t="e">
        <f t="shared" si="16"/>
        <v>#NAME?</v>
      </c>
    </row>
    <row r="138" spans="1:12">
      <c r="A138" s="6">
        <v>2124</v>
      </c>
      <c r="B138" s="30">
        <f t="shared" si="24"/>
        <v>3.4343958370448076</v>
      </c>
      <c r="C138" s="30" t="e">
        <f t="shared" si="26"/>
        <v>#NAME?</v>
      </c>
      <c r="D138" s="30" t="e">
        <f t="shared" si="25"/>
        <v>#NAME?</v>
      </c>
      <c r="E138" s="30" t="e">
        <f t="shared" si="13"/>
        <v>#NAME?</v>
      </c>
      <c r="F138" s="30" t="e">
        <f t="shared" si="14"/>
        <v>#NAME?</v>
      </c>
      <c r="G138" s="30" t="e">
        <f t="shared" si="15"/>
        <v>#NAME?</v>
      </c>
      <c r="H138" s="30" t="e">
        <f t="shared" si="27"/>
        <v>#NAME?</v>
      </c>
      <c r="I138" s="33" t="e">
        <f t="shared" si="22"/>
        <v>#NAME?</v>
      </c>
      <c r="J138" s="33" t="e">
        <f t="shared" si="28"/>
        <v>#NAME?</v>
      </c>
      <c r="K138" s="30" t="e">
        <f t="shared" si="29"/>
        <v>#NAME?</v>
      </c>
      <c r="L138" s="32" t="e">
        <f t="shared" si="16"/>
        <v>#NAME?</v>
      </c>
    </row>
    <row r="139" spans="1:12">
      <c r="A139" s="6">
        <v>2125</v>
      </c>
      <c r="B139" s="30">
        <f t="shared" si="24"/>
        <v>3.4687397954152557</v>
      </c>
      <c r="C139" s="30" t="e">
        <f t="shared" si="26"/>
        <v>#NAME?</v>
      </c>
      <c r="D139" s="30" t="e">
        <f t="shared" si="25"/>
        <v>#NAME?</v>
      </c>
      <c r="E139" s="30" t="e">
        <f t="shared" si="13"/>
        <v>#NAME?</v>
      </c>
      <c r="F139" s="30" t="e">
        <f t="shared" si="14"/>
        <v>#NAME?</v>
      </c>
      <c r="G139" s="30" t="e">
        <f t="shared" si="15"/>
        <v>#NAME?</v>
      </c>
      <c r="H139" s="30" t="e">
        <f t="shared" si="27"/>
        <v>#NAME?</v>
      </c>
      <c r="I139" s="33" t="e">
        <f t="shared" si="22"/>
        <v>#NAME?</v>
      </c>
      <c r="J139" s="33" t="e">
        <f t="shared" si="28"/>
        <v>#NAME?</v>
      </c>
      <c r="K139" s="30" t="e">
        <f t="shared" si="29"/>
        <v>#NAME?</v>
      </c>
      <c r="L139" s="32" t="e">
        <f t="shared" si="16"/>
        <v>#NAME?</v>
      </c>
    </row>
    <row r="140" spans="1:12">
      <c r="A140" s="6">
        <v>2126</v>
      </c>
      <c r="B140" s="30">
        <f t="shared" si="24"/>
        <v>3.5034271933694083</v>
      </c>
      <c r="C140" s="30" t="e">
        <f t="shared" si="26"/>
        <v>#NAME?</v>
      </c>
      <c r="D140" s="30" t="e">
        <f t="shared" si="25"/>
        <v>#NAME?</v>
      </c>
      <c r="E140" s="30" t="e">
        <f t="shared" si="13"/>
        <v>#NAME?</v>
      </c>
      <c r="F140" s="30" t="e">
        <f t="shared" si="14"/>
        <v>#NAME?</v>
      </c>
      <c r="G140" s="30" t="e">
        <f t="shared" si="15"/>
        <v>#NAME?</v>
      </c>
      <c r="H140" s="30" t="e">
        <f t="shared" si="27"/>
        <v>#NAME?</v>
      </c>
      <c r="I140" s="33" t="e">
        <f t="shared" si="22"/>
        <v>#NAME?</v>
      </c>
      <c r="J140" s="33" t="e">
        <f t="shared" si="28"/>
        <v>#NAME?</v>
      </c>
      <c r="K140" s="30" t="e">
        <f t="shared" si="29"/>
        <v>#NAME?</v>
      </c>
      <c r="L140" s="32" t="e">
        <f t="shared" si="16"/>
        <v>#NAME?</v>
      </c>
    </row>
    <row r="141" spans="1:12">
      <c r="A141" s="6">
        <v>2127</v>
      </c>
      <c r="B141" s="30">
        <f t="shared" si="24"/>
        <v>3.5384614653031026</v>
      </c>
      <c r="C141" s="30" t="e">
        <f t="shared" si="26"/>
        <v>#NAME?</v>
      </c>
      <c r="D141" s="30" t="e">
        <f t="shared" si="25"/>
        <v>#NAME?</v>
      </c>
      <c r="E141" s="30" t="e">
        <f t="shared" si="13"/>
        <v>#NAME?</v>
      </c>
      <c r="F141" s="30" t="e">
        <f t="shared" si="14"/>
        <v>#NAME?</v>
      </c>
      <c r="G141" s="30" t="e">
        <f t="shared" si="15"/>
        <v>#NAME?</v>
      </c>
      <c r="H141" s="30" t="e">
        <f t="shared" si="27"/>
        <v>#NAME?</v>
      </c>
      <c r="I141" s="33" t="e">
        <f t="shared" si="22"/>
        <v>#NAME?</v>
      </c>
      <c r="J141" s="33" t="e">
        <f t="shared" si="28"/>
        <v>#NAME?</v>
      </c>
      <c r="K141" s="30" t="e">
        <f t="shared" si="29"/>
        <v>#NAME?</v>
      </c>
      <c r="L141" s="32" t="e">
        <f t="shared" si="16"/>
        <v>#NAME?</v>
      </c>
    </row>
    <row r="142" spans="1:12">
      <c r="A142" s="6">
        <v>2128</v>
      </c>
      <c r="B142" s="30">
        <f t="shared" si="24"/>
        <v>3.5738460799561338</v>
      </c>
      <c r="C142" s="30" t="e">
        <f t="shared" si="26"/>
        <v>#NAME?</v>
      </c>
      <c r="D142" s="30" t="e">
        <f t="shared" si="25"/>
        <v>#NAME?</v>
      </c>
      <c r="E142" s="30" t="e">
        <f t="shared" ref="E142:E205" si="30">(1-s)*D142</f>
        <v>#NAME?</v>
      </c>
      <c r="F142" s="30" t="e">
        <f t="shared" ref="F142:F205" si="31">s*D142</f>
        <v>#NAME?</v>
      </c>
      <c r="G142" s="30" t="e">
        <f t="shared" ref="G142:G205" si="32">dep*C142</f>
        <v>#NAME?</v>
      </c>
      <c r="H142" s="30" t="e">
        <f t="shared" si="27"/>
        <v>#NAME?</v>
      </c>
      <c r="I142" s="33" t="e">
        <f t="shared" si="22"/>
        <v>#NAME?</v>
      </c>
      <c r="J142" s="33" t="e">
        <f t="shared" si="28"/>
        <v>#NAME?</v>
      </c>
      <c r="K142" s="30" t="e">
        <f t="shared" si="29"/>
        <v>#NAME?</v>
      </c>
      <c r="L142" s="32" t="e">
        <f t="shared" ref="L142:L205" si="33">alpha1/K142</f>
        <v>#NAME?</v>
      </c>
    </row>
    <row r="143" spans="1:12">
      <c r="A143" s="6">
        <v>2129</v>
      </c>
      <c r="B143" s="30">
        <f t="shared" ref="B143:B174" si="34">(1+n)*B142</f>
        <v>3.6095845407556952</v>
      </c>
      <c r="C143" s="30" t="e">
        <f t="shared" si="26"/>
        <v>#NAME?</v>
      </c>
      <c r="D143" s="30" t="e">
        <f t="shared" ref="D143:D174" si="35">A*(alpha1*C143^rho+alpha2*((1+g)^(A143-$A$14)*B143)^rho)^(1/rho)</f>
        <v>#NAME?</v>
      </c>
      <c r="E143" s="30" t="e">
        <f t="shared" si="30"/>
        <v>#NAME?</v>
      </c>
      <c r="F143" s="30" t="e">
        <f t="shared" si="31"/>
        <v>#NAME?</v>
      </c>
      <c r="G143" s="30" t="e">
        <f t="shared" si="32"/>
        <v>#NAME?</v>
      </c>
      <c r="H143" s="30" t="e">
        <f t="shared" si="27"/>
        <v>#NAME?</v>
      </c>
      <c r="I143" s="33" t="e">
        <f t="shared" si="22"/>
        <v>#NAME?</v>
      </c>
      <c r="J143" s="33" t="e">
        <f t="shared" si="28"/>
        <v>#NAME?</v>
      </c>
      <c r="K143" s="30" t="e">
        <f t="shared" si="29"/>
        <v>#NAME?</v>
      </c>
      <c r="L143" s="32" t="e">
        <f t="shared" si="33"/>
        <v>#NAME?</v>
      </c>
    </row>
    <row r="144" spans="1:12">
      <c r="A144" s="6">
        <v>2130</v>
      </c>
      <c r="B144" s="30">
        <f t="shared" si="34"/>
        <v>3.6456803861632521</v>
      </c>
      <c r="C144" s="30" t="e">
        <f t="shared" si="26"/>
        <v>#NAME?</v>
      </c>
      <c r="D144" s="30" t="e">
        <f t="shared" si="35"/>
        <v>#NAME?</v>
      </c>
      <c r="E144" s="30" t="e">
        <f t="shared" si="30"/>
        <v>#NAME?</v>
      </c>
      <c r="F144" s="30" t="e">
        <f t="shared" si="31"/>
        <v>#NAME?</v>
      </c>
      <c r="G144" s="30" t="e">
        <f t="shared" si="32"/>
        <v>#NAME?</v>
      </c>
      <c r="H144" s="30" t="e">
        <f t="shared" si="27"/>
        <v>#NAME?</v>
      </c>
      <c r="I144" s="33" t="e">
        <f t="shared" ref="I144:I207" si="36">(C144-C143)/C143</f>
        <v>#NAME?</v>
      </c>
      <c r="J144" s="33" t="e">
        <f t="shared" si="28"/>
        <v>#NAME?</v>
      </c>
      <c r="K144" s="30" t="e">
        <f t="shared" si="29"/>
        <v>#NAME?</v>
      </c>
      <c r="L144" s="32" t="e">
        <f t="shared" si="33"/>
        <v>#NAME?</v>
      </c>
    </row>
    <row r="145" spans="1:12">
      <c r="A145" s="6">
        <v>2131</v>
      </c>
      <c r="B145" s="30">
        <f t="shared" si="34"/>
        <v>3.6821371900248847</v>
      </c>
      <c r="C145" s="30" t="e">
        <f t="shared" si="26"/>
        <v>#NAME?</v>
      </c>
      <c r="D145" s="30" t="e">
        <f t="shared" si="35"/>
        <v>#NAME?</v>
      </c>
      <c r="E145" s="30" t="e">
        <f t="shared" si="30"/>
        <v>#NAME?</v>
      </c>
      <c r="F145" s="30" t="e">
        <f t="shared" si="31"/>
        <v>#NAME?</v>
      </c>
      <c r="G145" s="30" t="e">
        <f t="shared" si="32"/>
        <v>#NAME?</v>
      </c>
      <c r="H145" s="30" t="e">
        <f t="shared" si="27"/>
        <v>#NAME?</v>
      </c>
      <c r="I145" s="33" t="e">
        <f t="shared" si="36"/>
        <v>#NAME?</v>
      </c>
      <c r="J145" s="33" t="e">
        <f t="shared" si="28"/>
        <v>#NAME?</v>
      </c>
      <c r="K145" s="30" t="e">
        <f t="shared" si="29"/>
        <v>#NAME?</v>
      </c>
      <c r="L145" s="32" t="e">
        <f t="shared" si="33"/>
        <v>#NAME?</v>
      </c>
    </row>
    <row r="146" spans="1:12">
      <c r="A146" s="6">
        <v>2132</v>
      </c>
      <c r="B146" s="30">
        <f t="shared" si="34"/>
        <v>3.7189585619251337</v>
      </c>
      <c r="C146" s="30" t="e">
        <f t="shared" si="26"/>
        <v>#NAME?</v>
      </c>
      <c r="D146" s="30" t="e">
        <f t="shared" si="35"/>
        <v>#NAME?</v>
      </c>
      <c r="E146" s="30" t="e">
        <f t="shared" si="30"/>
        <v>#NAME?</v>
      </c>
      <c r="F146" s="30" t="e">
        <f t="shared" si="31"/>
        <v>#NAME?</v>
      </c>
      <c r="G146" s="30" t="e">
        <f t="shared" si="32"/>
        <v>#NAME?</v>
      </c>
      <c r="H146" s="30" t="e">
        <f t="shared" si="27"/>
        <v>#NAME?</v>
      </c>
      <c r="I146" s="33" t="e">
        <f t="shared" si="36"/>
        <v>#NAME?</v>
      </c>
      <c r="J146" s="33" t="e">
        <f t="shared" si="28"/>
        <v>#NAME?</v>
      </c>
      <c r="K146" s="30" t="e">
        <f t="shared" si="29"/>
        <v>#NAME?</v>
      </c>
      <c r="L146" s="32" t="e">
        <f t="shared" si="33"/>
        <v>#NAME?</v>
      </c>
    </row>
    <row r="147" spans="1:12">
      <c r="A147" s="6">
        <v>2133</v>
      </c>
      <c r="B147" s="30">
        <f t="shared" si="34"/>
        <v>3.7561481475443852</v>
      </c>
      <c r="C147" s="30" t="e">
        <f t="shared" si="26"/>
        <v>#NAME?</v>
      </c>
      <c r="D147" s="30" t="e">
        <f t="shared" si="35"/>
        <v>#NAME?</v>
      </c>
      <c r="E147" s="30" t="e">
        <f t="shared" si="30"/>
        <v>#NAME?</v>
      </c>
      <c r="F147" s="30" t="e">
        <f t="shared" si="31"/>
        <v>#NAME?</v>
      </c>
      <c r="G147" s="30" t="e">
        <f t="shared" si="32"/>
        <v>#NAME?</v>
      </c>
      <c r="H147" s="30" t="e">
        <f t="shared" si="27"/>
        <v>#NAME?</v>
      </c>
      <c r="I147" s="33" t="e">
        <f t="shared" si="36"/>
        <v>#NAME?</v>
      </c>
      <c r="J147" s="33" t="e">
        <f t="shared" si="28"/>
        <v>#NAME?</v>
      </c>
      <c r="K147" s="30" t="e">
        <f t="shared" si="29"/>
        <v>#NAME?</v>
      </c>
      <c r="L147" s="32" t="e">
        <f t="shared" si="33"/>
        <v>#NAME?</v>
      </c>
    </row>
    <row r="148" spans="1:12">
      <c r="A148" s="6">
        <v>2134</v>
      </c>
      <c r="B148" s="30">
        <f t="shared" si="34"/>
        <v>3.7937096290198289</v>
      </c>
      <c r="C148" s="30" t="e">
        <f t="shared" si="26"/>
        <v>#NAME?</v>
      </c>
      <c r="D148" s="30" t="e">
        <f t="shared" si="35"/>
        <v>#NAME?</v>
      </c>
      <c r="E148" s="30" t="e">
        <f t="shared" si="30"/>
        <v>#NAME?</v>
      </c>
      <c r="F148" s="30" t="e">
        <f t="shared" si="31"/>
        <v>#NAME?</v>
      </c>
      <c r="G148" s="30" t="e">
        <f t="shared" si="32"/>
        <v>#NAME?</v>
      </c>
      <c r="H148" s="30" t="e">
        <f t="shared" si="27"/>
        <v>#NAME?</v>
      </c>
      <c r="I148" s="33" t="e">
        <f t="shared" si="36"/>
        <v>#NAME?</v>
      </c>
      <c r="J148" s="33" t="e">
        <f t="shared" si="28"/>
        <v>#NAME?</v>
      </c>
      <c r="K148" s="30" t="e">
        <f t="shared" si="29"/>
        <v>#NAME?</v>
      </c>
      <c r="L148" s="32" t="e">
        <f t="shared" si="33"/>
        <v>#NAME?</v>
      </c>
    </row>
    <row r="149" spans="1:12">
      <c r="A149" s="6">
        <v>2135</v>
      </c>
      <c r="B149" s="30">
        <f t="shared" si="34"/>
        <v>3.8316467253100273</v>
      </c>
      <c r="C149" s="30" t="e">
        <f t="shared" si="26"/>
        <v>#NAME?</v>
      </c>
      <c r="D149" s="30" t="e">
        <f t="shared" si="35"/>
        <v>#NAME?</v>
      </c>
      <c r="E149" s="30" t="e">
        <f t="shared" si="30"/>
        <v>#NAME?</v>
      </c>
      <c r="F149" s="30" t="e">
        <f t="shared" si="31"/>
        <v>#NAME?</v>
      </c>
      <c r="G149" s="30" t="e">
        <f t="shared" si="32"/>
        <v>#NAME?</v>
      </c>
      <c r="H149" s="30" t="e">
        <f t="shared" si="27"/>
        <v>#NAME?</v>
      </c>
      <c r="I149" s="33" t="e">
        <f t="shared" si="36"/>
        <v>#NAME?</v>
      </c>
      <c r="J149" s="33" t="e">
        <f t="shared" si="28"/>
        <v>#NAME?</v>
      </c>
      <c r="K149" s="30" t="e">
        <f t="shared" si="29"/>
        <v>#NAME?</v>
      </c>
      <c r="L149" s="32" t="e">
        <f t="shared" si="33"/>
        <v>#NAME?</v>
      </c>
    </row>
    <row r="150" spans="1:12">
      <c r="A150" s="6">
        <v>2136</v>
      </c>
      <c r="B150" s="30">
        <f t="shared" si="34"/>
        <v>3.8699631925631275</v>
      </c>
      <c r="C150" s="30" t="e">
        <f t="shared" si="26"/>
        <v>#NAME?</v>
      </c>
      <c r="D150" s="30" t="e">
        <f t="shared" si="35"/>
        <v>#NAME?</v>
      </c>
      <c r="E150" s="30" t="e">
        <f t="shared" si="30"/>
        <v>#NAME?</v>
      </c>
      <c r="F150" s="30" t="e">
        <f t="shared" si="31"/>
        <v>#NAME?</v>
      </c>
      <c r="G150" s="30" t="e">
        <f t="shared" si="32"/>
        <v>#NAME?</v>
      </c>
      <c r="H150" s="30" t="e">
        <f t="shared" si="27"/>
        <v>#NAME?</v>
      </c>
      <c r="I150" s="33" t="e">
        <f t="shared" si="36"/>
        <v>#NAME?</v>
      </c>
      <c r="J150" s="33" t="e">
        <f t="shared" si="28"/>
        <v>#NAME?</v>
      </c>
      <c r="K150" s="30" t="e">
        <f t="shared" si="29"/>
        <v>#NAME?</v>
      </c>
      <c r="L150" s="32" t="e">
        <f t="shared" si="33"/>
        <v>#NAME?</v>
      </c>
    </row>
    <row r="151" spans="1:12">
      <c r="A151" s="6">
        <v>2137</v>
      </c>
      <c r="B151" s="30">
        <f t="shared" si="34"/>
        <v>3.9086628244887587</v>
      </c>
      <c r="C151" s="30" t="e">
        <f t="shared" si="26"/>
        <v>#NAME?</v>
      </c>
      <c r="D151" s="30" t="e">
        <f t="shared" si="35"/>
        <v>#NAME?</v>
      </c>
      <c r="E151" s="30" t="e">
        <f t="shared" si="30"/>
        <v>#NAME?</v>
      </c>
      <c r="F151" s="30" t="e">
        <f t="shared" si="31"/>
        <v>#NAME?</v>
      </c>
      <c r="G151" s="30" t="e">
        <f t="shared" si="32"/>
        <v>#NAME?</v>
      </c>
      <c r="H151" s="30" t="e">
        <f t="shared" si="27"/>
        <v>#NAME?</v>
      </c>
      <c r="I151" s="33" t="e">
        <f t="shared" si="36"/>
        <v>#NAME?</v>
      </c>
      <c r="J151" s="33" t="e">
        <f t="shared" si="28"/>
        <v>#NAME?</v>
      </c>
      <c r="K151" s="30" t="e">
        <f t="shared" si="29"/>
        <v>#NAME?</v>
      </c>
      <c r="L151" s="32" t="e">
        <f t="shared" si="33"/>
        <v>#NAME?</v>
      </c>
    </row>
    <row r="152" spans="1:12">
      <c r="A152" s="6">
        <v>2138</v>
      </c>
      <c r="B152" s="30">
        <f t="shared" si="34"/>
        <v>3.9477494527336461</v>
      </c>
      <c r="C152" s="30" t="e">
        <f t="shared" si="26"/>
        <v>#NAME?</v>
      </c>
      <c r="D152" s="30" t="e">
        <f t="shared" si="35"/>
        <v>#NAME?</v>
      </c>
      <c r="E152" s="30" t="e">
        <f t="shared" si="30"/>
        <v>#NAME?</v>
      </c>
      <c r="F152" s="30" t="e">
        <f t="shared" si="31"/>
        <v>#NAME?</v>
      </c>
      <c r="G152" s="30" t="e">
        <f t="shared" si="32"/>
        <v>#NAME?</v>
      </c>
      <c r="H152" s="30" t="e">
        <f t="shared" si="27"/>
        <v>#NAME?</v>
      </c>
      <c r="I152" s="33" t="e">
        <f t="shared" si="36"/>
        <v>#NAME?</v>
      </c>
      <c r="J152" s="33" t="e">
        <f t="shared" si="28"/>
        <v>#NAME?</v>
      </c>
      <c r="K152" s="30" t="e">
        <f t="shared" si="29"/>
        <v>#NAME?</v>
      </c>
      <c r="L152" s="32" t="e">
        <f t="shared" si="33"/>
        <v>#NAME?</v>
      </c>
    </row>
    <row r="153" spans="1:12">
      <c r="A153" s="6">
        <v>2139</v>
      </c>
      <c r="B153" s="30">
        <f t="shared" si="34"/>
        <v>3.9872269472609827</v>
      </c>
      <c r="C153" s="30" t="e">
        <f t="shared" si="26"/>
        <v>#NAME?</v>
      </c>
      <c r="D153" s="30" t="e">
        <f t="shared" si="35"/>
        <v>#NAME?</v>
      </c>
      <c r="E153" s="30" t="e">
        <f t="shared" si="30"/>
        <v>#NAME?</v>
      </c>
      <c r="F153" s="30" t="e">
        <f t="shared" si="31"/>
        <v>#NAME?</v>
      </c>
      <c r="G153" s="30" t="e">
        <f t="shared" si="32"/>
        <v>#NAME?</v>
      </c>
      <c r="H153" s="30" t="e">
        <f t="shared" si="27"/>
        <v>#NAME?</v>
      </c>
      <c r="I153" s="33" t="e">
        <f t="shared" si="36"/>
        <v>#NAME?</v>
      </c>
      <c r="J153" s="33" t="e">
        <f t="shared" si="28"/>
        <v>#NAME?</v>
      </c>
      <c r="K153" s="30" t="e">
        <f t="shared" si="29"/>
        <v>#NAME?</v>
      </c>
      <c r="L153" s="32" t="e">
        <f t="shared" si="33"/>
        <v>#NAME?</v>
      </c>
    </row>
    <row r="154" spans="1:12">
      <c r="A154" s="6">
        <v>2140</v>
      </c>
      <c r="B154" s="30">
        <f t="shared" si="34"/>
        <v>4.0270992167335926</v>
      </c>
      <c r="C154" s="30" t="e">
        <f t="shared" si="26"/>
        <v>#NAME?</v>
      </c>
      <c r="D154" s="30" t="e">
        <f t="shared" si="35"/>
        <v>#NAME?</v>
      </c>
      <c r="E154" s="30" t="e">
        <f t="shared" si="30"/>
        <v>#NAME?</v>
      </c>
      <c r="F154" s="30" t="e">
        <f t="shared" si="31"/>
        <v>#NAME?</v>
      </c>
      <c r="G154" s="30" t="e">
        <f t="shared" si="32"/>
        <v>#NAME?</v>
      </c>
      <c r="H154" s="30" t="e">
        <f t="shared" si="27"/>
        <v>#NAME?</v>
      </c>
      <c r="I154" s="33" t="e">
        <f t="shared" si="36"/>
        <v>#NAME?</v>
      </c>
      <c r="J154" s="33" t="e">
        <f t="shared" si="28"/>
        <v>#NAME?</v>
      </c>
      <c r="K154" s="30" t="e">
        <f t="shared" si="29"/>
        <v>#NAME?</v>
      </c>
      <c r="L154" s="32" t="e">
        <f t="shared" si="33"/>
        <v>#NAME?</v>
      </c>
    </row>
    <row r="155" spans="1:12">
      <c r="A155" s="6">
        <v>2141</v>
      </c>
      <c r="B155" s="30">
        <f t="shared" si="34"/>
        <v>4.0673702089009289</v>
      </c>
      <c r="C155" s="30" t="e">
        <f t="shared" si="26"/>
        <v>#NAME?</v>
      </c>
      <c r="D155" s="30" t="e">
        <f t="shared" si="35"/>
        <v>#NAME?</v>
      </c>
      <c r="E155" s="30" t="e">
        <f t="shared" si="30"/>
        <v>#NAME?</v>
      </c>
      <c r="F155" s="30" t="e">
        <f t="shared" si="31"/>
        <v>#NAME?</v>
      </c>
      <c r="G155" s="30" t="e">
        <f t="shared" si="32"/>
        <v>#NAME?</v>
      </c>
      <c r="H155" s="30" t="e">
        <f t="shared" si="27"/>
        <v>#NAME?</v>
      </c>
      <c r="I155" s="33" t="e">
        <f t="shared" si="36"/>
        <v>#NAME?</v>
      </c>
      <c r="J155" s="33" t="e">
        <f t="shared" si="28"/>
        <v>#NAME?</v>
      </c>
      <c r="K155" s="30" t="e">
        <f t="shared" si="29"/>
        <v>#NAME?</v>
      </c>
      <c r="L155" s="32" t="e">
        <f t="shared" si="33"/>
        <v>#NAME?</v>
      </c>
    </row>
    <row r="156" spans="1:12">
      <c r="A156" s="6">
        <v>2142</v>
      </c>
      <c r="B156" s="30">
        <f t="shared" si="34"/>
        <v>4.108043910989938</v>
      </c>
      <c r="C156" s="30" t="e">
        <f t="shared" si="26"/>
        <v>#NAME?</v>
      </c>
      <c r="D156" s="30" t="e">
        <f t="shared" si="35"/>
        <v>#NAME?</v>
      </c>
      <c r="E156" s="30" t="e">
        <f t="shared" si="30"/>
        <v>#NAME?</v>
      </c>
      <c r="F156" s="30" t="e">
        <f t="shared" si="31"/>
        <v>#NAME?</v>
      </c>
      <c r="G156" s="30" t="e">
        <f t="shared" si="32"/>
        <v>#NAME?</v>
      </c>
      <c r="H156" s="30" t="e">
        <f t="shared" si="27"/>
        <v>#NAME?</v>
      </c>
      <c r="I156" s="33" t="e">
        <f t="shared" si="36"/>
        <v>#NAME?</v>
      </c>
      <c r="J156" s="33" t="e">
        <f t="shared" si="28"/>
        <v>#NAME?</v>
      </c>
      <c r="K156" s="30" t="e">
        <f t="shared" si="29"/>
        <v>#NAME?</v>
      </c>
      <c r="L156" s="32" t="e">
        <f t="shared" si="33"/>
        <v>#NAME?</v>
      </c>
    </row>
    <row r="157" spans="1:12">
      <c r="A157" s="6">
        <v>2143</v>
      </c>
      <c r="B157" s="30">
        <f t="shared" si="34"/>
        <v>4.1491243500998376</v>
      </c>
      <c r="C157" s="30" t="e">
        <f t="shared" si="26"/>
        <v>#NAME?</v>
      </c>
      <c r="D157" s="30" t="e">
        <f t="shared" si="35"/>
        <v>#NAME?</v>
      </c>
      <c r="E157" s="30" t="e">
        <f t="shared" si="30"/>
        <v>#NAME?</v>
      </c>
      <c r="F157" s="30" t="e">
        <f t="shared" si="31"/>
        <v>#NAME?</v>
      </c>
      <c r="G157" s="30" t="e">
        <f t="shared" si="32"/>
        <v>#NAME?</v>
      </c>
      <c r="H157" s="30" t="e">
        <f t="shared" si="27"/>
        <v>#NAME?</v>
      </c>
      <c r="I157" s="33" t="e">
        <f t="shared" si="36"/>
        <v>#NAME?</v>
      </c>
      <c r="J157" s="33" t="e">
        <f t="shared" si="28"/>
        <v>#NAME?</v>
      </c>
      <c r="K157" s="30" t="e">
        <f t="shared" si="29"/>
        <v>#NAME?</v>
      </c>
      <c r="L157" s="32" t="e">
        <f t="shared" si="33"/>
        <v>#NAME?</v>
      </c>
    </row>
    <row r="158" spans="1:12">
      <c r="A158" s="6">
        <v>2144</v>
      </c>
      <c r="B158" s="30">
        <f t="shared" si="34"/>
        <v>4.1906155936008362</v>
      </c>
      <c r="C158" s="30" t="e">
        <f t="shared" si="26"/>
        <v>#NAME?</v>
      </c>
      <c r="D158" s="30" t="e">
        <f t="shared" si="35"/>
        <v>#NAME?</v>
      </c>
      <c r="E158" s="30" t="e">
        <f t="shared" si="30"/>
        <v>#NAME?</v>
      </c>
      <c r="F158" s="30" t="e">
        <f t="shared" si="31"/>
        <v>#NAME?</v>
      </c>
      <c r="G158" s="30" t="e">
        <f t="shared" si="32"/>
        <v>#NAME?</v>
      </c>
      <c r="H158" s="30" t="e">
        <f t="shared" si="27"/>
        <v>#NAME?</v>
      </c>
      <c r="I158" s="33" t="e">
        <f t="shared" si="36"/>
        <v>#NAME?</v>
      </c>
      <c r="J158" s="33" t="e">
        <f t="shared" si="28"/>
        <v>#NAME?</v>
      </c>
      <c r="K158" s="30" t="e">
        <f t="shared" si="29"/>
        <v>#NAME?</v>
      </c>
      <c r="L158" s="32" t="e">
        <f t="shared" si="33"/>
        <v>#NAME?</v>
      </c>
    </row>
    <row r="159" spans="1:12">
      <c r="A159" s="6">
        <v>2145</v>
      </c>
      <c r="B159" s="30">
        <f t="shared" si="34"/>
        <v>4.2325217495368443</v>
      </c>
      <c r="C159" s="30" t="e">
        <f t="shared" si="26"/>
        <v>#NAME?</v>
      </c>
      <c r="D159" s="30" t="e">
        <f t="shared" si="35"/>
        <v>#NAME?</v>
      </c>
      <c r="E159" s="30" t="e">
        <f t="shared" si="30"/>
        <v>#NAME?</v>
      </c>
      <c r="F159" s="30" t="e">
        <f t="shared" si="31"/>
        <v>#NAME?</v>
      </c>
      <c r="G159" s="30" t="e">
        <f t="shared" si="32"/>
        <v>#NAME?</v>
      </c>
      <c r="H159" s="30" t="e">
        <f t="shared" si="27"/>
        <v>#NAME?</v>
      </c>
      <c r="I159" s="33" t="e">
        <f t="shared" si="36"/>
        <v>#NAME?</v>
      </c>
      <c r="J159" s="33" t="e">
        <f t="shared" si="28"/>
        <v>#NAME?</v>
      </c>
      <c r="K159" s="30" t="e">
        <f t="shared" si="29"/>
        <v>#NAME?</v>
      </c>
      <c r="L159" s="32" t="e">
        <f t="shared" si="33"/>
        <v>#NAME?</v>
      </c>
    </row>
    <row r="160" spans="1:12">
      <c r="A160" s="6">
        <v>2146</v>
      </c>
      <c r="B160" s="30">
        <f t="shared" si="34"/>
        <v>4.2748469670322127</v>
      </c>
      <c r="C160" s="30" t="e">
        <f t="shared" si="26"/>
        <v>#NAME?</v>
      </c>
      <c r="D160" s="30" t="e">
        <f t="shared" si="35"/>
        <v>#NAME?</v>
      </c>
      <c r="E160" s="30" t="e">
        <f t="shared" si="30"/>
        <v>#NAME?</v>
      </c>
      <c r="F160" s="30" t="e">
        <f t="shared" si="31"/>
        <v>#NAME?</v>
      </c>
      <c r="G160" s="30" t="e">
        <f t="shared" si="32"/>
        <v>#NAME?</v>
      </c>
      <c r="H160" s="30" t="e">
        <f t="shared" si="27"/>
        <v>#NAME?</v>
      </c>
      <c r="I160" s="33" t="e">
        <f t="shared" si="36"/>
        <v>#NAME?</v>
      </c>
      <c r="J160" s="33" t="e">
        <f t="shared" si="28"/>
        <v>#NAME?</v>
      </c>
      <c r="K160" s="30" t="e">
        <f t="shared" si="29"/>
        <v>#NAME?</v>
      </c>
      <c r="L160" s="32" t="e">
        <f t="shared" si="33"/>
        <v>#NAME?</v>
      </c>
    </row>
    <row r="161" spans="1:12">
      <c r="A161" s="6">
        <v>2147</v>
      </c>
      <c r="B161" s="30">
        <f t="shared" si="34"/>
        <v>4.3175954367025344</v>
      </c>
      <c r="C161" s="30" t="e">
        <f t="shared" si="26"/>
        <v>#NAME?</v>
      </c>
      <c r="D161" s="30" t="e">
        <f t="shared" si="35"/>
        <v>#NAME?</v>
      </c>
      <c r="E161" s="30" t="e">
        <f t="shared" si="30"/>
        <v>#NAME?</v>
      </c>
      <c r="F161" s="30" t="e">
        <f t="shared" si="31"/>
        <v>#NAME?</v>
      </c>
      <c r="G161" s="30" t="e">
        <f t="shared" si="32"/>
        <v>#NAME?</v>
      </c>
      <c r="H161" s="30" t="e">
        <f t="shared" si="27"/>
        <v>#NAME?</v>
      </c>
      <c r="I161" s="33" t="e">
        <f t="shared" si="36"/>
        <v>#NAME?</v>
      </c>
      <c r="J161" s="33" t="e">
        <f t="shared" si="28"/>
        <v>#NAME?</v>
      </c>
      <c r="K161" s="30" t="e">
        <f t="shared" si="29"/>
        <v>#NAME?</v>
      </c>
      <c r="L161" s="32" t="e">
        <f t="shared" si="33"/>
        <v>#NAME?</v>
      </c>
    </row>
    <row r="162" spans="1:12">
      <c r="A162" s="6">
        <v>2148</v>
      </c>
      <c r="B162" s="30">
        <f t="shared" si="34"/>
        <v>4.3607713910695596</v>
      </c>
      <c r="C162" s="30" t="e">
        <f t="shared" si="26"/>
        <v>#NAME?</v>
      </c>
      <c r="D162" s="30" t="e">
        <f t="shared" si="35"/>
        <v>#NAME?</v>
      </c>
      <c r="E162" s="30" t="e">
        <f t="shared" si="30"/>
        <v>#NAME?</v>
      </c>
      <c r="F162" s="30" t="e">
        <f t="shared" si="31"/>
        <v>#NAME?</v>
      </c>
      <c r="G162" s="30" t="e">
        <f t="shared" si="32"/>
        <v>#NAME?</v>
      </c>
      <c r="H162" s="30" t="e">
        <f t="shared" si="27"/>
        <v>#NAME?</v>
      </c>
      <c r="I162" s="33" t="e">
        <f t="shared" si="36"/>
        <v>#NAME?</v>
      </c>
      <c r="J162" s="33" t="e">
        <f t="shared" si="28"/>
        <v>#NAME?</v>
      </c>
      <c r="K162" s="30" t="e">
        <f t="shared" si="29"/>
        <v>#NAME?</v>
      </c>
      <c r="L162" s="32" t="e">
        <f t="shared" si="33"/>
        <v>#NAME?</v>
      </c>
    </row>
    <row r="163" spans="1:12">
      <c r="A163" s="6">
        <v>2149</v>
      </c>
      <c r="B163" s="30">
        <f t="shared" si="34"/>
        <v>4.4043791049802552</v>
      </c>
      <c r="C163" s="30" t="e">
        <f t="shared" si="26"/>
        <v>#NAME?</v>
      </c>
      <c r="D163" s="30" t="e">
        <f t="shared" si="35"/>
        <v>#NAME?</v>
      </c>
      <c r="E163" s="30" t="e">
        <f t="shared" si="30"/>
        <v>#NAME?</v>
      </c>
      <c r="F163" s="30" t="e">
        <f t="shared" si="31"/>
        <v>#NAME?</v>
      </c>
      <c r="G163" s="30" t="e">
        <f t="shared" si="32"/>
        <v>#NAME?</v>
      </c>
      <c r="H163" s="30" t="e">
        <f t="shared" si="27"/>
        <v>#NAME?</v>
      </c>
      <c r="I163" s="33" t="e">
        <f t="shared" si="36"/>
        <v>#NAME?</v>
      </c>
      <c r="J163" s="33" t="e">
        <f t="shared" si="28"/>
        <v>#NAME?</v>
      </c>
      <c r="K163" s="30" t="e">
        <f t="shared" si="29"/>
        <v>#NAME?</v>
      </c>
      <c r="L163" s="32" t="e">
        <f t="shared" si="33"/>
        <v>#NAME?</v>
      </c>
    </row>
    <row r="164" spans="1:12">
      <c r="A164" s="6">
        <v>2150</v>
      </c>
      <c r="B164" s="30">
        <f t="shared" si="34"/>
        <v>4.448422896030058</v>
      </c>
      <c r="C164" s="30" t="e">
        <f t="shared" si="26"/>
        <v>#NAME?</v>
      </c>
      <c r="D164" s="30" t="e">
        <f t="shared" si="35"/>
        <v>#NAME?</v>
      </c>
      <c r="E164" s="30" t="e">
        <f t="shared" si="30"/>
        <v>#NAME?</v>
      </c>
      <c r="F164" s="30" t="e">
        <f t="shared" si="31"/>
        <v>#NAME?</v>
      </c>
      <c r="G164" s="30" t="e">
        <f t="shared" si="32"/>
        <v>#NAME?</v>
      </c>
      <c r="H164" s="30" t="e">
        <f t="shared" si="27"/>
        <v>#NAME?</v>
      </c>
      <c r="I164" s="33" t="e">
        <f t="shared" si="36"/>
        <v>#NAME?</v>
      </c>
      <c r="J164" s="33" t="e">
        <f t="shared" si="28"/>
        <v>#NAME?</v>
      </c>
      <c r="K164" s="30" t="e">
        <f t="shared" si="29"/>
        <v>#NAME?</v>
      </c>
      <c r="L164" s="32" t="e">
        <f t="shared" si="33"/>
        <v>#NAME?</v>
      </c>
    </row>
    <row r="165" spans="1:12">
      <c r="A165" s="6">
        <v>2151</v>
      </c>
      <c r="B165" s="30">
        <f t="shared" si="34"/>
        <v>4.4929071249903583</v>
      </c>
      <c r="C165" s="30" t="e">
        <f t="shared" si="26"/>
        <v>#NAME?</v>
      </c>
      <c r="D165" s="30" t="e">
        <f t="shared" si="35"/>
        <v>#NAME?</v>
      </c>
      <c r="E165" s="30" t="e">
        <f t="shared" si="30"/>
        <v>#NAME?</v>
      </c>
      <c r="F165" s="30" t="e">
        <f t="shared" si="31"/>
        <v>#NAME?</v>
      </c>
      <c r="G165" s="30" t="e">
        <f t="shared" si="32"/>
        <v>#NAME?</v>
      </c>
      <c r="H165" s="30" t="e">
        <f t="shared" si="27"/>
        <v>#NAME?</v>
      </c>
      <c r="I165" s="33" t="e">
        <f t="shared" si="36"/>
        <v>#NAME?</v>
      </c>
      <c r="J165" s="33" t="e">
        <f t="shared" si="28"/>
        <v>#NAME?</v>
      </c>
      <c r="K165" s="30" t="e">
        <f t="shared" si="29"/>
        <v>#NAME?</v>
      </c>
      <c r="L165" s="32" t="e">
        <f t="shared" si="33"/>
        <v>#NAME?</v>
      </c>
    </row>
    <row r="166" spans="1:12">
      <c r="A166" s="6">
        <v>2152</v>
      </c>
      <c r="B166" s="30">
        <f t="shared" si="34"/>
        <v>4.5378361962402618</v>
      </c>
      <c r="C166" s="30" t="e">
        <f t="shared" si="26"/>
        <v>#NAME?</v>
      </c>
      <c r="D166" s="30" t="e">
        <f t="shared" si="35"/>
        <v>#NAME?</v>
      </c>
      <c r="E166" s="30" t="e">
        <f t="shared" si="30"/>
        <v>#NAME?</v>
      </c>
      <c r="F166" s="30" t="e">
        <f t="shared" si="31"/>
        <v>#NAME?</v>
      </c>
      <c r="G166" s="30" t="e">
        <f t="shared" si="32"/>
        <v>#NAME?</v>
      </c>
      <c r="H166" s="30" t="e">
        <f t="shared" si="27"/>
        <v>#NAME?</v>
      </c>
      <c r="I166" s="33" t="e">
        <f t="shared" si="36"/>
        <v>#NAME?</v>
      </c>
      <c r="J166" s="33" t="e">
        <f t="shared" si="28"/>
        <v>#NAME?</v>
      </c>
      <c r="K166" s="30" t="e">
        <f t="shared" si="29"/>
        <v>#NAME?</v>
      </c>
      <c r="L166" s="32" t="e">
        <f t="shared" si="33"/>
        <v>#NAME?</v>
      </c>
    </row>
    <row r="167" spans="1:12">
      <c r="A167" s="6">
        <v>2153</v>
      </c>
      <c r="B167" s="30">
        <f t="shared" si="34"/>
        <v>4.5832145582026644</v>
      </c>
      <c r="C167" s="30" t="e">
        <f t="shared" si="26"/>
        <v>#NAME?</v>
      </c>
      <c r="D167" s="30" t="e">
        <f t="shared" si="35"/>
        <v>#NAME?</v>
      </c>
      <c r="E167" s="30" t="e">
        <f t="shared" si="30"/>
        <v>#NAME?</v>
      </c>
      <c r="F167" s="30" t="e">
        <f t="shared" si="31"/>
        <v>#NAME?</v>
      </c>
      <c r="G167" s="30" t="e">
        <f t="shared" si="32"/>
        <v>#NAME?</v>
      </c>
      <c r="H167" s="30" t="e">
        <f t="shared" si="27"/>
        <v>#NAME?</v>
      </c>
      <c r="I167" s="33" t="e">
        <f t="shared" si="36"/>
        <v>#NAME?</v>
      </c>
      <c r="J167" s="33" t="e">
        <f t="shared" si="28"/>
        <v>#NAME?</v>
      </c>
      <c r="K167" s="30" t="e">
        <f t="shared" si="29"/>
        <v>#NAME?</v>
      </c>
      <c r="L167" s="32" t="e">
        <f t="shared" si="33"/>
        <v>#NAME?</v>
      </c>
    </row>
    <row r="168" spans="1:12">
      <c r="A168" s="6">
        <v>2154</v>
      </c>
      <c r="B168" s="30">
        <f t="shared" si="34"/>
        <v>4.6290467037846907</v>
      </c>
      <c r="C168" s="30" t="e">
        <f t="shared" si="26"/>
        <v>#NAME?</v>
      </c>
      <c r="D168" s="30" t="e">
        <f t="shared" si="35"/>
        <v>#NAME?</v>
      </c>
      <c r="E168" s="30" t="e">
        <f t="shared" si="30"/>
        <v>#NAME?</v>
      </c>
      <c r="F168" s="30" t="e">
        <f t="shared" si="31"/>
        <v>#NAME?</v>
      </c>
      <c r="G168" s="30" t="e">
        <f t="shared" si="32"/>
        <v>#NAME?</v>
      </c>
      <c r="H168" s="30" t="e">
        <f t="shared" si="27"/>
        <v>#NAME?</v>
      </c>
      <c r="I168" s="33" t="e">
        <f t="shared" si="36"/>
        <v>#NAME?</v>
      </c>
      <c r="J168" s="33" t="e">
        <f t="shared" si="28"/>
        <v>#NAME?</v>
      </c>
      <c r="K168" s="30" t="e">
        <f t="shared" si="29"/>
        <v>#NAME?</v>
      </c>
      <c r="L168" s="32" t="e">
        <f t="shared" si="33"/>
        <v>#NAME?</v>
      </c>
    </row>
    <row r="169" spans="1:12">
      <c r="A169" s="6">
        <v>2155</v>
      </c>
      <c r="B169" s="30">
        <f t="shared" si="34"/>
        <v>4.6753371708225373</v>
      </c>
      <c r="C169" s="30" t="e">
        <f t="shared" si="26"/>
        <v>#NAME?</v>
      </c>
      <c r="D169" s="30" t="e">
        <f t="shared" si="35"/>
        <v>#NAME?</v>
      </c>
      <c r="E169" s="30" t="e">
        <f t="shared" si="30"/>
        <v>#NAME?</v>
      </c>
      <c r="F169" s="30" t="e">
        <f t="shared" si="31"/>
        <v>#NAME?</v>
      </c>
      <c r="G169" s="30" t="e">
        <f t="shared" si="32"/>
        <v>#NAME?</v>
      </c>
      <c r="H169" s="30" t="e">
        <f t="shared" si="27"/>
        <v>#NAME?</v>
      </c>
      <c r="I169" s="33" t="e">
        <f t="shared" si="36"/>
        <v>#NAME?</v>
      </c>
      <c r="J169" s="33" t="e">
        <f t="shared" si="28"/>
        <v>#NAME?</v>
      </c>
      <c r="K169" s="30" t="e">
        <f t="shared" si="29"/>
        <v>#NAME?</v>
      </c>
      <c r="L169" s="32" t="e">
        <f t="shared" si="33"/>
        <v>#NAME?</v>
      </c>
    </row>
    <row r="170" spans="1:12">
      <c r="A170" s="6">
        <v>2156</v>
      </c>
      <c r="B170" s="30">
        <f t="shared" si="34"/>
        <v>4.7220905425307631</v>
      </c>
      <c r="C170" s="30" t="e">
        <f t="shared" si="26"/>
        <v>#NAME?</v>
      </c>
      <c r="D170" s="30" t="e">
        <f t="shared" si="35"/>
        <v>#NAME?</v>
      </c>
      <c r="E170" s="30" t="e">
        <f t="shared" si="30"/>
        <v>#NAME?</v>
      </c>
      <c r="F170" s="30" t="e">
        <f t="shared" si="31"/>
        <v>#NAME?</v>
      </c>
      <c r="G170" s="30" t="e">
        <f t="shared" si="32"/>
        <v>#NAME?</v>
      </c>
      <c r="H170" s="30" t="e">
        <f t="shared" si="27"/>
        <v>#NAME?</v>
      </c>
      <c r="I170" s="33" t="e">
        <f t="shared" si="36"/>
        <v>#NAME?</v>
      </c>
      <c r="J170" s="33" t="e">
        <f t="shared" si="28"/>
        <v>#NAME?</v>
      </c>
      <c r="K170" s="30" t="e">
        <f t="shared" si="29"/>
        <v>#NAME?</v>
      </c>
      <c r="L170" s="32" t="e">
        <f t="shared" si="33"/>
        <v>#NAME?</v>
      </c>
    </row>
    <row r="171" spans="1:12">
      <c r="A171" s="6">
        <v>2157</v>
      </c>
      <c r="B171" s="30">
        <f t="shared" si="34"/>
        <v>4.7693114479560705</v>
      </c>
      <c r="C171" s="30" t="e">
        <f t="shared" si="26"/>
        <v>#NAME?</v>
      </c>
      <c r="D171" s="30" t="e">
        <f t="shared" si="35"/>
        <v>#NAME?</v>
      </c>
      <c r="E171" s="30" t="e">
        <f t="shared" si="30"/>
        <v>#NAME?</v>
      </c>
      <c r="F171" s="30" t="e">
        <f t="shared" si="31"/>
        <v>#NAME?</v>
      </c>
      <c r="G171" s="30" t="e">
        <f t="shared" si="32"/>
        <v>#NAME?</v>
      </c>
      <c r="H171" s="30" t="e">
        <f t="shared" si="27"/>
        <v>#NAME?</v>
      </c>
      <c r="I171" s="33" t="e">
        <f t="shared" si="36"/>
        <v>#NAME?</v>
      </c>
      <c r="J171" s="33" t="e">
        <f t="shared" si="28"/>
        <v>#NAME?</v>
      </c>
      <c r="K171" s="30" t="e">
        <f t="shared" si="29"/>
        <v>#NAME?</v>
      </c>
      <c r="L171" s="32" t="e">
        <f t="shared" si="33"/>
        <v>#NAME?</v>
      </c>
    </row>
    <row r="172" spans="1:12">
      <c r="A172" s="6">
        <v>2158</v>
      </c>
      <c r="B172" s="30">
        <f t="shared" si="34"/>
        <v>4.8170045624356312</v>
      </c>
      <c r="C172" s="30" t="e">
        <f t="shared" si="26"/>
        <v>#NAME?</v>
      </c>
      <c r="D172" s="30" t="e">
        <f t="shared" si="35"/>
        <v>#NAME?</v>
      </c>
      <c r="E172" s="30" t="e">
        <f t="shared" si="30"/>
        <v>#NAME?</v>
      </c>
      <c r="F172" s="30" t="e">
        <f t="shared" si="31"/>
        <v>#NAME?</v>
      </c>
      <c r="G172" s="30" t="e">
        <f t="shared" si="32"/>
        <v>#NAME?</v>
      </c>
      <c r="H172" s="30" t="e">
        <f t="shared" si="27"/>
        <v>#NAME?</v>
      </c>
      <c r="I172" s="33" t="e">
        <f t="shared" si="36"/>
        <v>#NAME?</v>
      </c>
      <c r="J172" s="33" t="e">
        <f t="shared" si="28"/>
        <v>#NAME?</v>
      </c>
      <c r="K172" s="30" t="e">
        <f t="shared" si="29"/>
        <v>#NAME?</v>
      </c>
      <c r="L172" s="32" t="e">
        <f t="shared" si="33"/>
        <v>#NAME?</v>
      </c>
    </row>
    <row r="173" spans="1:12">
      <c r="A173" s="6">
        <v>2159</v>
      </c>
      <c r="B173" s="30">
        <f t="shared" si="34"/>
        <v>4.8651746080599878</v>
      </c>
      <c r="C173" s="30" t="e">
        <f t="shared" si="26"/>
        <v>#NAME?</v>
      </c>
      <c r="D173" s="30" t="e">
        <f t="shared" si="35"/>
        <v>#NAME?</v>
      </c>
      <c r="E173" s="30" t="e">
        <f t="shared" si="30"/>
        <v>#NAME?</v>
      </c>
      <c r="F173" s="30" t="e">
        <f t="shared" si="31"/>
        <v>#NAME?</v>
      </c>
      <c r="G173" s="30" t="e">
        <f t="shared" si="32"/>
        <v>#NAME?</v>
      </c>
      <c r="H173" s="30" t="e">
        <f t="shared" si="27"/>
        <v>#NAME?</v>
      </c>
      <c r="I173" s="33" t="e">
        <f t="shared" si="36"/>
        <v>#NAME?</v>
      </c>
      <c r="J173" s="33" t="e">
        <f t="shared" si="28"/>
        <v>#NAME?</v>
      </c>
      <c r="K173" s="30" t="e">
        <f t="shared" si="29"/>
        <v>#NAME?</v>
      </c>
      <c r="L173" s="32" t="e">
        <f t="shared" si="33"/>
        <v>#NAME?</v>
      </c>
    </row>
    <row r="174" spans="1:12">
      <c r="A174" s="6">
        <v>2160</v>
      </c>
      <c r="B174" s="30">
        <f t="shared" si="34"/>
        <v>4.9138263541405873</v>
      </c>
      <c r="C174" s="30" t="e">
        <f t="shared" si="26"/>
        <v>#NAME?</v>
      </c>
      <c r="D174" s="30" t="e">
        <f t="shared" si="35"/>
        <v>#NAME?</v>
      </c>
      <c r="E174" s="30" t="e">
        <f t="shared" si="30"/>
        <v>#NAME?</v>
      </c>
      <c r="F174" s="30" t="e">
        <f t="shared" si="31"/>
        <v>#NAME?</v>
      </c>
      <c r="G174" s="30" t="e">
        <f t="shared" si="32"/>
        <v>#NAME?</v>
      </c>
      <c r="H174" s="30" t="e">
        <f t="shared" si="27"/>
        <v>#NAME?</v>
      </c>
      <c r="I174" s="33" t="e">
        <f t="shared" si="36"/>
        <v>#NAME?</v>
      </c>
      <c r="J174" s="33" t="e">
        <f t="shared" si="28"/>
        <v>#NAME?</v>
      </c>
      <c r="K174" s="30" t="e">
        <f t="shared" si="29"/>
        <v>#NAME?</v>
      </c>
      <c r="L174" s="32" t="e">
        <f t="shared" si="33"/>
        <v>#NAME?</v>
      </c>
    </row>
    <row r="175" spans="1:12">
      <c r="A175" s="6">
        <v>2161</v>
      </c>
      <c r="B175" s="30">
        <f t="shared" ref="B175:B206" si="37">(1+n)*B174</f>
        <v>4.962964617681993</v>
      </c>
      <c r="C175" s="30" t="e">
        <f t="shared" si="26"/>
        <v>#NAME?</v>
      </c>
      <c r="D175" s="30" t="e">
        <f t="shared" ref="D175:D206" si="38">A*(alpha1*C175^rho+alpha2*((1+g)^(A175-$A$14)*B175)^rho)^(1/rho)</f>
        <v>#NAME?</v>
      </c>
      <c r="E175" s="30" t="e">
        <f t="shared" si="30"/>
        <v>#NAME?</v>
      </c>
      <c r="F175" s="30" t="e">
        <f t="shared" si="31"/>
        <v>#NAME?</v>
      </c>
      <c r="G175" s="30" t="e">
        <f t="shared" si="32"/>
        <v>#NAME?</v>
      </c>
      <c r="H175" s="30" t="e">
        <f t="shared" si="27"/>
        <v>#NAME?</v>
      </c>
      <c r="I175" s="33" t="e">
        <f t="shared" si="36"/>
        <v>#NAME?</v>
      </c>
      <c r="J175" s="33" t="e">
        <f t="shared" si="28"/>
        <v>#NAME?</v>
      </c>
      <c r="K175" s="30" t="e">
        <f t="shared" si="29"/>
        <v>#NAME?</v>
      </c>
      <c r="L175" s="32" t="e">
        <f t="shared" si="33"/>
        <v>#NAME?</v>
      </c>
    </row>
    <row r="176" spans="1:12">
      <c r="A176" s="6">
        <v>2162</v>
      </c>
      <c r="B176" s="30">
        <f t="shared" si="37"/>
        <v>5.012594263858813</v>
      </c>
      <c r="C176" s="30" t="e">
        <f t="shared" si="26"/>
        <v>#NAME?</v>
      </c>
      <c r="D176" s="30" t="e">
        <f t="shared" si="38"/>
        <v>#NAME?</v>
      </c>
      <c r="E176" s="30" t="e">
        <f t="shared" si="30"/>
        <v>#NAME?</v>
      </c>
      <c r="F176" s="30" t="e">
        <f t="shared" si="31"/>
        <v>#NAME?</v>
      </c>
      <c r="G176" s="30" t="e">
        <f t="shared" si="32"/>
        <v>#NAME?</v>
      </c>
      <c r="H176" s="30" t="e">
        <f t="shared" si="27"/>
        <v>#NAME?</v>
      </c>
      <c r="I176" s="33" t="e">
        <f t="shared" si="36"/>
        <v>#NAME?</v>
      </c>
      <c r="J176" s="33" t="e">
        <f t="shared" si="28"/>
        <v>#NAME?</v>
      </c>
      <c r="K176" s="30" t="e">
        <f t="shared" si="29"/>
        <v>#NAME?</v>
      </c>
      <c r="L176" s="32" t="e">
        <f t="shared" si="33"/>
        <v>#NAME?</v>
      </c>
    </row>
    <row r="177" spans="1:12">
      <c r="A177" s="6">
        <v>2163</v>
      </c>
      <c r="B177" s="30">
        <f t="shared" si="37"/>
        <v>5.0627202064974011</v>
      </c>
      <c r="C177" s="30" t="e">
        <f t="shared" si="26"/>
        <v>#NAME?</v>
      </c>
      <c r="D177" s="30" t="e">
        <f t="shared" si="38"/>
        <v>#NAME?</v>
      </c>
      <c r="E177" s="30" t="e">
        <f t="shared" si="30"/>
        <v>#NAME?</v>
      </c>
      <c r="F177" s="30" t="e">
        <f t="shared" si="31"/>
        <v>#NAME?</v>
      </c>
      <c r="G177" s="30" t="e">
        <f t="shared" si="32"/>
        <v>#NAME?</v>
      </c>
      <c r="H177" s="30" t="e">
        <f t="shared" si="27"/>
        <v>#NAME?</v>
      </c>
      <c r="I177" s="33" t="e">
        <f t="shared" si="36"/>
        <v>#NAME?</v>
      </c>
      <c r="J177" s="33" t="e">
        <f t="shared" si="28"/>
        <v>#NAME?</v>
      </c>
      <c r="K177" s="30" t="e">
        <f t="shared" si="29"/>
        <v>#NAME?</v>
      </c>
      <c r="L177" s="32" t="e">
        <f t="shared" si="33"/>
        <v>#NAME?</v>
      </c>
    </row>
    <row r="178" spans="1:12">
      <c r="A178" s="6">
        <v>2164</v>
      </c>
      <c r="B178" s="30">
        <f t="shared" si="37"/>
        <v>5.1133474085623751</v>
      </c>
      <c r="C178" s="30" t="e">
        <f t="shared" si="26"/>
        <v>#NAME?</v>
      </c>
      <c r="D178" s="30" t="e">
        <f t="shared" si="38"/>
        <v>#NAME?</v>
      </c>
      <c r="E178" s="30" t="e">
        <f t="shared" si="30"/>
        <v>#NAME?</v>
      </c>
      <c r="F178" s="30" t="e">
        <f t="shared" si="31"/>
        <v>#NAME?</v>
      </c>
      <c r="G178" s="30" t="e">
        <f t="shared" si="32"/>
        <v>#NAME?</v>
      </c>
      <c r="H178" s="30" t="e">
        <f t="shared" si="27"/>
        <v>#NAME?</v>
      </c>
      <c r="I178" s="33" t="e">
        <f t="shared" si="36"/>
        <v>#NAME?</v>
      </c>
      <c r="J178" s="33" t="e">
        <f t="shared" si="28"/>
        <v>#NAME?</v>
      </c>
      <c r="K178" s="30" t="e">
        <f t="shared" si="29"/>
        <v>#NAME?</v>
      </c>
      <c r="L178" s="32" t="e">
        <f t="shared" si="33"/>
        <v>#NAME?</v>
      </c>
    </row>
    <row r="179" spans="1:12">
      <c r="A179" s="6">
        <v>2165</v>
      </c>
      <c r="B179" s="30">
        <f t="shared" si="37"/>
        <v>5.1644808826479993</v>
      </c>
      <c r="C179" s="30" t="e">
        <f t="shared" si="26"/>
        <v>#NAME?</v>
      </c>
      <c r="D179" s="30" t="e">
        <f t="shared" si="38"/>
        <v>#NAME?</v>
      </c>
      <c r="E179" s="30" t="e">
        <f t="shared" si="30"/>
        <v>#NAME?</v>
      </c>
      <c r="F179" s="30" t="e">
        <f t="shared" si="31"/>
        <v>#NAME?</v>
      </c>
      <c r="G179" s="30" t="e">
        <f t="shared" si="32"/>
        <v>#NAME?</v>
      </c>
      <c r="H179" s="30" t="e">
        <f t="shared" si="27"/>
        <v>#NAME?</v>
      </c>
      <c r="I179" s="33" t="e">
        <f t="shared" si="36"/>
        <v>#NAME?</v>
      </c>
      <c r="J179" s="33" t="e">
        <f t="shared" si="28"/>
        <v>#NAME?</v>
      </c>
      <c r="K179" s="30" t="e">
        <f t="shared" si="29"/>
        <v>#NAME?</v>
      </c>
      <c r="L179" s="32" t="e">
        <f t="shared" si="33"/>
        <v>#NAME?</v>
      </c>
    </row>
    <row r="180" spans="1:12">
      <c r="A180" s="6">
        <v>2166</v>
      </c>
      <c r="B180" s="30">
        <f t="shared" si="37"/>
        <v>5.2161256914744794</v>
      </c>
      <c r="C180" s="30" t="e">
        <f t="shared" si="26"/>
        <v>#NAME?</v>
      </c>
      <c r="D180" s="30" t="e">
        <f t="shared" si="38"/>
        <v>#NAME?</v>
      </c>
      <c r="E180" s="30" t="e">
        <f t="shared" si="30"/>
        <v>#NAME?</v>
      </c>
      <c r="F180" s="30" t="e">
        <f t="shared" si="31"/>
        <v>#NAME?</v>
      </c>
      <c r="G180" s="30" t="e">
        <f t="shared" si="32"/>
        <v>#NAME?</v>
      </c>
      <c r="H180" s="30" t="e">
        <f t="shared" si="27"/>
        <v>#NAME?</v>
      </c>
      <c r="I180" s="33" t="e">
        <f t="shared" si="36"/>
        <v>#NAME?</v>
      </c>
      <c r="J180" s="33" t="e">
        <f t="shared" si="28"/>
        <v>#NAME?</v>
      </c>
      <c r="K180" s="30" t="e">
        <f t="shared" si="29"/>
        <v>#NAME?</v>
      </c>
      <c r="L180" s="32" t="e">
        <f t="shared" si="33"/>
        <v>#NAME?</v>
      </c>
    </row>
    <row r="181" spans="1:12">
      <c r="A181" s="6">
        <v>2167</v>
      </c>
      <c r="B181" s="30">
        <f t="shared" si="37"/>
        <v>5.2682869483892238</v>
      </c>
      <c r="C181" s="30" t="e">
        <f t="shared" si="26"/>
        <v>#NAME?</v>
      </c>
      <c r="D181" s="30" t="e">
        <f t="shared" si="38"/>
        <v>#NAME?</v>
      </c>
      <c r="E181" s="30" t="e">
        <f t="shared" si="30"/>
        <v>#NAME?</v>
      </c>
      <c r="F181" s="30" t="e">
        <f t="shared" si="31"/>
        <v>#NAME?</v>
      </c>
      <c r="G181" s="30" t="e">
        <f t="shared" si="32"/>
        <v>#NAME?</v>
      </c>
      <c r="H181" s="30" t="e">
        <f t="shared" si="27"/>
        <v>#NAME?</v>
      </c>
      <c r="I181" s="33" t="e">
        <f t="shared" si="36"/>
        <v>#NAME?</v>
      </c>
      <c r="J181" s="33" t="e">
        <f t="shared" si="28"/>
        <v>#NAME?</v>
      </c>
      <c r="K181" s="30" t="e">
        <f t="shared" si="29"/>
        <v>#NAME?</v>
      </c>
      <c r="L181" s="32" t="e">
        <f t="shared" si="33"/>
        <v>#NAME?</v>
      </c>
    </row>
    <row r="182" spans="1:12">
      <c r="A182" s="6">
        <v>2168</v>
      </c>
      <c r="B182" s="30">
        <f t="shared" si="37"/>
        <v>5.3209698178731157</v>
      </c>
      <c r="C182" s="30" t="e">
        <f t="shared" ref="C182:C214" si="39">C181+H181</f>
        <v>#NAME?</v>
      </c>
      <c r="D182" s="30" t="e">
        <f t="shared" si="38"/>
        <v>#NAME?</v>
      </c>
      <c r="E182" s="30" t="e">
        <f t="shared" si="30"/>
        <v>#NAME?</v>
      </c>
      <c r="F182" s="30" t="e">
        <f t="shared" si="31"/>
        <v>#NAME?</v>
      </c>
      <c r="G182" s="30" t="e">
        <f t="shared" si="32"/>
        <v>#NAME?</v>
      </c>
      <c r="H182" s="30" t="e">
        <f t="shared" ref="H182:H214" si="40">F182-G182</f>
        <v>#NAME?</v>
      </c>
      <c r="I182" s="33" t="e">
        <f t="shared" si="36"/>
        <v>#NAME?</v>
      </c>
      <c r="J182" s="33" t="e">
        <f t="shared" ref="J182:J214" si="41">(D182-D181)/D181</f>
        <v>#NAME?</v>
      </c>
      <c r="K182" s="30" t="e">
        <f t="shared" ref="K182:K214" si="42">C182/D182</f>
        <v>#NAME?</v>
      </c>
      <c r="L182" s="32" t="e">
        <f t="shared" si="33"/>
        <v>#NAME?</v>
      </c>
    </row>
    <row r="183" spans="1:12">
      <c r="A183" s="6">
        <v>2169</v>
      </c>
      <c r="B183" s="30">
        <f t="shared" si="37"/>
        <v>5.3741795160518473</v>
      </c>
      <c r="C183" s="30" t="e">
        <f t="shared" si="39"/>
        <v>#NAME?</v>
      </c>
      <c r="D183" s="30" t="e">
        <f t="shared" si="38"/>
        <v>#NAME?</v>
      </c>
      <c r="E183" s="30" t="e">
        <f t="shared" si="30"/>
        <v>#NAME?</v>
      </c>
      <c r="F183" s="30" t="e">
        <f t="shared" si="31"/>
        <v>#NAME?</v>
      </c>
      <c r="G183" s="30" t="e">
        <f t="shared" si="32"/>
        <v>#NAME?</v>
      </c>
      <c r="H183" s="30" t="e">
        <f t="shared" si="40"/>
        <v>#NAME?</v>
      </c>
      <c r="I183" s="33" t="e">
        <f t="shared" si="36"/>
        <v>#NAME?</v>
      </c>
      <c r="J183" s="33" t="e">
        <f t="shared" si="41"/>
        <v>#NAME?</v>
      </c>
      <c r="K183" s="30" t="e">
        <f t="shared" si="42"/>
        <v>#NAME?</v>
      </c>
      <c r="L183" s="32" t="e">
        <f t="shared" si="33"/>
        <v>#NAME?</v>
      </c>
    </row>
    <row r="184" spans="1:12">
      <c r="A184" s="6">
        <v>2170</v>
      </c>
      <c r="B184" s="30">
        <f t="shared" si="37"/>
        <v>5.4279213112123657</v>
      </c>
      <c r="C184" s="30" t="e">
        <f t="shared" si="39"/>
        <v>#NAME?</v>
      </c>
      <c r="D184" s="30" t="e">
        <f t="shared" si="38"/>
        <v>#NAME?</v>
      </c>
      <c r="E184" s="30" t="e">
        <f t="shared" si="30"/>
        <v>#NAME?</v>
      </c>
      <c r="F184" s="30" t="e">
        <f t="shared" si="31"/>
        <v>#NAME?</v>
      </c>
      <c r="G184" s="30" t="e">
        <f t="shared" si="32"/>
        <v>#NAME?</v>
      </c>
      <c r="H184" s="30" t="e">
        <f t="shared" si="40"/>
        <v>#NAME?</v>
      </c>
      <c r="I184" s="33" t="e">
        <f t="shared" si="36"/>
        <v>#NAME?</v>
      </c>
      <c r="J184" s="33" t="e">
        <f t="shared" si="41"/>
        <v>#NAME?</v>
      </c>
      <c r="K184" s="30" t="e">
        <f t="shared" si="42"/>
        <v>#NAME?</v>
      </c>
      <c r="L184" s="32" t="e">
        <f t="shared" si="33"/>
        <v>#NAME?</v>
      </c>
    </row>
    <row r="185" spans="1:12">
      <c r="A185" s="6">
        <v>2171</v>
      </c>
      <c r="B185" s="30">
        <f t="shared" si="37"/>
        <v>5.4822005243244893</v>
      </c>
      <c r="C185" s="30" t="e">
        <f t="shared" si="39"/>
        <v>#NAME?</v>
      </c>
      <c r="D185" s="30" t="e">
        <f t="shared" si="38"/>
        <v>#NAME?</v>
      </c>
      <c r="E185" s="30" t="e">
        <f t="shared" si="30"/>
        <v>#NAME?</v>
      </c>
      <c r="F185" s="30" t="e">
        <f t="shared" si="31"/>
        <v>#NAME?</v>
      </c>
      <c r="G185" s="30" t="e">
        <f t="shared" si="32"/>
        <v>#NAME?</v>
      </c>
      <c r="H185" s="30" t="e">
        <f t="shared" si="40"/>
        <v>#NAME?</v>
      </c>
      <c r="I185" s="33" t="e">
        <f t="shared" si="36"/>
        <v>#NAME?</v>
      </c>
      <c r="J185" s="33" t="e">
        <f t="shared" si="41"/>
        <v>#NAME?</v>
      </c>
      <c r="K185" s="30" t="e">
        <f t="shared" si="42"/>
        <v>#NAME?</v>
      </c>
      <c r="L185" s="32" t="e">
        <f t="shared" si="33"/>
        <v>#NAME?</v>
      </c>
    </row>
    <row r="186" spans="1:12">
      <c r="A186" s="6">
        <v>2172</v>
      </c>
      <c r="B186" s="30">
        <f t="shared" si="37"/>
        <v>5.537022529567734</v>
      </c>
      <c r="C186" s="30" t="e">
        <f t="shared" si="39"/>
        <v>#NAME?</v>
      </c>
      <c r="D186" s="30" t="e">
        <f t="shared" si="38"/>
        <v>#NAME?</v>
      </c>
      <c r="E186" s="30" t="e">
        <f t="shared" si="30"/>
        <v>#NAME?</v>
      </c>
      <c r="F186" s="30" t="e">
        <f t="shared" si="31"/>
        <v>#NAME?</v>
      </c>
      <c r="G186" s="30" t="e">
        <f t="shared" si="32"/>
        <v>#NAME?</v>
      </c>
      <c r="H186" s="30" t="e">
        <f t="shared" si="40"/>
        <v>#NAME?</v>
      </c>
      <c r="I186" s="33" t="e">
        <f t="shared" si="36"/>
        <v>#NAME?</v>
      </c>
      <c r="J186" s="33" t="e">
        <f t="shared" si="41"/>
        <v>#NAME?</v>
      </c>
      <c r="K186" s="30" t="e">
        <f t="shared" si="42"/>
        <v>#NAME?</v>
      </c>
      <c r="L186" s="32" t="e">
        <f t="shared" si="33"/>
        <v>#NAME?</v>
      </c>
    </row>
    <row r="187" spans="1:12">
      <c r="A187" s="6">
        <v>2173</v>
      </c>
      <c r="B187" s="30">
        <f t="shared" si="37"/>
        <v>5.5923927548634111</v>
      </c>
      <c r="C187" s="30" t="e">
        <f t="shared" si="39"/>
        <v>#NAME?</v>
      </c>
      <c r="D187" s="30" t="e">
        <f t="shared" si="38"/>
        <v>#NAME?</v>
      </c>
      <c r="E187" s="30" t="e">
        <f t="shared" si="30"/>
        <v>#NAME?</v>
      </c>
      <c r="F187" s="30" t="e">
        <f t="shared" si="31"/>
        <v>#NAME?</v>
      </c>
      <c r="G187" s="30" t="e">
        <f t="shared" si="32"/>
        <v>#NAME?</v>
      </c>
      <c r="H187" s="30" t="e">
        <f t="shared" si="40"/>
        <v>#NAME?</v>
      </c>
      <c r="I187" s="33" t="e">
        <f t="shared" si="36"/>
        <v>#NAME?</v>
      </c>
      <c r="J187" s="33" t="e">
        <f t="shared" si="41"/>
        <v>#NAME?</v>
      </c>
      <c r="K187" s="30" t="e">
        <f t="shared" si="42"/>
        <v>#NAME?</v>
      </c>
      <c r="L187" s="32" t="e">
        <f t="shared" si="33"/>
        <v>#NAME?</v>
      </c>
    </row>
    <row r="188" spans="1:12">
      <c r="A188" s="6">
        <v>2174</v>
      </c>
      <c r="B188" s="30">
        <f t="shared" si="37"/>
        <v>5.6483166824120454</v>
      </c>
      <c r="C188" s="30" t="e">
        <f t="shared" si="39"/>
        <v>#NAME?</v>
      </c>
      <c r="D188" s="30" t="e">
        <f t="shared" si="38"/>
        <v>#NAME?</v>
      </c>
      <c r="E188" s="30" t="e">
        <f t="shared" si="30"/>
        <v>#NAME?</v>
      </c>
      <c r="F188" s="30" t="e">
        <f t="shared" si="31"/>
        <v>#NAME?</v>
      </c>
      <c r="G188" s="30" t="e">
        <f t="shared" si="32"/>
        <v>#NAME?</v>
      </c>
      <c r="H188" s="30" t="e">
        <f t="shared" si="40"/>
        <v>#NAME?</v>
      </c>
      <c r="I188" s="33" t="e">
        <f t="shared" si="36"/>
        <v>#NAME?</v>
      </c>
      <c r="J188" s="33" t="e">
        <f t="shared" si="41"/>
        <v>#NAME?</v>
      </c>
      <c r="K188" s="30" t="e">
        <f t="shared" si="42"/>
        <v>#NAME?</v>
      </c>
      <c r="L188" s="32" t="e">
        <f t="shared" si="33"/>
        <v>#NAME?</v>
      </c>
    </row>
    <row r="189" spans="1:12">
      <c r="A189" s="6">
        <v>2175</v>
      </c>
      <c r="B189" s="30">
        <f t="shared" si="37"/>
        <v>5.7047998492361662</v>
      </c>
      <c r="C189" s="30" t="e">
        <f t="shared" si="39"/>
        <v>#NAME?</v>
      </c>
      <c r="D189" s="30" t="e">
        <f t="shared" si="38"/>
        <v>#NAME?</v>
      </c>
      <c r="E189" s="30" t="e">
        <f t="shared" si="30"/>
        <v>#NAME?</v>
      </c>
      <c r="F189" s="30" t="e">
        <f t="shared" si="31"/>
        <v>#NAME?</v>
      </c>
      <c r="G189" s="30" t="e">
        <f t="shared" si="32"/>
        <v>#NAME?</v>
      </c>
      <c r="H189" s="30" t="e">
        <f t="shared" si="40"/>
        <v>#NAME?</v>
      </c>
      <c r="I189" s="33" t="e">
        <f t="shared" si="36"/>
        <v>#NAME?</v>
      </c>
      <c r="J189" s="33" t="e">
        <f t="shared" si="41"/>
        <v>#NAME?</v>
      </c>
      <c r="K189" s="30" t="e">
        <f t="shared" si="42"/>
        <v>#NAME?</v>
      </c>
      <c r="L189" s="32" t="e">
        <f t="shared" si="33"/>
        <v>#NAME?</v>
      </c>
    </row>
    <row r="190" spans="1:12">
      <c r="A190" s="6">
        <v>2176</v>
      </c>
      <c r="B190" s="30">
        <f t="shared" si="37"/>
        <v>5.7618478477285278</v>
      </c>
      <c r="C190" s="30" t="e">
        <f t="shared" si="39"/>
        <v>#NAME?</v>
      </c>
      <c r="D190" s="30" t="e">
        <f t="shared" si="38"/>
        <v>#NAME?</v>
      </c>
      <c r="E190" s="30" t="e">
        <f t="shared" si="30"/>
        <v>#NAME?</v>
      </c>
      <c r="F190" s="30" t="e">
        <f t="shared" si="31"/>
        <v>#NAME?</v>
      </c>
      <c r="G190" s="30" t="e">
        <f t="shared" si="32"/>
        <v>#NAME?</v>
      </c>
      <c r="H190" s="30" t="e">
        <f t="shared" si="40"/>
        <v>#NAME?</v>
      </c>
      <c r="I190" s="33" t="e">
        <f t="shared" si="36"/>
        <v>#NAME?</v>
      </c>
      <c r="J190" s="33" t="e">
        <f t="shared" si="41"/>
        <v>#NAME?</v>
      </c>
      <c r="K190" s="30" t="e">
        <f t="shared" si="42"/>
        <v>#NAME?</v>
      </c>
      <c r="L190" s="32" t="e">
        <f t="shared" si="33"/>
        <v>#NAME?</v>
      </c>
    </row>
    <row r="191" spans="1:12">
      <c r="A191" s="6">
        <v>2177</v>
      </c>
      <c r="B191" s="30">
        <f t="shared" si="37"/>
        <v>5.8194663262058128</v>
      </c>
      <c r="C191" s="30" t="e">
        <f t="shared" si="39"/>
        <v>#NAME?</v>
      </c>
      <c r="D191" s="30" t="e">
        <f t="shared" si="38"/>
        <v>#NAME?</v>
      </c>
      <c r="E191" s="30" t="e">
        <f t="shared" si="30"/>
        <v>#NAME?</v>
      </c>
      <c r="F191" s="30" t="e">
        <f t="shared" si="31"/>
        <v>#NAME?</v>
      </c>
      <c r="G191" s="30" t="e">
        <f t="shared" si="32"/>
        <v>#NAME?</v>
      </c>
      <c r="H191" s="30" t="e">
        <f t="shared" si="40"/>
        <v>#NAME?</v>
      </c>
      <c r="I191" s="33" t="e">
        <f t="shared" si="36"/>
        <v>#NAME?</v>
      </c>
      <c r="J191" s="33" t="e">
        <f t="shared" si="41"/>
        <v>#NAME?</v>
      </c>
      <c r="K191" s="30" t="e">
        <f t="shared" si="42"/>
        <v>#NAME?</v>
      </c>
      <c r="L191" s="32" t="e">
        <f t="shared" si="33"/>
        <v>#NAME?</v>
      </c>
    </row>
    <row r="192" spans="1:12">
      <c r="A192" s="6">
        <v>2178</v>
      </c>
      <c r="B192" s="30">
        <f t="shared" si="37"/>
        <v>5.8776609894678709</v>
      </c>
      <c r="C192" s="30" t="e">
        <f t="shared" si="39"/>
        <v>#NAME?</v>
      </c>
      <c r="D192" s="30" t="e">
        <f t="shared" si="38"/>
        <v>#NAME?</v>
      </c>
      <c r="E192" s="30" t="e">
        <f t="shared" si="30"/>
        <v>#NAME?</v>
      </c>
      <c r="F192" s="30" t="e">
        <f t="shared" si="31"/>
        <v>#NAME?</v>
      </c>
      <c r="G192" s="30" t="e">
        <f t="shared" si="32"/>
        <v>#NAME?</v>
      </c>
      <c r="H192" s="30" t="e">
        <f t="shared" si="40"/>
        <v>#NAME?</v>
      </c>
      <c r="I192" s="33" t="e">
        <f t="shared" si="36"/>
        <v>#NAME?</v>
      </c>
      <c r="J192" s="33" t="e">
        <f t="shared" si="41"/>
        <v>#NAME?</v>
      </c>
      <c r="K192" s="30" t="e">
        <f t="shared" si="42"/>
        <v>#NAME?</v>
      </c>
      <c r="L192" s="32" t="e">
        <f t="shared" si="33"/>
        <v>#NAME?</v>
      </c>
    </row>
    <row r="193" spans="1:12">
      <c r="A193" s="6">
        <v>2179</v>
      </c>
      <c r="B193" s="30">
        <f t="shared" si="37"/>
        <v>5.9364375993625496</v>
      </c>
      <c r="C193" s="30" t="e">
        <f t="shared" si="39"/>
        <v>#NAME?</v>
      </c>
      <c r="D193" s="30" t="e">
        <f t="shared" si="38"/>
        <v>#NAME?</v>
      </c>
      <c r="E193" s="30" t="e">
        <f t="shared" si="30"/>
        <v>#NAME?</v>
      </c>
      <c r="F193" s="30" t="e">
        <f t="shared" si="31"/>
        <v>#NAME?</v>
      </c>
      <c r="G193" s="30" t="e">
        <f t="shared" si="32"/>
        <v>#NAME?</v>
      </c>
      <c r="H193" s="30" t="e">
        <f t="shared" si="40"/>
        <v>#NAME?</v>
      </c>
      <c r="I193" s="33" t="e">
        <f t="shared" si="36"/>
        <v>#NAME?</v>
      </c>
      <c r="J193" s="33" t="e">
        <f t="shared" si="41"/>
        <v>#NAME?</v>
      </c>
      <c r="K193" s="30" t="e">
        <f t="shared" si="42"/>
        <v>#NAME?</v>
      </c>
      <c r="L193" s="32" t="e">
        <f t="shared" si="33"/>
        <v>#NAME?</v>
      </c>
    </row>
    <row r="194" spans="1:12">
      <c r="A194" s="6">
        <v>2180</v>
      </c>
      <c r="B194" s="30">
        <f t="shared" si="37"/>
        <v>5.9958019753561755</v>
      </c>
      <c r="C194" s="30" t="e">
        <f t="shared" si="39"/>
        <v>#NAME?</v>
      </c>
      <c r="D194" s="30" t="e">
        <f t="shared" si="38"/>
        <v>#NAME?</v>
      </c>
      <c r="E194" s="30" t="e">
        <f t="shared" si="30"/>
        <v>#NAME?</v>
      </c>
      <c r="F194" s="30" t="e">
        <f t="shared" si="31"/>
        <v>#NAME?</v>
      </c>
      <c r="G194" s="30" t="e">
        <f t="shared" si="32"/>
        <v>#NAME?</v>
      </c>
      <c r="H194" s="30" t="e">
        <f t="shared" si="40"/>
        <v>#NAME?</v>
      </c>
      <c r="I194" s="33" t="e">
        <f t="shared" si="36"/>
        <v>#NAME?</v>
      </c>
      <c r="J194" s="33" t="e">
        <f t="shared" si="41"/>
        <v>#NAME?</v>
      </c>
      <c r="K194" s="30" t="e">
        <f t="shared" si="42"/>
        <v>#NAME?</v>
      </c>
      <c r="L194" s="32" t="e">
        <f t="shared" si="33"/>
        <v>#NAME?</v>
      </c>
    </row>
    <row r="195" spans="1:12">
      <c r="A195" s="6">
        <v>2181</v>
      </c>
      <c r="B195" s="30">
        <f t="shared" si="37"/>
        <v>6.0557599951097369</v>
      </c>
      <c r="C195" s="30" t="e">
        <f t="shared" si="39"/>
        <v>#NAME?</v>
      </c>
      <c r="D195" s="30" t="e">
        <f t="shared" si="38"/>
        <v>#NAME?</v>
      </c>
      <c r="E195" s="30" t="e">
        <f t="shared" si="30"/>
        <v>#NAME?</v>
      </c>
      <c r="F195" s="30" t="e">
        <f t="shared" si="31"/>
        <v>#NAME?</v>
      </c>
      <c r="G195" s="30" t="e">
        <f t="shared" si="32"/>
        <v>#NAME?</v>
      </c>
      <c r="H195" s="30" t="e">
        <f t="shared" si="40"/>
        <v>#NAME?</v>
      </c>
      <c r="I195" s="33" t="e">
        <f t="shared" si="36"/>
        <v>#NAME?</v>
      </c>
      <c r="J195" s="33" t="e">
        <f t="shared" si="41"/>
        <v>#NAME?</v>
      </c>
      <c r="K195" s="30" t="e">
        <f t="shared" si="42"/>
        <v>#NAME?</v>
      </c>
      <c r="L195" s="32" t="e">
        <f t="shared" si="33"/>
        <v>#NAME?</v>
      </c>
    </row>
    <row r="196" spans="1:12">
      <c r="A196" s="6">
        <v>2182</v>
      </c>
      <c r="B196" s="30">
        <f t="shared" si="37"/>
        <v>6.1163175950608339</v>
      </c>
      <c r="C196" s="30" t="e">
        <f t="shared" si="39"/>
        <v>#NAME?</v>
      </c>
      <c r="D196" s="30" t="e">
        <f t="shared" si="38"/>
        <v>#NAME?</v>
      </c>
      <c r="E196" s="30" t="e">
        <f t="shared" si="30"/>
        <v>#NAME?</v>
      </c>
      <c r="F196" s="30" t="e">
        <f t="shared" si="31"/>
        <v>#NAME?</v>
      </c>
      <c r="G196" s="30" t="e">
        <f t="shared" si="32"/>
        <v>#NAME?</v>
      </c>
      <c r="H196" s="30" t="e">
        <f t="shared" si="40"/>
        <v>#NAME?</v>
      </c>
      <c r="I196" s="33" t="e">
        <f t="shared" si="36"/>
        <v>#NAME?</v>
      </c>
      <c r="J196" s="33" t="e">
        <f t="shared" si="41"/>
        <v>#NAME?</v>
      </c>
      <c r="K196" s="30" t="e">
        <f t="shared" si="42"/>
        <v>#NAME?</v>
      </c>
      <c r="L196" s="32" t="e">
        <f t="shared" si="33"/>
        <v>#NAME?</v>
      </c>
    </row>
    <row r="197" spans="1:12">
      <c r="A197" s="6">
        <v>2183</v>
      </c>
      <c r="B197" s="30">
        <f t="shared" si="37"/>
        <v>6.1774807710114423</v>
      </c>
      <c r="C197" s="30" t="e">
        <f t="shared" si="39"/>
        <v>#NAME?</v>
      </c>
      <c r="D197" s="30" t="e">
        <f t="shared" si="38"/>
        <v>#NAME?</v>
      </c>
      <c r="E197" s="30" t="e">
        <f t="shared" si="30"/>
        <v>#NAME?</v>
      </c>
      <c r="F197" s="30" t="e">
        <f t="shared" si="31"/>
        <v>#NAME?</v>
      </c>
      <c r="G197" s="30" t="e">
        <f t="shared" si="32"/>
        <v>#NAME?</v>
      </c>
      <c r="H197" s="30" t="e">
        <f t="shared" si="40"/>
        <v>#NAME?</v>
      </c>
      <c r="I197" s="33" t="e">
        <f t="shared" si="36"/>
        <v>#NAME?</v>
      </c>
      <c r="J197" s="33" t="e">
        <f t="shared" si="41"/>
        <v>#NAME?</v>
      </c>
      <c r="K197" s="30" t="e">
        <f t="shared" si="42"/>
        <v>#NAME?</v>
      </c>
      <c r="L197" s="32" t="e">
        <f t="shared" si="33"/>
        <v>#NAME?</v>
      </c>
    </row>
    <row r="198" spans="1:12">
      <c r="A198" s="6">
        <v>2184</v>
      </c>
      <c r="B198" s="30">
        <f t="shared" si="37"/>
        <v>6.2392555787215569</v>
      </c>
      <c r="C198" s="30" t="e">
        <f t="shared" si="39"/>
        <v>#NAME?</v>
      </c>
      <c r="D198" s="30" t="e">
        <f t="shared" si="38"/>
        <v>#NAME?</v>
      </c>
      <c r="E198" s="30" t="e">
        <f t="shared" si="30"/>
        <v>#NAME?</v>
      </c>
      <c r="F198" s="30" t="e">
        <f t="shared" si="31"/>
        <v>#NAME?</v>
      </c>
      <c r="G198" s="30" t="e">
        <f t="shared" si="32"/>
        <v>#NAME?</v>
      </c>
      <c r="H198" s="30" t="e">
        <f t="shared" si="40"/>
        <v>#NAME?</v>
      </c>
      <c r="I198" s="33" t="e">
        <f t="shared" si="36"/>
        <v>#NAME?</v>
      </c>
      <c r="J198" s="33" t="e">
        <f t="shared" si="41"/>
        <v>#NAME?</v>
      </c>
      <c r="K198" s="30" t="e">
        <f t="shared" si="42"/>
        <v>#NAME?</v>
      </c>
      <c r="L198" s="32" t="e">
        <f t="shared" si="33"/>
        <v>#NAME?</v>
      </c>
    </row>
    <row r="199" spans="1:12">
      <c r="A199" s="6">
        <v>2185</v>
      </c>
      <c r="B199" s="30">
        <f t="shared" si="37"/>
        <v>6.3016481345087723</v>
      </c>
      <c r="C199" s="30" t="e">
        <f t="shared" si="39"/>
        <v>#NAME?</v>
      </c>
      <c r="D199" s="30" t="e">
        <f t="shared" si="38"/>
        <v>#NAME?</v>
      </c>
      <c r="E199" s="30" t="e">
        <f t="shared" si="30"/>
        <v>#NAME?</v>
      </c>
      <c r="F199" s="30" t="e">
        <f t="shared" si="31"/>
        <v>#NAME?</v>
      </c>
      <c r="G199" s="30" t="e">
        <f t="shared" si="32"/>
        <v>#NAME?</v>
      </c>
      <c r="H199" s="30" t="e">
        <f t="shared" si="40"/>
        <v>#NAME?</v>
      </c>
      <c r="I199" s="33" t="e">
        <f t="shared" si="36"/>
        <v>#NAME?</v>
      </c>
      <c r="J199" s="33" t="e">
        <f t="shared" si="41"/>
        <v>#NAME?</v>
      </c>
      <c r="K199" s="30" t="e">
        <f t="shared" si="42"/>
        <v>#NAME?</v>
      </c>
      <c r="L199" s="32" t="e">
        <f t="shared" si="33"/>
        <v>#NAME?</v>
      </c>
    </row>
    <row r="200" spans="1:12">
      <c r="A200" s="6">
        <v>2186</v>
      </c>
      <c r="B200" s="30">
        <f t="shared" si="37"/>
        <v>6.3646646158538598</v>
      </c>
      <c r="C200" s="30" t="e">
        <f t="shared" si="39"/>
        <v>#NAME?</v>
      </c>
      <c r="D200" s="30" t="e">
        <f t="shared" si="38"/>
        <v>#NAME?</v>
      </c>
      <c r="E200" s="30" t="e">
        <f t="shared" si="30"/>
        <v>#NAME?</v>
      </c>
      <c r="F200" s="30" t="e">
        <f t="shared" si="31"/>
        <v>#NAME?</v>
      </c>
      <c r="G200" s="30" t="e">
        <f t="shared" si="32"/>
        <v>#NAME?</v>
      </c>
      <c r="H200" s="30" t="e">
        <f t="shared" si="40"/>
        <v>#NAME?</v>
      </c>
      <c r="I200" s="33" t="e">
        <f t="shared" si="36"/>
        <v>#NAME?</v>
      </c>
      <c r="J200" s="33" t="e">
        <f t="shared" si="41"/>
        <v>#NAME?</v>
      </c>
      <c r="K200" s="30" t="e">
        <f t="shared" si="42"/>
        <v>#NAME?</v>
      </c>
      <c r="L200" s="32" t="e">
        <f t="shared" si="33"/>
        <v>#NAME?</v>
      </c>
    </row>
    <row r="201" spans="1:12">
      <c r="A201" s="6">
        <v>2187</v>
      </c>
      <c r="B201" s="30">
        <f t="shared" si="37"/>
        <v>6.4283112620123983</v>
      </c>
      <c r="C201" s="30" t="e">
        <f t="shared" si="39"/>
        <v>#NAME?</v>
      </c>
      <c r="D201" s="30" t="e">
        <f t="shared" si="38"/>
        <v>#NAME?</v>
      </c>
      <c r="E201" s="30" t="e">
        <f t="shared" si="30"/>
        <v>#NAME?</v>
      </c>
      <c r="F201" s="30" t="e">
        <f t="shared" si="31"/>
        <v>#NAME?</v>
      </c>
      <c r="G201" s="30" t="e">
        <f t="shared" si="32"/>
        <v>#NAME?</v>
      </c>
      <c r="H201" s="30" t="e">
        <f t="shared" si="40"/>
        <v>#NAME?</v>
      </c>
      <c r="I201" s="33" t="e">
        <f t="shared" si="36"/>
        <v>#NAME?</v>
      </c>
      <c r="J201" s="33" t="e">
        <f t="shared" si="41"/>
        <v>#NAME?</v>
      </c>
      <c r="K201" s="30" t="e">
        <f t="shared" si="42"/>
        <v>#NAME?</v>
      </c>
      <c r="L201" s="32" t="e">
        <f t="shared" si="33"/>
        <v>#NAME?</v>
      </c>
    </row>
    <row r="202" spans="1:12">
      <c r="A202" s="6">
        <v>2188</v>
      </c>
      <c r="B202" s="30">
        <f t="shared" si="37"/>
        <v>6.4925943746325228</v>
      </c>
      <c r="C202" s="30" t="e">
        <f t="shared" si="39"/>
        <v>#NAME?</v>
      </c>
      <c r="D202" s="30" t="e">
        <f t="shared" si="38"/>
        <v>#NAME?</v>
      </c>
      <c r="E202" s="30" t="e">
        <f t="shared" si="30"/>
        <v>#NAME?</v>
      </c>
      <c r="F202" s="30" t="e">
        <f t="shared" si="31"/>
        <v>#NAME?</v>
      </c>
      <c r="G202" s="30" t="e">
        <f t="shared" si="32"/>
        <v>#NAME?</v>
      </c>
      <c r="H202" s="30" t="e">
        <f t="shared" si="40"/>
        <v>#NAME?</v>
      </c>
      <c r="I202" s="33" t="e">
        <f t="shared" si="36"/>
        <v>#NAME?</v>
      </c>
      <c r="J202" s="33" t="e">
        <f t="shared" si="41"/>
        <v>#NAME?</v>
      </c>
      <c r="K202" s="30" t="e">
        <f t="shared" si="42"/>
        <v>#NAME?</v>
      </c>
      <c r="L202" s="32" t="e">
        <f t="shared" si="33"/>
        <v>#NAME?</v>
      </c>
    </row>
    <row r="203" spans="1:12">
      <c r="A203" s="6">
        <v>2189</v>
      </c>
      <c r="B203" s="30">
        <f t="shared" si="37"/>
        <v>6.557520318378848</v>
      </c>
      <c r="C203" s="30" t="e">
        <f t="shared" si="39"/>
        <v>#NAME?</v>
      </c>
      <c r="D203" s="30" t="e">
        <f t="shared" si="38"/>
        <v>#NAME?</v>
      </c>
      <c r="E203" s="30" t="e">
        <f t="shared" si="30"/>
        <v>#NAME?</v>
      </c>
      <c r="F203" s="30" t="e">
        <f t="shared" si="31"/>
        <v>#NAME?</v>
      </c>
      <c r="G203" s="30" t="e">
        <f t="shared" si="32"/>
        <v>#NAME?</v>
      </c>
      <c r="H203" s="30" t="e">
        <f t="shared" si="40"/>
        <v>#NAME?</v>
      </c>
      <c r="I203" s="33" t="e">
        <f t="shared" si="36"/>
        <v>#NAME?</v>
      </c>
      <c r="J203" s="33" t="e">
        <f t="shared" si="41"/>
        <v>#NAME?</v>
      </c>
      <c r="K203" s="30" t="e">
        <f t="shared" si="42"/>
        <v>#NAME?</v>
      </c>
      <c r="L203" s="32" t="e">
        <f t="shared" si="33"/>
        <v>#NAME?</v>
      </c>
    </row>
    <row r="204" spans="1:12">
      <c r="A204" s="6">
        <v>2190</v>
      </c>
      <c r="B204" s="30">
        <f t="shared" si="37"/>
        <v>6.6230955215626368</v>
      </c>
      <c r="C204" s="30" t="e">
        <f t="shared" si="39"/>
        <v>#NAME?</v>
      </c>
      <c r="D204" s="30" t="e">
        <f t="shared" si="38"/>
        <v>#NAME?</v>
      </c>
      <c r="E204" s="30" t="e">
        <f t="shared" si="30"/>
        <v>#NAME?</v>
      </c>
      <c r="F204" s="30" t="e">
        <f t="shared" si="31"/>
        <v>#NAME?</v>
      </c>
      <c r="G204" s="30" t="e">
        <f t="shared" si="32"/>
        <v>#NAME?</v>
      </c>
      <c r="H204" s="30" t="e">
        <f t="shared" si="40"/>
        <v>#NAME?</v>
      </c>
      <c r="I204" s="33" t="e">
        <f t="shared" si="36"/>
        <v>#NAME?</v>
      </c>
      <c r="J204" s="33" t="e">
        <f t="shared" si="41"/>
        <v>#NAME?</v>
      </c>
      <c r="K204" s="30" t="e">
        <f t="shared" si="42"/>
        <v>#NAME?</v>
      </c>
      <c r="L204" s="32" t="e">
        <f t="shared" si="33"/>
        <v>#NAME?</v>
      </c>
    </row>
    <row r="205" spans="1:12">
      <c r="A205" s="6">
        <v>2191</v>
      </c>
      <c r="B205" s="30">
        <f t="shared" si="37"/>
        <v>6.6893264767782634</v>
      </c>
      <c r="C205" s="30" t="e">
        <f t="shared" si="39"/>
        <v>#NAME?</v>
      </c>
      <c r="D205" s="30" t="e">
        <f t="shared" si="38"/>
        <v>#NAME?</v>
      </c>
      <c r="E205" s="30" t="e">
        <f t="shared" si="30"/>
        <v>#NAME?</v>
      </c>
      <c r="F205" s="30" t="e">
        <f t="shared" si="31"/>
        <v>#NAME?</v>
      </c>
      <c r="G205" s="30" t="e">
        <f t="shared" si="32"/>
        <v>#NAME?</v>
      </c>
      <c r="H205" s="30" t="e">
        <f t="shared" si="40"/>
        <v>#NAME?</v>
      </c>
      <c r="I205" s="33" t="e">
        <f t="shared" si="36"/>
        <v>#NAME?</v>
      </c>
      <c r="J205" s="33" t="e">
        <f t="shared" si="41"/>
        <v>#NAME?</v>
      </c>
      <c r="K205" s="30" t="e">
        <f t="shared" si="42"/>
        <v>#NAME?</v>
      </c>
      <c r="L205" s="32" t="e">
        <f t="shared" si="33"/>
        <v>#NAME?</v>
      </c>
    </row>
    <row r="206" spans="1:12">
      <c r="A206" s="6">
        <v>2192</v>
      </c>
      <c r="B206" s="30">
        <f t="shared" si="37"/>
        <v>6.7562197415460465</v>
      </c>
      <c r="C206" s="30" t="e">
        <f t="shared" si="39"/>
        <v>#NAME?</v>
      </c>
      <c r="D206" s="30" t="e">
        <f t="shared" si="38"/>
        <v>#NAME?</v>
      </c>
      <c r="E206" s="30" t="e">
        <f t="shared" ref="E206:E214" si="43">(1-s)*D206</f>
        <v>#NAME?</v>
      </c>
      <c r="F206" s="30" t="e">
        <f t="shared" ref="F206:F214" si="44">s*D206</f>
        <v>#NAME?</v>
      </c>
      <c r="G206" s="30" t="e">
        <f t="shared" ref="G206:G214" si="45">dep*C206</f>
        <v>#NAME?</v>
      </c>
      <c r="H206" s="30" t="e">
        <f t="shared" si="40"/>
        <v>#NAME?</v>
      </c>
      <c r="I206" s="33" t="e">
        <f t="shared" si="36"/>
        <v>#NAME?</v>
      </c>
      <c r="J206" s="33" t="e">
        <f t="shared" si="41"/>
        <v>#NAME?</v>
      </c>
      <c r="K206" s="30" t="e">
        <f t="shared" si="42"/>
        <v>#NAME?</v>
      </c>
      <c r="L206" s="32" t="e">
        <f t="shared" ref="L206:L214" si="46">alpha1/K206</f>
        <v>#NAME?</v>
      </c>
    </row>
    <row r="207" spans="1:12">
      <c r="A207" s="6">
        <v>2193</v>
      </c>
      <c r="B207" s="30">
        <f t="shared" ref="B207:B214" si="47">(1+n)*B206</f>
        <v>6.8237819389615071</v>
      </c>
      <c r="C207" s="30" t="e">
        <f t="shared" si="39"/>
        <v>#NAME?</v>
      </c>
      <c r="D207" s="30" t="e">
        <f t="shared" ref="D207:D214" si="48">A*(alpha1*C207^rho+alpha2*((1+g)^(A207-$A$14)*B207)^rho)^(1/rho)</f>
        <v>#NAME?</v>
      </c>
      <c r="E207" s="30" t="e">
        <f t="shared" si="43"/>
        <v>#NAME?</v>
      </c>
      <c r="F207" s="30" t="e">
        <f t="shared" si="44"/>
        <v>#NAME?</v>
      </c>
      <c r="G207" s="30" t="e">
        <f t="shared" si="45"/>
        <v>#NAME?</v>
      </c>
      <c r="H207" s="30" t="e">
        <f t="shared" si="40"/>
        <v>#NAME?</v>
      </c>
      <c r="I207" s="33" t="e">
        <f t="shared" si="36"/>
        <v>#NAME?</v>
      </c>
      <c r="J207" s="33" t="e">
        <f t="shared" si="41"/>
        <v>#NAME?</v>
      </c>
      <c r="K207" s="30" t="e">
        <f t="shared" si="42"/>
        <v>#NAME?</v>
      </c>
      <c r="L207" s="32" t="e">
        <f t="shared" si="46"/>
        <v>#NAME?</v>
      </c>
    </row>
    <row r="208" spans="1:12">
      <c r="A208" s="6">
        <v>2194</v>
      </c>
      <c r="B208" s="30">
        <f t="shared" si="47"/>
        <v>6.8920197583511218</v>
      </c>
      <c r="C208" s="30" t="e">
        <f t="shared" si="39"/>
        <v>#NAME?</v>
      </c>
      <c r="D208" s="30" t="e">
        <f t="shared" si="48"/>
        <v>#NAME?</v>
      </c>
      <c r="E208" s="30" t="e">
        <f t="shared" si="43"/>
        <v>#NAME?</v>
      </c>
      <c r="F208" s="30" t="e">
        <f t="shared" si="44"/>
        <v>#NAME?</v>
      </c>
      <c r="G208" s="30" t="e">
        <f t="shared" si="45"/>
        <v>#NAME?</v>
      </c>
      <c r="H208" s="30" t="e">
        <f t="shared" si="40"/>
        <v>#NAME?</v>
      </c>
      <c r="I208" s="33" t="e">
        <f t="shared" ref="I208:I214" si="49">(C208-C207)/C207</f>
        <v>#NAME?</v>
      </c>
      <c r="J208" s="33" t="e">
        <f t="shared" si="41"/>
        <v>#NAME?</v>
      </c>
      <c r="K208" s="30" t="e">
        <f t="shared" si="42"/>
        <v>#NAME?</v>
      </c>
      <c r="L208" s="32" t="e">
        <f t="shared" si="46"/>
        <v>#NAME?</v>
      </c>
    </row>
    <row r="209" spans="1:13">
      <c r="A209" s="6">
        <v>2195</v>
      </c>
      <c r="B209" s="30">
        <f t="shared" si="47"/>
        <v>6.9609399559346334</v>
      </c>
      <c r="C209" s="30" t="e">
        <f t="shared" si="39"/>
        <v>#NAME?</v>
      </c>
      <c r="D209" s="30" t="e">
        <f t="shared" si="48"/>
        <v>#NAME?</v>
      </c>
      <c r="E209" s="30" t="e">
        <f t="shared" si="43"/>
        <v>#NAME?</v>
      </c>
      <c r="F209" s="30" t="e">
        <f t="shared" si="44"/>
        <v>#NAME?</v>
      </c>
      <c r="G209" s="30" t="e">
        <f t="shared" si="45"/>
        <v>#NAME?</v>
      </c>
      <c r="H209" s="30" t="e">
        <f t="shared" si="40"/>
        <v>#NAME?</v>
      </c>
      <c r="I209" s="33" t="e">
        <f t="shared" si="49"/>
        <v>#NAME?</v>
      </c>
      <c r="J209" s="33" t="e">
        <f t="shared" si="41"/>
        <v>#NAME?</v>
      </c>
      <c r="K209" s="30" t="e">
        <f t="shared" si="42"/>
        <v>#NAME?</v>
      </c>
      <c r="L209" s="32" t="e">
        <f t="shared" si="46"/>
        <v>#NAME?</v>
      </c>
    </row>
    <row r="210" spans="1:13">
      <c r="A210" s="6">
        <v>2196</v>
      </c>
      <c r="B210" s="30">
        <f t="shared" si="47"/>
        <v>7.0305493554939797</v>
      </c>
      <c r="C210" s="30" t="e">
        <f t="shared" si="39"/>
        <v>#NAME?</v>
      </c>
      <c r="D210" s="30" t="e">
        <f t="shared" si="48"/>
        <v>#NAME?</v>
      </c>
      <c r="E210" s="30" t="e">
        <f t="shared" si="43"/>
        <v>#NAME?</v>
      </c>
      <c r="F210" s="30" t="e">
        <f t="shared" si="44"/>
        <v>#NAME?</v>
      </c>
      <c r="G210" s="30" t="e">
        <f t="shared" si="45"/>
        <v>#NAME?</v>
      </c>
      <c r="H210" s="30" t="e">
        <f t="shared" si="40"/>
        <v>#NAME?</v>
      </c>
      <c r="I210" s="33" t="e">
        <f t="shared" si="49"/>
        <v>#NAME?</v>
      </c>
      <c r="J210" s="33" t="e">
        <f t="shared" si="41"/>
        <v>#NAME?</v>
      </c>
      <c r="K210" s="30" t="e">
        <f t="shared" si="42"/>
        <v>#NAME?</v>
      </c>
      <c r="L210" s="32" t="e">
        <f t="shared" si="46"/>
        <v>#NAME?</v>
      </c>
    </row>
    <row r="211" spans="1:13">
      <c r="A211" s="6">
        <v>2197</v>
      </c>
      <c r="B211" s="30">
        <f t="shared" si="47"/>
        <v>7.1008548490489192</v>
      </c>
      <c r="C211" s="30" t="e">
        <f t="shared" si="39"/>
        <v>#NAME?</v>
      </c>
      <c r="D211" s="30" t="e">
        <f t="shared" si="48"/>
        <v>#NAME?</v>
      </c>
      <c r="E211" s="30" t="e">
        <f t="shared" si="43"/>
        <v>#NAME?</v>
      </c>
      <c r="F211" s="30" t="e">
        <f t="shared" si="44"/>
        <v>#NAME?</v>
      </c>
      <c r="G211" s="30" t="e">
        <f t="shared" si="45"/>
        <v>#NAME?</v>
      </c>
      <c r="H211" s="30" t="e">
        <f t="shared" si="40"/>
        <v>#NAME?</v>
      </c>
      <c r="I211" s="33" t="e">
        <f t="shared" si="49"/>
        <v>#NAME?</v>
      </c>
      <c r="J211" s="33" t="e">
        <f t="shared" si="41"/>
        <v>#NAME?</v>
      </c>
      <c r="K211" s="30" t="e">
        <f t="shared" si="42"/>
        <v>#NAME?</v>
      </c>
      <c r="L211" s="32" t="e">
        <f t="shared" si="46"/>
        <v>#NAME?</v>
      </c>
    </row>
    <row r="212" spans="1:13">
      <c r="A212" s="6">
        <v>2198</v>
      </c>
      <c r="B212" s="30">
        <f t="shared" si="47"/>
        <v>7.1718633975394086</v>
      </c>
      <c r="C212" s="30" t="e">
        <f t="shared" si="39"/>
        <v>#NAME?</v>
      </c>
      <c r="D212" s="30" t="e">
        <f t="shared" si="48"/>
        <v>#NAME?</v>
      </c>
      <c r="E212" s="30" t="e">
        <f t="shared" si="43"/>
        <v>#NAME?</v>
      </c>
      <c r="F212" s="30" t="e">
        <f t="shared" si="44"/>
        <v>#NAME?</v>
      </c>
      <c r="G212" s="30" t="e">
        <f t="shared" si="45"/>
        <v>#NAME?</v>
      </c>
      <c r="H212" s="30" t="e">
        <f t="shared" si="40"/>
        <v>#NAME?</v>
      </c>
      <c r="I212" s="33" t="e">
        <f t="shared" si="49"/>
        <v>#NAME?</v>
      </c>
      <c r="J212" s="33" t="e">
        <f t="shared" si="41"/>
        <v>#NAME?</v>
      </c>
      <c r="K212" s="30" t="e">
        <f t="shared" si="42"/>
        <v>#NAME?</v>
      </c>
      <c r="L212" s="32" t="e">
        <f t="shared" si="46"/>
        <v>#NAME?</v>
      </c>
    </row>
    <row r="213" spans="1:13">
      <c r="A213" s="6">
        <v>2199</v>
      </c>
      <c r="B213" s="30">
        <f t="shared" si="47"/>
        <v>7.2435820315148032</v>
      </c>
      <c r="C213" s="30" t="e">
        <f t="shared" si="39"/>
        <v>#NAME?</v>
      </c>
      <c r="D213" s="30" t="e">
        <f t="shared" si="48"/>
        <v>#NAME?</v>
      </c>
      <c r="E213" s="30" t="e">
        <f t="shared" si="43"/>
        <v>#NAME?</v>
      </c>
      <c r="F213" s="30" t="e">
        <f t="shared" si="44"/>
        <v>#NAME?</v>
      </c>
      <c r="G213" s="30" t="e">
        <f t="shared" si="45"/>
        <v>#NAME?</v>
      </c>
      <c r="H213" s="30" t="e">
        <f t="shared" si="40"/>
        <v>#NAME?</v>
      </c>
      <c r="I213" s="33" t="e">
        <f t="shared" si="49"/>
        <v>#NAME?</v>
      </c>
      <c r="J213" s="33" t="e">
        <f t="shared" si="41"/>
        <v>#NAME?</v>
      </c>
      <c r="K213" s="30" t="e">
        <f t="shared" si="42"/>
        <v>#NAME?</v>
      </c>
      <c r="L213" s="32" t="e">
        <f t="shared" si="46"/>
        <v>#NAME?</v>
      </c>
    </row>
    <row r="214" spans="1:13">
      <c r="A214" s="6">
        <v>2200</v>
      </c>
      <c r="B214" s="30">
        <f t="shared" si="47"/>
        <v>7.316017851829951</v>
      </c>
      <c r="C214" s="30" t="e">
        <f t="shared" si="39"/>
        <v>#NAME?</v>
      </c>
      <c r="D214" s="30" t="e">
        <f t="shared" si="48"/>
        <v>#NAME?</v>
      </c>
      <c r="E214" s="30" t="e">
        <f t="shared" si="43"/>
        <v>#NAME?</v>
      </c>
      <c r="F214" s="30" t="e">
        <f t="shared" si="44"/>
        <v>#NAME?</v>
      </c>
      <c r="G214" s="30" t="e">
        <f t="shared" si="45"/>
        <v>#NAME?</v>
      </c>
      <c r="H214" s="30" t="e">
        <f t="shared" si="40"/>
        <v>#NAME?</v>
      </c>
      <c r="I214" s="33" t="e">
        <f t="shared" si="49"/>
        <v>#NAME?</v>
      </c>
      <c r="J214" s="33" t="e">
        <f t="shared" si="41"/>
        <v>#NAME?</v>
      </c>
      <c r="K214" s="30" t="e">
        <f t="shared" si="42"/>
        <v>#NAME?</v>
      </c>
      <c r="L214" s="32" t="e">
        <f t="shared" si="46"/>
        <v>#NAME?</v>
      </c>
      <c r="M214" t="e">
        <f>K214-K213</f>
        <v>#NAME?</v>
      </c>
    </row>
  </sheetData>
  <pageMargins left="0.7" right="0.7" top="0.75" bottom="0.75" header="0.3" footer="0.3"/>
  <pageSetup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1_Click">
                <anchor moveWithCells="1" sizeWithCells="1">
                  <from>
                    <xdr:col>4</xdr:col>
                    <xdr:colOff>381000</xdr:colOff>
                    <xdr:row>8</xdr:row>
                    <xdr:rowOff>114300</xdr:rowOff>
                  </from>
                  <to>
                    <xdr:col>5</xdr:col>
                    <xdr:colOff>525780</xdr:colOff>
                    <xdr:row>10</xdr:row>
                    <xdr:rowOff>106680</xdr:rowOff>
                  </to>
                </anchor>
              </controlPr>
            </control>
          </mc:Choice>
        </mc:AlternateContent>
        <mc:AlternateContent xmlns:mc="http://schemas.openxmlformats.org/markup-compatibility/2006">
          <mc:Choice Requires="x14">
            <control shapeId="9218" r:id="rId5" name="Button 2">
              <controlPr defaultSize="0" print="0" autoFill="0" autoPict="0" macro="[0]!Button2_Click">
                <anchor moveWithCells="1" sizeWithCells="1">
                  <from>
                    <xdr:col>6</xdr:col>
                    <xdr:colOff>0</xdr:colOff>
                    <xdr:row>8</xdr:row>
                    <xdr:rowOff>106680</xdr:rowOff>
                  </from>
                  <to>
                    <xdr:col>7</xdr:col>
                    <xdr:colOff>144780</xdr:colOff>
                    <xdr:row>10</xdr:row>
                    <xdr:rowOff>99060</xdr:rowOff>
                  </to>
                </anchor>
              </controlPr>
            </control>
          </mc:Choice>
        </mc:AlternateContent>
        <mc:AlternateContent xmlns:mc="http://schemas.openxmlformats.org/markup-compatibility/2006">
          <mc:Choice Requires="x14">
            <control shapeId="9219" r:id="rId6" name="Button 3">
              <controlPr defaultSize="0" print="0" autoFill="0" autoPict="0" macro="[0]!Button3_Click">
                <anchor moveWithCells="1" sizeWithCells="1">
                  <from>
                    <xdr:col>7</xdr:col>
                    <xdr:colOff>243840</xdr:colOff>
                    <xdr:row>8</xdr:row>
                    <xdr:rowOff>106680</xdr:rowOff>
                  </from>
                  <to>
                    <xdr:col>8</xdr:col>
                    <xdr:colOff>381000</xdr:colOff>
                    <xdr:row>10</xdr:row>
                    <xdr:rowOff>99060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W45"/>
  <sheetViews>
    <sheetView showGridLines="0" topLeftCell="A17" zoomScaleNormal="100" workbookViewId="0">
      <selection activeCell="G21" sqref="G21"/>
    </sheetView>
  </sheetViews>
  <sheetFormatPr defaultColWidth="8.77734375" defaultRowHeight="14.4"/>
  <cols>
    <col min="1" max="1" width="9.21875" style="40" customWidth="1"/>
    <col min="2" max="6" width="8.77734375" style="40"/>
    <col min="7" max="7" width="11.21875" style="40" customWidth="1"/>
    <col min="8" max="14" width="8.77734375" style="40"/>
    <col min="15" max="15" width="9.21875" style="44"/>
    <col min="16" max="16" width="10.44140625" style="44" customWidth="1"/>
    <col min="17" max="17" width="15.44140625" style="44" bestFit="1" customWidth="1"/>
    <col min="18" max="16384" width="8.77734375" style="40"/>
  </cols>
  <sheetData>
    <row r="1" spans="1:23">
      <c r="G1" s="173" t="s">
        <v>342</v>
      </c>
      <c r="R1" s="44"/>
    </row>
    <row r="2" spans="1:23">
      <c r="G2" s="44" t="s">
        <v>79</v>
      </c>
      <c r="N2" s="43"/>
      <c r="O2" s="43"/>
      <c r="P2" s="43"/>
      <c r="Q2" s="43"/>
      <c r="R2" s="43"/>
      <c r="S2" s="43"/>
      <c r="T2" s="43"/>
      <c r="U2" s="102"/>
      <c r="V2" s="44"/>
      <c r="W2" s="44"/>
    </row>
    <row r="3" spans="1:23">
      <c r="G3" s="44" t="s">
        <v>72</v>
      </c>
      <c r="N3" s="43"/>
      <c r="O3" s="43"/>
      <c r="P3" s="43"/>
      <c r="Q3" s="43"/>
      <c r="R3" s="43"/>
      <c r="S3" s="43"/>
      <c r="T3" s="43"/>
      <c r="U3" s="102"/>
      <c r="V3" s="44"/>
      <c r="W3" s="44"/>
    </row>
    <row r="4" spans="1:23">
      <c r="G4" s="102" t="s">
        <v>73</v>
      </c>
      <c r="H4" s="43"/>
      <c r="I4" s="43"/>
      <c r="N4" s="43"/>
      <c r="O4" s="43"/>
      <c r="P4" s="43"/>
      <c r="Q4" s="43"/>
      <c r="R4" s="43"/>
      <c r="S4" s="43"/>
      <c r="T4" s="43"/>
      <c r="U4" s="102"/>
      <c r="V4" s="44"/>
      <c r="W4" s="44"/>
    </row>
    <row r="5" spans="1:23">
      <c r="G5" s="102" t="s">
        <v>80</v>
      </c>
      <c r="H5" s="43"/>
      <c r="I5" s="43"/>
      <c r="J5" s="43"/>
      <c r="N5" s="43"/>
      <c r="O5" s="43"/>
      <c r="P5" s="43"/>
      <c r="Q5" s="43"/>
      <c r="R5" s="43"/>
      <c r="S5" s="43"/>
      <c r="T5" s="43"/>
      <c r="U5" s="102"/>
      <c r="V5" s="44"/>
      <c r="W5" s="44"/>
    </row>
    <row r="6" spans="1:23">
      <c r="A6" s="43"/>
      <c r="B6" s="43"/>
      <c r="C6" s="43"/>
      <c r="D6" s="43"/>
      <c r="H6" s="43"/>
      <c r="I6" s="43"/>
      <c r="J6" s="43"/>
      <c r="K6" s="43"/>
      <c r="L6" s="43"/>
      <c r="M6" s="43"/>
      <c r="N6" s="43"/>
      <c r="O6" s="102"/>
    </row>
    <row r="7" spans="1:23">
      <c r="A7" s="40" t="s">
        <v>343</v>
      </c>
      <c r="F7" s="174"/>
      <c r="G7" s="43" t="s">
        <v>77</v>
      </c>
      <c r="H7" s="43"/>
      <c r="I7" s="43"/>
      <c r="J7" s="43"/>
      <c r="K7" s="43"/>
      <c r="L7" s="43"/>
      <c r="M7" s="43"/>
      <c r="N7" s="102"/>
      <c r="P7" s="40"/>
    </row>
    <row r="8" spans="1:23">
      <c r="H8" s="43"/>
      <c r="I8" s="43"/>
      <c r="J8" s="43"/>
      <c r="K8" s="43"/>
      <c r="L8" s="43"/>
      <c r="M8" s="43"/>
      <c r="N8" s="43"/>
      <c r="O8" s="102"/>
    </row>
    <row r="9" spans="1:23">
      <c r="A9" s="40" t="s">
        <v>341</v>
      </c>
      <c r="H9" s="43"/>
      <c r="I9" s="43"/>
      <c r="J9" s="43"/>
      <c r="K9" s="43"/>
      <c r="L9" s="43"/>
      <c r="M9" s="43"/>
      <c r="N9" s="43"/>
      <c r="O9" s="102"/>
    </row>
    <row r="10" spans="1:23">
      <c r="A10" s="41"/>
      <c r="H10" s="43"/>
      <c r="I10" s="43"/>
      <c r="J10" s="43"/>
      <c r="K10" s="43"/>
      <c r="L10" s="43"/>
      <c r="M10" s="43"/>
      <c r="N10" s="43"/>
      <c r="O10" s="102"/>
    </row>
    <row r="11" spans="1:23">
      <c r="A11" s="40" t="s">
        <v>74</v>
      </c>
      <c r="B11" s="42"/>
      <c r="C11" s="42"/>
      <c r="D11" s="42"/>
      <c r="E11" s="42"/>
      <c r="H11" s="43"/>
      <c r="I11" s="43"/>
      <c r="J11" s="43"/>
      <c r="K11" s="43"/>
      <c r="L11" s="43"/>
      <c r="M11" s="43"/>
      <c r="N11" s="43"/>
      <c r="O11" s="102"/>
    </row>
    <row r="12" spans="1:23">
      <c r="B12" s="40" t="s">
        <v>78</v>
      </c>
      <c r="C12" s="42"/>
      <c r="D12" s="42"/>
      <c r="E12" s="42"/>
      <c r="H12" s="43"/>
      <c r="I12" s="43"/>
      <c r="J12" s="43"/>
      <c r="K12" s="43"/>
      <c r="L12" s="43"/>
      <c r="M12" s="43"/>
      <c r="N12" s="43"/>
      <c r="O12" s="102"/>
    </row>
    <row r="13" spans="1:23">
      <c r="C13" s="40" t="s">
        <v>75</v>
      </c>
      <c r="D13" s="42"/>
      <c r="E13" s="42"/>
      <c r="H13" s="43"/>
      <c r="I13" s="43"/>
      <c r="J13" s="43"/>
      <c r="K13" s="43"/>
      <c r="L13" s="43"/>
      <c r="M13" s="43"/>
      <c r="N13" s="43"/>
      <c r="O13" s="102"/>
    </row>
    <row r="14" spans="1:23">
      <c r="D14" s="42"/>
      <c r="E14" s="42"/>
      <c r="H14" s="43"/>
      <c r="I14" s="43"/>
      <c r="J14" s="43"/>
      <c r="K14" s="43"/>
      <c r="L14" s="43"/>
      <c r="M14" s="43"/>
      <c r="N14" s="43"/>
      <c r="O14" s="102"/>
    </row>
    <row r="15" spans="1:23">
      <c r="B15" s="40" t="s">
        <v>420</v>
      </c>
      <c r="C15" s="42"/>
      <c r="D15" s="42"/>
      <c r="E15" s="42"/>
      <c r="H15" s="43"/>
      <c r="I15" s="43"/>
      <c r="J15" s="43"/>
      <c r="K15" s="43"/>
      <c r="L15" s="43"/>
      <c r="M15" s="43"/>
      <c r="N15" s="43"/>
      <c r="O15" s="102"/>
    </row>
    <row r="16" spans="1:23">
      <c r="C16" s="42"/>
      <c r="D16" s="42"/>
      <c r="E16" s="42"/>
      <c r="H16" s="43"/>
      <c r="I16" s="43"/>
      <c r="J16" s="43"/>
      <c r="K16" s="43"/>
      <c r="L16" s="43"/>
      <c r="M16" s="43"/>
      <c r="N16" s="43"/>
      <c r="O16" s="102"/>
    </row>
    <row r="17" spans="1:15">
      <c r="A17" s="40" t="s">
        <v>425</v>
      </c>
      <c r="C17" s="42"/>
      <c r="D17" s="42"/>
      <c r="E17" s="42"/>
      <c r="H17" s="43"/>
      <c r="I17" s="43"/>
      <c r="J17" s="43"/>
      <c r="K17" s="43"/>
      <c r="L17" s="43"/>
      <c r="M17" s="43"/>
      <c r="N17" s="43"/>
      <c r="O17" s="102"/>
    </row>
    <row r="18" spans="1:15">
      <c r="B18" s="45" t="s">
        <v>85</v>
      </c>
      <c r="C18" s="42"/>
      <c r="D18" s="42"/>
      <c r="E18" s="42"/>
      <c r="H18" s="43"/>
      <c r="J18" s="43"/>
      <c r="K18" s="43"/>
      <c r="L18" s="43"/>
      <c r="M18" s="43"/>
      <c r="N18" s="43"/>
      <c r="O18" s="102"/>
    </row>
    <row r="19" spans="1:15">
      <c r="C19" s="42"/>
      <c r="D19" s="42"/>
      <c r="E19" s="42"/>
      <c r="H19" s="43"/>
      <c r="J19" s="43"/>
      <c r="K19" s="43"/>
      <c r="L19" s="43"/>
      <c r="M19" s="43"/>
      <c r="N19" s="43"/>
      <c r="O19" s="102"/>
    </row>
    <row r="20" spans="1:15">
      <c r="C20" s="110" t="s">
        <v>431</v>
      </c>
      <c r="D20" s="110"/>
      <c r="E20" s="110"/>
      <c r="F20" s="110"/>
      <c r="H20" s="43"/>
      <c r="J20" s="43"/>
      <c r="K20" s="43"/>
      <c r="L20" s="43"/>
      <c r="M20" s="43"/>
      <c r="N20" s="43"/>
      <c r="O20" s="102"/>
    </row>
    <row r="21" spans="1:15">
      <c r="A21" s="40" t="s">
        <v>419</v>
      </c>
      <c r="C21" s="42"/>
      <c r="D21" s="42"/>
      <c r="E21" s="42"/>
      <c r="H21" s="43"/>
      <c r="J21" s="43"/>
      <c r="K21" s="43"/>
      <c r="L21" s="43"/>
      <c r="M21" s="43"/>
      <c r="N21" s="43"/>
      <c r="O21" s="102"/>
    </row>
    <row r="22" spans="1:15">
      <c r="B22" s="40" t="s">
        <v>414</v>
      </c>
      <c r="C22" s="42"/>
      <c r="D22" s="42"/>
      <c r="E22" s="42"/>
      <c r="H22" s="43"/>
      <c r="J22" s="43"/>
      <c r="K22" s="43"/>
      <c r="L22" s="43"/>
      <c r="M22" s="43"/>
      <c r="N22" s="43"/>
      <c r="O22" s="102"/>
    </row>
    <row r="23" spans="1:15">
      <c r="C23" s="40" t="s">
        <v>76</v>
      </c>
      <c r="D23" s="42"/>
      <c r="E23" s="42"/>
      <c r="H23" s="43"/>
      <c r="J23" s="43"/>
      <c r="K23" s="43"/>
      <c r="L23" s="43"/>
      <c r="M23" s="43"/>
      <c r="N23" s="43"/>
      <c r="O23" s="102"/>
    </row>
    <row r="24" spans="1:15">
      <c r="B24" s="40" t="s">
        <v>415</v>
      </c>
      <c r="C24" s="42"/>
      <c r="D24" s="42"/>
      <c r="E24" s="42"/>
      <c r="H24" s="43"/>
      <c r="J24" s="43"/>
      <c r="K24" s="43"/>
      <c r="L24" s="43"/>
      <c r="M24" s="43"/>
      <c r="N24" s="43"/>
      <c r="O24" s="102"/>
    </row>
    <row r="25" spans="1:15">
      <c r="B25" s="40" t="s">
        <v>417</v>
      </c>
      <c r="C25" s="42"/>
      <c r="D25" s="42"/>
      <c r="E25" s="42"/>
      <c r="H25" s="43"/>
      <c r="J25" s="43"/>
      <c r="K25" s="43"/>
      <c r="L25" s="43"/>
      <c r="M25" s="43"/>
      <c r="N25" s="43"/>
      <c r="O25" s="102"/>
    </row>
    <row r="26" spans="1:15">
      <c r="B26" s="40" t="s">
        <v>434</v>
      </c>
      <c r="D26" s="42"/>
      <c r="E26" s="42"/>
      <c r="H26" s="43"/>
      <c r="J26" s="43"/>
      <c r="K26" s="43"/>
      <c r="L26" s="43"/>
      <c r="M26" s="43"/>
      <c r="N26" s="43"/>
      <c r="O26" s="102"/>
    </row>
    <row r="27" spans="1:15">
      <c r="C27" s="42"/>
      <c r="D27" s="42"/>
      <c r="E27" s="42"/>
      <c r="H27" s="43"/>
      <c r="J27" s="43"/>
      <c r="K27" s="43"/>
      <c r="L27" s="43"/>
      <c r="M27" s="43"/>
      <c r="N27" s="43"/>
      <c r="O27" s="102"/>
    </row>
    <row r="28" spans="1:15">
      <c r="A28" s="40" t="s">
        <v>418</v>
      </c>
      <c r="C28" s="42"/>
      <c r="D28" s="42"/>
      <c r="E28" s="42"/>
      <c r="H28" s="43"/>
      <c r="J28" s="43"/>
      <c r="K28" s="43"/>
      <c r="L28" s="43"/>
      <c r="M28" s="43"/>
      <c r="N28" s="43"/>
      <c r="O28" s="102"/>
    </row>
    <row r="29" spans="1:15">
      <c r="B29" s="40" t="s">
        <v>416</v>
      </c>
      <c r="C29" s="42"/>
      <c r="D29" s="42"/>
      <c r="E29" s="42"/>
      <c r="H29" s="43"/>
      <c r="J29" s="43"/>
      <c r="K29" s="43"/>
      <c r="L29" s="43"/>
      <c r="M29" s="43"/>
      <c r="N29" s="43"/>
      <c r="O29" s="102"/>
    </row>
    <row r="30" spans="1:15">
      <c r="C30" s="42"/>
      <c r="D30" s="42"/>
      <c r="E30" s="42"/>
      <c r="H30" s="43"/>
      <c r="J30" s="43"/>
      <c r="K30" s="43"/>
      <c r="L30" s="43"/>
      <c r="M30" s="43"/>
      <c r="N30" s="43"/>
      <c r="O30" s="102"/>
    </row>
    <row r="31" spans="1:15">
      <c r="A31" s="40" t="s">
        <v>140</v>
      </c>
      <c r="C31" s="42"/>
      <c r="D31" s="42"/>
      <c r="E31" s="42"/>
      <c r="H31" s="43"/>
      <c r="J31" s="43"/>
      <c r="K31" s="43"/>
      <c r="L31" s="43"/>
      <c r="M31" s="43"/>
      <c r="N31" s="43"/>
      <c r="O31" s="102"/>
    </row>
    <row r="32" spans="1:15">
      <c r="B32" s="40" t="s">
        <v>141</v>
      </c>
      <c r="H32" s="43"/>
      <c r="J32" s="43"/>
      <c r="K32" s="43"/>
      <c r="L32" s="43"/>
      <c r="M32" s="43"/>
      <c r="N32" s="43"/>
      <c r="O32" s="102"/>
    </row>
    <row r="33" spans="1:15">
      <c r="B33" s="40" t="s">
        <v>104</v>
      </c>
      <c r="H33" s="43"/>
      <c r="J33" s="43"/>
      <c r="K33" s="43"/>
      <c r="L33" s="43"/>
      <c r="M33" s="43"/>
      <c r="N33" s="43"/>
      <c r="O33" s="102"/>
    </row>
    <row r="34" spans="1:15">
      <c r="B34" s="40" t="s">
        <v>142</v>
      </c>
      <c r="H34" s="43"/>
      <c r="J34" s="43"/>
      <c r="K34" s="43"/>
      <c r="L34" s="43"/>
      <c r="M34" s="43"/>
      <c r="N34" s="43"/>
      <c r="O34" s="102"/>
    </row>
    <row r="35" spans="1:15">
      <c r="B35" s="40" t="s">
        <v>105</v>
      </c>
      <c r="H35" s="43"/>
      <c r="J35" s="43"/>
      <c r="K35" s="43"/>
      <c r="L35" s="43"/>
      <c r="M35" s="43"/>
      <c r="N35" s="43"/>
      <c r="O35" s="102"/>
    </row>
    <row r="36" spans="1:15">
      <c r="H36" s="43"/>
      <c r="J36" s="43"/>
      <c r="K36" s="43"/>
      <c r="L36" s="43"/>
      <c r="M36" s="43"/>
      <c r="N36" s="43"/>
      <c r="O36" s="102"/>
    </row>
    <row r="37" spans="1:15">
      <c r="A37" s="40" t="s">
        <v>335</v>
      </c>
      <c r="H37" s="43"/>
      <c r="J37" s="43"/>
      <c r="K37" s="43"/>
      <c r="L37" s="43"/>
      <c r="M37" s="43"/>
      <c r="N37" s="43"/>
      <c r="O37" s="102"/>
    </row>
    <row r="38" spans="1:15">
      <c r="A38" s="40" t="s">
        <v>336</v>
      </c>
      <c r="F38" s="43" t="s">
        <v>73</v>
      </c>
      <c r="G38" s="43"/>
      <c r="H38" s="43"/>
      <c r="J38" s="43"/>
      <c r="K38" s="43"/>
      <c r="L38" s="43"/>
      <c r="M38" s="43"/>
      <c r="N38" s="43"/>
      <c r="O38" s="102"/>
    </row>
    <row r="39" spans="1:15">
      <c r="A39" s="113" t="s">
        <v>103</v>
      </c>
      <c r="H39" s="43"/>
      <c r="J39" s="43"/>
      <c r="K39" s="43"/>
      <c r="L39" s="43"/>
      <c r="M39" s="43"/>
      <c r="N39" s="43"/>
      <c r="O39" s="102"/>
    </row>
    <row r="40" spans="1:15">
      <c r="A40" s="113"/>
      <c r="H40" s="43"/>
      <c r="J40" s="43"/>
      <c r="K40" s="43"/>
      <c r="L40" s="43"/>
      <c r="M40" s="43"/>
      <c r="N40" s="43"/>
      <c r="O40" s="102"/>
    </row>
    <row r="41" spans="1:15">
      <c r="B41" s="45" t="s">
        <v>85</v>
      </c>
      <c r="H41" s="43"/>
      <c r="J41" s="43"/>
      <c r="O41" s="40"/>
    </row>
    <row r="42" spans="1:15">
      <c r="H42" s="43"/>
      <c r="J42" s="43"/>
      <c r="O42" s="40"/>
    </row>
    <row r="43" spans="1:15">
      <c r="H43" s="43"/>
      <c r="J43" s="43"/>
      <c r="O43" s="40"/>
    </row>
    <row r="44" spans="1:15">
      <c r="H44" s="43"/>
      <c r="J44" s="43"/>
      <c r="O44" s="40"/>
    </row>
    <row r="45" spans="1:15">
      <c r="H45" s="43"/>
      <c r="J45" s="43"/>
      <c r="O45" s="40"/>
    </row>
  </sheetData>
  <hyperlinks>
    <hyperlink ref="G7" r:id="rId1" xr:uid="{00000000-0004-0000-0100-000000000000}"/>
    <hyperlink ref="G7:N7" r:id="rId2" display="https://www.amazon.com/Capital-Twenty-First-Century-Thomas-Piketty/dp/1491591617" xr:uid="{00000000-0004-0000-0100-000001000000}"/>
    <hyperlink ref="G5:J5" r:id="rId3" display="http://www.depauw.edu/learn/econexcel/" xr:uid="{00000000-0004-0000-0100-000002000000}"/>
    <hyperlink ref="F38" r:id="rId4" xr:uid="{00000000-0004-0000-0100-000003000000}"/>
    <hyperlink ref="F38:H38" r:id="rId5" display="hbarreto@depauw,edu" xr:uid="{00000000-0004-0000-0100-000004000000}"/>
    <hyperlink ref="G4" r:id="rId6" xr:uid="{00000000-0004-0000-0100-000005000000}"/>
    <hyperlink ref="G4:I4" r:id="rId7" display="hbarreto@depauw,edu" xr:uid="{00000000-0004-0000-0100-000006000000}"/>
    <hyperlink ref="C20:F20" r:id="rId8" display="https://player.vimeo.com/video/238782395" xr:uid="{70F05FDA-390B-47AC-B049-EF1908E454EA}"/>
  </hyperlinks>
  <pageMargins left="0.7" right="0.7" top="0.75" bottom="0.75" header="0.3" footer="0.3"/>
  <pageSetup orientation="portrait" horizontalDpi="360" verticalDpi="360" r:id="rId9"/>
  <drawing r:id="rId10"/>
  <legacyDrawing r:id="rId11"/>
  <mc:AlternateContent xmlns:mc="http://schemas.openxmlformats.org/markup-compatibility/2006">
    <mc:Choice Requires="x14">
      <controls>
        <mc:AlternateContent xmlns:mc="http://schemas.openxmlformats.org/markup-compatibility/2006">
          <mc:Choice Requires="x14">
            <control shapeId="18433" r:id="rId12" name="Button 1">
              <controlPr defaultSize="0" print="0" autoFill="0" autoPict="0" macro="[0]!showformpikettyprob">
                <anchor moveWithCells="1" sizeWithCells="1">
                  <from>
                    <xdr:col>2</xdr:col>
                    <xdr:colOff>0</xdr:colOff>
                    <xdr:row>17</xdr:row>
                    <xdr:rowOff>38100</xdr:rowOff>
                  </from>
                  <to>
                    <xdr:col>4</xdr:col>
                    <xdr:colOff>0</xdr:colOff>
                    <xdr:row>18</xdr:row>
                    <xdr:rowOff>129540</xdr:rowOff>
                  </to>
                </anchor>
              </controlPr>
            </control>
          </mc:Choice>
        </mc:AlternateContent>
        <mc:AlternateContent xmlns:mc="http://schemas.openxmlformats.org/markup-compatibility/2006">
          <mc:Choice Requires="x14">
            <control shapeId="18434" r:id="rId13" name="Button 2">
              <controlPr defaultSize="0" print="0" autoFill="0" autoPict="0" macro="[0]!showDefinitions">
                <anchor moveWithCells="1" sizeWithCells="1">
                  <from>
                    <xdr:col>2</xdr:col>
                    <xdr:colOff>0</xdr:colOff>
                    <xdr:row>40</xdr:row>
                    <xdr:rowOff>0</xdr:rowOff>
                  </from>
                  <to>
                    <xdr:col>2</xdr:col>
                    <xdr:colOff>518160</xdr:colOff>
                    <xdr:row>41</xdr:row>
                    <xdr:rowOff>91440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M47"/>
  <sheetViews>
    <sheetView showGridLines="0" topLeftCell="A22" workbookViewId="0">
      <selection activeCell="A3" sqref="A3"/>
    </sheetView>
  </sheetViews>
  <sheetFormatPr defaultColWidth="8.77734375" defaultRowHeight="14.4"/>
  <cols>
    <col min="1" max="1" width="10" style="40" customWidth="1"/>
    <col min="2" max="16384" width="8.77734375" style="40"/>
  </cols>
  <sheetData>
    <row r="1" spans="1:3">
      <c r="A1" s="104" t="s">
        <v>144</v>
      </c>
      <c r="B1" s="40" t="s">
        <v>88</v>
      </c>
    </row>
    <row r="2" spans="1:3" ht="15" thickBot="1">
      <c r="A2" s="105" t="s">
        <v>145</v>
      </c>
    </row>
    <row r="3" spans="1:3">
      <c r="B3" s="40" t="s">
        <v>81</v>
      </c>
    </row>
    <row r="4" spans="1:3">
      <c r="B4" s="40" t="s">
        <v>84</v>
      </c>
    </row>
    <row r="6" spans="1:3">
      <c r="B6" s="40" t="s">
        <v>82</v>
      </c>
    </row>
    <row r="7" spans="1:3">
      <c r="C7" s="40" t="s">
        <v>38</v>
      </c>
    </row>
    <row r="8" spans="1:3">
      <c r="C8" s="40" t="s">
        <v>40</v>
      </c>
    </row>
    <row r="10" spans="1:3">
      <c r="B10" s="40" t="s">
        <v>39</v>
      </c>
    </row>
    <row r="11" spans="1:3">
      <c r="C11" s="40" t="s">
        <v>83</v>
      </c>
    </row>
    <row r="12" spans="1:3">
      <c r="C12" s="40" t="s">
        <v>407</v>
      </c>
    </row>
    <row r="14" spans="1:3">
      <c r="B14" s="45" t="s">
        <v>85</v>
      </c>
    </row>
    <row r="29" spans="2:3">
      <c r="B29" s="40" t="s">
        <v>89</v>
      </c>
    </row>
    <row r="30" spans="2:3">
      <c r="C30" s="40" t="s">
        <v>92</v>
      </c>
    </row>
    <row r="32" spans="2:3">
      <c r="B32" s="40" t="s">
        <v>93</v>
      </c>
    </row>
    <row r="33" spans="1:13">
      <c r="C33" s="40" t="s">
        <v>94</v>
      </c>
    </row>
    <row r="35" spans="1:13">
      <c r="B35" s="40" t="s">
        <v>90</v>
      </c>
    </row>
    <row r="36" spans="1:13">
      <c r="C36" s="40" t="s">
        <v>200</v>
      </c>
    </row>
    <row r="38" spans="1:13">
      <c r="B38" s="40" t="s">
        <v>408</v>
      </c>
    </row>
    <row r="40" spans="1:13">
      <c r="B40" s="40" t="s">
        <v>86</v>
      </c>
    </row>
    <row r="41" spans="1:13">
      <c r="M41" s="40" t="s">
        <v>87</v>
      </c>
    </row>
    <row r="43" spans="1:13">
      <c r="A43" s="112" t="s">
        <v>143</v>
      </c>
      <c r="B43" s="40" t="s">
        <v>114</v>
      </c>
    </row>
    <row r="44" spans="1:13">
      <c r="C44" s="40" t="s">
        <v>170</v>
      </c>
    </row>
    <row r="45" spans="1:13">
      <c r="C45" s="40" t="s">
        <v>91</v>
      </c>
    </row>
    <row r="47" spans="1:13">
      <c r="B47" s="45" t="s">
        <v>85</v>
      </c>
    </row>
  </sheetData>
  <pageMargins left="0.7" right="0.7" top="0.75" bottom="0.75" header="0.3" footer="0.3"/>
  <pageSetup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20483" r:id="rId4" name="Button 3">
              <controlPr defaultSize="0" print="0" autoFill="0" autoPict="0" macro="[0]!showCapital">
                <anchor moveWithCells="1" sizeWithCells="1">
                  <from>
                    <xdr:col>2</xdr:col>
                    <xdr:colOff>0</xdr:colOff>
                    <xdr:row>13</xdr:row>
                    <xdr:rowOff>0</xdr:rowOff>
                  </from>
                  <to>
                    <xdr:col>2</xdr:col>
                    <xdr:colOff>518160</xdr:colOff>
                    <xdr:row>14</xdr:row>
                    <xdr:rowOff>91440</xdr:rowOff>
                  </to>
                </anchor>
              </controlPr>
            </control>
          </mc:Choice>
        </mc:AlternateContent>
        <mc:AlternateContent xmlns:mc="http://schemas.openxmlformats.org/markup-compatibility/2006">
          <mc:Choice Requires="x14">
            <control shapeId="20485" r:id="rId5" name="Button 5">
              <controlPr defaultSize="0" print="0" autoFill="0" autoPict="0" macro="[0]!showData">
                <anchor moveWithCells="1" sizeWithCells="1">
                  <from>
                    <xdr:col>2</xdr:col>
                    <xdr:colOff>0</xdr:colOff>
                    <xdr:row>46</xdr:row>
                    <xdr:rowOff>0</xdr:rowOff>
                  </from>
                  <to>
                    <xdr:col>2</xdr:col>
                    <xdr:colOff>518160</xdr:colOff>
                    <xdr:row>47</xdr:row>
                    <xdr:rowOff>91440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Q173"/>
  <sheetViews>
    <sheetView showGridLines="0" topLeftCell="A145" zoomScaleNormal="100" workbookViewId="0">
      <selection activeCell="F135" sqref="F135"/>
    </sheetView>
  </sheetViews>
  <sheetFormatPr defaultColWidth="8.77734375" defaultRowHeight="14.4"/>
  <cols>
    <col min="1" max="1" width="12.21875" style="40" customWidth="1"/>
    <col min="2" max="17" width="8.77734375" style="40"/>
    <col min="18" max="18" width="11.21875" style="40" customWidth="1"/>
    <col min="19" max="19" width="22.21875" style="40" customWidth="1"/>
    <col min="20" max="38" width="8.77734375" style="40"/>
    <col min="39" max="41" width="13.21875" style="40" customWidth="1"/>
    <col min="42" max="16384" width="8.77734375" style="40"/>
  </cols>
  <sheetData>
    <row r="1" spans="1:38" ht="15" thickBot="1">
      <c r="A1" s="111" t="s">
        <v>139</v>
      </c>
      <c r="B1" s="40" t="s">
        <v>96</v>
      </c>
    </row>
    <row r="2" spans="1:38">
      <c r="C2" s="40" t="s">
        <v>97</v>
      </c>
    </row>
    <row r="3" spans="1:38">
      <c r="C3" s="40" t="s">
        <v>118</v>
      </c>
    </row>
    <row r="4" spans="1:38" ht="15" thickBot="1"/>
    <row r="5" spans="1:38">
      <c r="A5" s="104" t="s">
        <v>119</v>
      </c>
      <c r="B5" s="40" t="s">
        <v>115</v>
      </c>
      <c r="AL5" s="40" t="s">
        <v>409</v>
      </c>
    </row>
    <row r="6" spans="1:38" ht="15" thickBot="1">
      <c r="A6" s="105" t="s">
        <v>120</v>
      </c>
      <c r="AL6" s="40" t="s">
        <v>410</v>
      </c>
    </row>
    <row r="7" spans="1:38">
      <c r="B7" s="40" t="s">
        <v>116</v>
      </c>
    </row>
    <row r="8" spans="1:38">
      <c r="B8" s="40" t="s">
        <v>426</v>
      </c>
    </row>
    <row r="9" spans="1:38">
      <c r="B9" s="40" t="s">
        <v>427</v>
      </c>
    </row>
    <row r="10" spans="1:38">
      <c r="B10" s="40" t="s">
        <v>106</v>
      </c>
    </row>
    <row r="11" spans="1:38">
      <c r="B11" s="40" t="s">
        <v>102</v>
      </c>
    </row>
    <row r="12" spans="1:38">
      <c r="B12" s="40" t="s">
        <v>117</v>
      </c>
    </row>
    <row r="14" spans="1:38">
      <c r="B14" s="40" t="s">
        <v>107</v>
      </c>
    </row>
    <row r="15" spans="1:38" ht="19.5" customHeight="1">
      <c r="C15" s="188" t="s">
        <v>100</v>
      </c>
    </row>
    <row r="16" spans="1:38">
      <c r="B16" s="45" t="s">
        <v>101</v>
      </c>
    </row>
    <row r="17" spans="3:18">
      <c r="C17" s="44">
        <v>4</v>
      </c>
    </row>
    <row r="19" spans="3:18">
      <c r="E19" s="45" t="s">
        <v>101</v>
      </c>
      <c r="F19" s="40" t="s">
        <v>421</v>
      </c>
    </row>
    <row r="20" spans="3:18">
      <c r="F20" s="40" t="s">
        <v>422</v>
      </c>
      <c r="H20" s="45" t="s">
        <v>85</v>
      </c>
      <c r="K20" s="110" t="s">
        <v>432</v>
      </c>
      <c r="L20" s="110"/>
      <c r="M20" s="110"/>
      <c r="N20" s="110"/>
      <c r="O20" s="110"/>
      <c r="P20" s="110"/>
    </row>
    <row r="21" spans="3:18">
      <c r="K21" s="40" t="s">
        <v>433</v>
      </c>
    </row>
    <row r="22" spans="3:18" ht="15" thickBot="1">
      <c r="L22" s="40" t="s">
        <v>110</v>
      </c>
    </row>
    <row r="23" spans="3:18" ht="15" thickBot="1">
      <c r="L23" s="46" t="s">
        <v>1</v>
      </c>
      <c r="M23" s="47" t="s">
        <v>48</v>
      </c>
      <c r="N23" s="48" t="s">
        <v>49</v>
      </c>
      <c r="O23" s="48" t="s">
        <v>50</v>
      </c>
      <c r="P23" s="48" t="s">
        <v>51</v>
      </c>
      <c r="Q23" s="49" t="s">
        <v>52</v>
      </c>
    </row>
    <row r="24" spans="3:18">
      <c r="L24" s="50">
        <v>1870</v>
      </c>
      <c r="M24" s="51">
        <v>4.4272347386605411</v>
      </c>
      <c r="N24" s="52">
        <v>7.1081706544875507</v>
      </c>
      <c r="O24" s="53">
        <v>7.1888489745130437</v>
      </c>
      <c r="P24" s="54">
        <v>6.7203658180781707</v>
      </c>
      <c r="Q24" s="55">
        <v>7.0057951490262553</v>
      </c>
      <c r="R24" s="103"/>
    </row>
    <row r="25" spans="3:18">
      <c r="L25" s="50">
        <v>1880</v>
      </c>
      <c r="M25" s="51">
        <v>4.5184487694187192</v>
      </c>
      <c r="N25" s="52">
        <v>6.9331387170014702</v>
      </c>
      <c r="O25" s="53">
        <v>6.9503778149428079</v>
      </c>
      <c r="P25" s="54">
        <v>6.7568649753977565</v>
      </c>
      <c r="Q25" s="55">
        <v>6.8801271691140116</v>
      </c>
      <c r="R25" s="103"/>
    </row>
    <row r="26" spans="3:18">
      <c r="L26" s="50">
        <v>1890</v>
      </c>
      <c r="M26" s="51">
        <v>5.0521643664216001</v>
      </c>
      <c r="N26" s="52">
        <v>6.2566424612646321</v>
      </c>
      <c r="O26" s="53">
        <v>6.9503778149428079</v>
      </c>
      <c r="P26" s="54">
        <v>6.7568649753977565</v>
      </c>
      <c r="Q26" s="55">
        <v>6.6546284172017325</v>
      </c>
    </row>
    <row r="27" spans="3:18">
      <c r="L27" s="50">
        <v>1900</v>
      </c>
      <c r="M27" s="51">
        <v>4.7503513406101217</v>
      </c>
      <c r="N27" s="52">
        <v>6.4845256703166019</v>
      </c>
      <c r="O27" s="53">
        <v>6.9503778149428079</v>
      </c>
      <c r="P27" s="54">
        <v>6.7568649753977565</v>
      </c>
      <c r="Q27" s="55">
        <v>6.7305894868857221</v>
      </c>
    </row>
    <row r="28" spans="3:18">
      <c r="L28" s="50">
        <v>1910</v>
      </c>
      <c r="M28" s="51">
        <v>4.746976882929677</v>
      </c>
      <c r="N28" s="52">
        <v>6.4176985611497104</v>
      </c>
      <c r="O28" s="53">
        <v>6.7119066553725721</v>
      </c>
      <c r="P28" s="54">
        <v>6.7933641327173424</v>
      </c>
      <c r="Q28" s="55">
        <v>6.640989783079875</v>
      </c>
    </row>
    <row r="29" spans="3:18">
      <c r="L29" s="50">
        <v>1920</v>
      </c>
      <c r="M29" s="51">
        <v>4.3436609547792333</v>
      </c>
      <c r="N29" s="52">
        <v>3.5467568290874611</v>
      </c>
      <c r="O29" s="53">
        <v>2.9067217293956675</v>
      </c>
      <c r="P29" s="54">
        <v>2.8771730734861838</v>
      </c>
      <c r="Q29" s="55">
        <v>3.1102172106564372</v>
      </c>
    </row>
    <row r="30" spans="3:18">
      <c r="L30" s="50">
        <v>1930</v>
      </c>
      <c r="M30" s="51">
        <v>5.3660348478623128</v>
      </c>
      <c r="N30" s="52">
        <v>3.7901945250413727</v>
      </c>
      <c r="O30" s="53">
        <v>3.8420959553881837</v>
      </c>
      <c r="P30" s="56">
        <v>3.6118826494158212</v>
      </c>
      <c r="Q30" s="55">
        <v>3.7480577099484598</v>
      </c>
    </row>
    <row r="31" spans="3:18">
      <c r="L31" s="50">
        <v>1940</v>
      </c>
      <c r="M31" s="51">
        <v>3.5027993542478577</v>
      </c>
      <c r="N31" s="52">
        <v>2.8686496043480214</v>
      </c>
      <c r="O31" s="53">
        <v>2.8420959553881837</v>
      </c>
      <c r="P31" s="56">
        <v>2.6118826494158212</v>
      </c>
      <c r="Q31" s="55">
        <v>2.774209403050675</v>
      </c>
    </row>
    <row r="32" spans="3:18">
      <c r="L32" s="50">
        <v>1950</v>
      </c>
      <c r="M32" s="51">
        <v>3.8449814897586494</v>
      </c>
      <c r="N32" s="52">
        <v>2.3338421076734823</v>
      </c>
      <c r="O32" s="53">
        <v>2.7774701813806999</v>
      </c>
      <c r="P32" s="54">
        <v>2.3465922253454585</v>
      </c>
      <c r="Q32" s="55">
        <v>2.4859681714665469</v>
      </c>
    </row>
    <row r="33" spans="2:17">
      <c r="L33" s="50">
        <v>1960</v>
      </c>
      <c r="M33" s="51">
        <v>4.0909364582455172</v>
      </c>
      <c r="N33" s="52">
        <v>2.9729511961228514</v>
      </c>
      <c r="O33" s="53">
        <v>3.2044386481041034</v>
      </c>
      <c r="P33" s="56">
        <v>2.8387933008817763</v>
      </c>
      <c r="Q33" s="55">
        <v>3.0053943817029101</v>
      </c>
    </row>
    <row r="34" spans="2:17">
      <c r="L34" s="50">
        <v>1970</v>
      </c>
      <c r="M34" s="51">
        <v>4.0014725114387248</v>
      </c>
      <c r="N34" s="52">
        <v>3.1333951636697979</v>
      </c>
      <c r="O34" s="53">
        <v>3.6314071148275064</v>
      </c>
      <c r="P34" s="54">
        <v>3.330994376418094</v>
      </c>
      <c r="Q34" s="55">
        <v>3.2224407516040845</v>
      </c>
    </row>
    <row r="35" spans="2:17">
      <c r="L35" s="50">
        <v>1980</v>
      </c>
      <c r="M35" s="51">
        <v>4.1750808350237971</v>
      </c>
      <c r="N35" s="52">
        <v>3.527987610585547</v>
      </c>
      <c r="O35" s="53">
        <v>3.6549359078189552</v>
      </c>
      <c r="P35" s="56">
        <v>3.9768982852320516</v>
      </c>
      <c r="Q35" s="55">
        <v>3.7132925237293679</v>
      </c>
    </row>
    <row r="36" spans="2:17">
      <c r="L36" s="50">
        <v>1990</v>
      </c>
      <c r="M36" s="51">
        <v>4.1897823346393901</v>
      </c>
      <c r="N36" s="52">
        <v>3.5511652567347562</v>
      </c>
      <c r="O36" s="53">
        <v>3.6784647008104043</v>
      </c>
      <c r="P36" s="54">
        <v>4.6228021940460087</v>
      </c>
      <c r="Q36" s="55">
        <v>4.2811873608616722</v>
      </c>
    </row>
    <row r="37" spans="2:17">
      <c r="L37" s="50">
        <v>2000</v>
      </c>
      <c r="M37" s="51">
        <v>4.9205117496859803</v>
      </c>
      <c r="N37" s="52">
        <v>3.875167699867097</v>
      </c>
      <c r="O37" s="53">
        <v>5.0253115465697089</v>
      </c>
      <c r="P37" s="56">
        <v>4.9241752340343581</v>
      </c>
      <c r="Q37" s="55">
        <v>4.9904712456083136</v>
      </c>
    </row>
    <row r="38" spans="2:17" ht="15" thickBot="1">
      <c r="L38" s="57">
        <v>2010</v>
      </c>
      <c r="M38" s="58">
        <v>4.3075769382874594</v>
      </c>
      <c r="N38" s="59">
        <v>4.1430634981151604</v>
      </c>
      <c r="O38" s="60">
        <v>6.0538712541943536</v>
      </c>
      <c r="P38" s="61">
        <v>5.2255482740227075</v>
      </c>
      <c r="Q38" s="62">
        <v>5.5337456325422538</v>
      </c>
    </row>
    <row r="39" spans="2:17" ht="15" thickTop="1">
      <c r="L39" s="40" t="s">
        <v>109</v>
      </c>
      <c r="M39" s="43" t="s">
        <v>108</v>
      </c>
      <c r="N39" s="43"/>
      <c r="O39" s="43"/>
      <c r="P39" s="43"/>
    </row>
    <row r="41" spans="2:17">
      <c r="B41" s="45"/>
      <c r="J41"/>
      <c r="K41"/>
      <c r="L41"/>
      <c r="M41"/>
      <c r="N41"/>
      <c r="O41"/>
    </row>
    <row r="42" spans="2:17">
      <c r="B42" s="40" t="s">
        <v>111</v>
      </c>
    </row>
    <row r="43" spans="2:17">
      <c r="B43" s="40" t="s">
        <v>112</v>
      </c>
    </row>
    <row r="44" spans="2:17">
      <c r="B44" s="40" t="s">
        <v>113</v>
      </c>
    </row>
    <row r="46" spans="2:17">
      <c r="B46" s="40" t="s">
        <v>171</v>
      </c>
    </row>
    <row r="47" spans="2:17">
      <c r="B47" s="40" t="s">
        <v>122</v>
      </c>
    </row>
    <row r="49" spans="1:43">
      <c r="A49" s="112" t="s">
        <v>136</v>
      </c>
      <c r="B49" s="40" t="s">
        <v>123</v>
      </c>
    </row>
    <row r="51" spans="1:43" ht="15" thickBot="1"/>
    <row r="52" spans="1:43">
      <c r="A52" s="104" t="s">
        <v>135</v>
      </c>
      <c r="B52" s="40" t="s">
        <v>121</v>
      </c>
    </row>
    <row r="53" spans="1:43" ht="15" thickBot="1">
      <c r="A53" s="105" t="s">
        <v>65</v>
      </c>
      <c r="B53" s="40" t="s">
        <v>126</v>
      </c>
    </row>
    <row r="54" spans="1:43">
      <c r="B54" s="40" t="s">
        <v>172</v>
      </c>
    </row>
    <row r="56" spans="1:43">
      <c r="B56" s="40" t="s">
        <v>124</v>
      </c>
    </row>
    <row r="57" spans="1:43">
      <c r="C57" s="40" t="s">
        <v>125</v>
      </c>
      <c r="T57" s="40" t="s">
        <v>109</v>
      </c>
      <c r="U57" s="43" t="s">
        <v>108</v>
      </c>
      <c r="V57" s="43"/>
      <c r="W57" s="43"/>
      <c r="X57" s="43"/>
      <c r="AC57" s="106" t="s">
        <v>129</v>
      </c>
      <c r="AD57" s="106"/>
      <c r="AE57" s="106"/>
      <c r="AF57" s="106"/>
      <c r="AG57" s="106"/>
      <c r="AH57" s="106"/>
    </row>
    <row r="58" spans="1:43">
      <c r="C58" s="40" t="s">
        <v>127</v>
      </c>
      <c r="T58" s="40" t="s">
        <v>71</v>
      </c>
    </row>
    <row r="59" spans="1:43">
      <c r="C59" s="40" t="s">
        <v>128</v>
      </c>
      <c r="T59" s="40" t="s">
        <v>68</v>
      </c>
      <c r="Y59" s="40" t="s">
        <v>58</v>
      </c>
      <c r="AG59" s="40" t="s">
        <v>64</v>
      </c>
    </row>
    <row r="60" spans="1:43" ht="58.2" thickBot="1">
      <c r="L60" s="40">
        <v>3</v>
      </c>
      <c r="N60" s="40">
        <v>1</v>
      </c>
      <c r="T60" s="63"/>
      <c r="U60" s="64" t="s">
        <v>65</v>
      </c>
      <c r="V60" s="65" t="s">
        <v>66</v>
      </c>
      <c r="W60" s="66" t="s">
        <v>67</v>
      </c>
      <c r="Y60" s="63"/>
      <c r="Z60" s="67" t="s">
        <v>55</v>
      </c>
      <c r="AA60" s="68" t="s">
        <v>56</v>
      </c>
      <c r="AB60" s="68" t="s">
        <v>57</v>
      </c>
      <c r="AC60" s="107" t="s">
        <v>53</v>
      </c>
      <c r="AD60" s="108" t="s">
        <v>54</v>
      </c>
      <c r="AG60" s="63"/>
      <c r="AH60" s="67" t="s">
        <v>55</v>
      </c>
      <c r="AI60" s="107" t="s">
        <v>59</v>
      </c>
      <c r="AJ60" s="107" t="s">
        <v>60</v>
      </c>
      <c r="AK60" s="68" t="s">
        <v>56</v>
      </c>
      <c r="AL60" s="68" t="s">
        <v>57</v>
      </c>
      <c r="AM60" s="109" t="s">
        <v>61</v>
      </c>
      <c r="AN60" s="107" t="s">
        <v>62</v>
      </c>
      <c r="AO60" s="108" t="s">
        <v>63</v>
      </c>
      <c r="AP60" s="107" t="s">
        <v>53</v>
      </c>
      <c r="AQ60" s="108" t="s">
        <v>54</v>
      </c>
    </row>
    <row r="61" spans="1:43" ht="15" thickTop="1">
      <c r="T61" s="69">
        <v>1900</v>
      </c>
      <c r="U61" s="70">
        <v>0.47075372340425531</v>
      </c>
      <c r="V61" s="71">
        <v>0.21893033472803347</v>
      </c>
      <c r="W61" s="72">
        <v>0.11075000000000002</v>
      </c>
      <c r="Y61" s="69">
        <v>1900</v>
      </c>
      <c r="Z61" s="70">
        <v>0.45500000000000002</v>
      </c>
      <c r="AA61" s="71" t="e">
        <v>#N/A</v>
      </c>
      <c r="AB61" s="71" t="e">
        <v>#N/A</v>
      </c>
      <c r="AC61" s="71" t="e">
        <v>#N/A</v>
      </c>
      <c r="AD61" s="72" t="e">
        <v>#N/A</v>
      </c>
      <c r="AG61" s="69">
        <v>1900</v>
      </c>
      <c r="AH61" s="70">
        <v>0.40500000000000003</v>
      </c>
      <c r="AI61" s="71" t="e">
        <v>#N/A</v>
      </c>
      <c r="AJ61" s="71" t="e">
        <v>#N/A</v>
      </c>
      <c r="AK61" s="71" t="e">
        <v>#N/A</v>
      </c>
      <c r="AL61" s="71" t="e">
        <v>#N/A</v>
      </c>
      <c r="AM61" s="70">
        <v>0.40280054307578378</v>
      </c>
      <c r="AN61" s="71" t="e">
        <v>#N/A</v>
      </c>
      <c r="AO61" s="72" t="e">
        <v>#N/A</v>
      </c>
      <c r="AP61" s="71" t="e">
        <v>#N/A</v>
      </c>
      <c r="AQ61" s="72" t="e">
        <v>#N/A</v>
      </c>
    </row>
    <row r="62" spans="1:43">
      <c r="L62" s="45" t="s">
        <v>101</v>
      </c>
      <c r="M62" s="40" t="s">
        <v>130</v>
      </c>
      <c r="T62" s="69">
        <v>1901</v>
      </c>
      <c r="U62" s="73" t="e">
        <v>#N/A</v>
      </c>
      <c r="V62" s="74" t="e">
        <v>#N/A</v>
      </c>
      <c r="W62" s="75" t="e">
        <v>#N/A</v>
      </c>
      <c r="Y62" s="69">
        <v>1901</v>
      </c>
      <c r="Z62" s="73" t="e">
        <v>#N/A</v>
      </c>
      <c r="AA62" s="74" t="e">
        <v>#N/A</v>
      </c>
      <c r="AB62" s="74" t="e">
        <v>#N/A</v>
      </c>
      <c r="AC62" s="74" t="e">
        <v>#N/A</v>
      </c>
      <c r="AD62" s="75" t="e">
        <v>#N/A</v>
      </c>
      <c r="AG62" s="69">
        <v>1901</v>
      </c>
      <c r="AH62" s="73" t="e">
        <v>#N/A</v>
      </c>
      <c r="AI62" s="74" t="e">
        <v>#N/A</v>
      </c>
      <c r="AJ62" s="74" t="e">
        <v>#N/A</v>
      </c>
      <c r="AK62" s="74" t="e">
        <v>#N/A</v>
      </c>
      <c r="AL62" s="74" t="e">
        <v>#N/A</v>
      </c>
      <c r="AM62" s="73" t="e">
        <v>#N/A</v>
      </c>
      <c r="AN62" s="74" t="e">
        <v>#N/A</v>
      </c>
      <c r="AO62" s="75" t="e">
        <v>#N/A</v>
      </c>
      <c r="AP62" s="74" t="e">
        <v>#N/A</v>
      </c>
      <c r="AQ62" s="75" t="e">
        <v>#N/A</v>
      </c>
    </row>
    <row r="63" spans="1:43">
      <c r="T63" s="69">
        <v>1902</v>
      </c>
      <c r="U63" s="73" t="e">
        <v>#N/A</v>
      </c>
      <c r="V63" s="74" t="e">
        <v>#N/A</v>
      </c>
      <c r="W63" s="75" t="e">
        <v>#N/A</v>
      </c>
      <c r="Y63" s="69">
        <v>1902</v>
      </c>
      <c r="Z63" s="73" t="e">
        <v>#N/A</v>
      </c>
      <c r="AA63" s="74" t="e">
        <v>#N/A</v>
      </c>
      <c r="AB63" s="74" t="e">
        <v>#N/A</v>
      </c>
      <c r="AC63" s="74" t="e">
        <v>#N/A</v>
      </c>
      <c r="AD63" s="75" t="e">
        <v>#N/A</v>
      </c>
      <c r="AG63" s="69">
        <v>1902</v>
      </c>
      <c r="AH63" s="73" t="e">
        <v>#N/A</v>
      </c>
      <c r="AI63" s="74" t="e">
        <v>#N/A</v>
      </c>
      <c r="AJ63" s="74" t="e">
        <v>#N/A</v>
      </c>
      <c r="AK63" s="74" t="e">
        <v>#N/A</v>
      </c>
      <c r="AL63" s="74" t="e">
        <v>#N/A</v>
      </c>
      <c r="AM63" s="73" t="e">
        <v>#N/A</v>
      </c>
      <c r="AN63" s="74" t="e">
        <v>#N/A</v>
      </c>
      <c r="AO63" s="75" t="e">
        <v>#N/A</v>
      </c>
      <c r="AP63" s="74" t="e">
        <v>#N/A</v>
      </c>
      <c r="AQ63" s="75" t="e">
        <v>#N/A</v>
      </c>
    </row>
    <row r="64" spans="1:43">
      <c r="L64" s="40" t="s">
        <v>131</v>
      </c>
      <c r="T64" s="69">
        <v>1903</v>
      </c>
      <c r="U64" s="73" t="e">
        <v>#N/A</v>
      </c>
      <c r="V64" s="74" t="e">
        <v>#N/A</v>
      </c>
      <c r="W64" s="75" t="e">
        <v>#N/A</v>
      </c>
      <c r="Y64" s="69">
        <v>1903</v>
      </c>
      <c r="Z64" s="73" t="e">
        <v>#N/A</v>
      </c>
      <c r="AA64" s="74" t="e">
        <v>#N/A</v>
      </c>
      <c r="AB64" s="74" t="e">
        <v>#N/A</v>
      </c>
      <c r="AC64" s="74" t="e">
        <v>#N/A</v>
      </c>
      <c r="AD64" s="75" t="e">
        <v>#N/A</v>
      </c>
      <c r="AG64" s="69">
        <v>1903</v>
      </c>
      <c r="AH64" s="73" t="e">
        <v>#N/A</v>
      </c>
      <c r="AI64" s="74" t="e">
        <v>#N/A</v>
      </c>
      <c r="AJ64" s="74" t="e">
        <v>#N/A</v>
      </c>
      <c r="AK64" s="74" t="e">
        <v>#N/A</v>
      </c>
      <c r="AL64" s="74" t="e">
        <v>#N/A</v>
      </c>
      <c r="AM64" s="73" t="e">
        <v>#N/A</v>
      </c>
      <c r="AN64" s="74" t="e">
        <v>#N/A</v>
      </c>
      <c r="AO64" s="75" t="e">
        <v>#N/A</v>
      </c>
      <c r="AP64" s="74" t="e">
        <v>#N/A</v>
      </c>
      <c r="AQ64" s="75" t="e">
        <v>#N/A</v>
      </c>
    </row>
    <row r="65" spans="2:43">
      <c r="T65" s="69">
        <v>1904</v>
      </c>
      <c r="U65" s="73" t="e">
        <v>#N/A</v>
      </c>
      <c r="V65" s="74" t="e">
        <v>#N/A</v>
      </c>
      <c r="W65" s="75" t="e">
        <v>#N/A</v>
      </c>
      <c r="Y65" s="69">
        <v>1904</v>
      </c>
      <c r="Z65" s="73" t="e">
        <v>#N/A</v>
      </c>
      <c r="AA65" s="74" t="e">
        <v>#N/A</v>
      </c>
      <c r="AB65" s="74" t="e">
        <v>#N/A</v>
      </c>
      <c r="AC65" s="74" t="e">
        <v>#N/A</v>
      </c>
      <c r="AD65" s="75" t="e">
        <v>#N/A</v>
      </c>
      <c r="AG65" s="69">
        <v>1904</v>
      </c>
      <c r="AH65" s="73" t="e">
        <v>#N/A</v>
      </c>
      <c r="AI65" s="74" t="e">
        <v>#N/A</v>
      </c>
      <c r="AJ65" s="74" t="e">
        <v>#N/A</v>
      </c>
      <c r="AK65" s="74" t="e">
        <v>#N/A</v>
      </c>
      <c r="AL65" s="74" t="e">
        <v>#N/A</v>
      </c>
      <c r="AM65" s="73" t="e">
        <v>#N/A</v>
      </c>
      <c r="AN65" s="74" t="e">
        <v>#N/A</v>
      </c>
      <c r="AO65" s="75" t="e">
        <v>#N/A</v>
      </c>
      <c r="AP65" s="74" t="e">
        <v>#N/A</v>
      </c>
      <c r="AQ65" s="75" t="e">
        <v>#N/A</v>
      </c>
    </row>
    <row r="66" spans="2:43">
      <c r="L66" s="40" t="s">
        <v>132</v>
      </c>
      <c r="T66" s="69">
        <v>1905</v>
      </c>
      <c r="U66" s="73" t="e">
        <v>#N/A</v>
      </c>
      <c r="V66" s="74" t="e">
        <v>#N/A</v>
      </c>
      <c r="W66" s="75" t="e">
        <v>#N/A</v>
      </c>
      <c r="Y66" s="69">
        <v>1905</v>
      </c>
      <c r="Z66" s="70">
        <v>0.45500000000000002</v>
      </c>
      <c r="AA66" s="71" t="e">
        <v>#N/A</v>
      </c>
      <c r="AB66" s="71" t="e">
        <v>#N/A</v>
      </c>
      <c r="AC66" s="71" t="e">
        <v>#N/A</v>
      </c>
      <c r="AD66" s="72" t="e">
        <v>#N/A</v>
      </c>
      <c r="AG66" s="69">
        <v>1905</v>
      </c>
      <c r="AH66" s="73" t="e">
        <v>#N/A</v>
      </c>
      <c r="AI66" s="74" t="e">
        <v>#N/A</v>
      </c>
      <c r="AJ66" s="74" t="e">
        <v>#N/A</v>
      </c>
      <c r="AK66" s="71" t="e">
        <v>#N/A</v>
      </c>
      <c r="AL66" s="71" t="e">
        <v>#N/A</v>
      </c>
      <c r="AM66" s="73" t="e">
        <v>#N/A</v>
      </c>
      <c r="AN66" s="74" t="e">
        <v>#N/A</v>
      </c>
      <c r="AO66" s="75" t="e">
        <v>#N/A</v>
      </c>
      <c r="AP66" s="71" t="e">
        <v>#N/A</v>
      </c>
      <c r="AQ66" s="72" t="e">
        <v>#N/A</v>
      </c>
    </row>
    <row r="67" spans="2:43">
      <c r="L67" s="43" t="s">
        <v>133</v>
      </c>
      <c r="M67" s="110"/>
      <c r="T67" s="69">
        <v>1906</v>
      </c>
      <c r="U67" s="73" t="e">
        <v>#N/A</v>
      </c>
      <c r="V67" s="74" t="e">
        <v>#N/A</v>
      </c>
      <c r="W67" s="75" t="e">
        <v>#N/A</v>
      </c>
      <c r="Y67" s="69">
        <v>1906</v>
      </c>
      <c r="Z67" s="73" t="e">
        <v>#N/A</v>
      </c>
      <c r="AA67" s="74" t="e">
        <v>#N/A</v>
      </c>
      <c r="AB67" s="74" t="e">
        <v>#N/A</v>
      </c>
      <c r="AC67" s="74" t="e">
        <v>#N/A</v>
      </c>
      <c r="AD67" s="75" t="e">
        <v>#N/A</v>
      </c>
      <c r="AG67" s="69">
        <v>1906</v>
      </c>
      <c r="AH67" s="73" t="e">
        <v>#N/A</v>
      </c>
      <c r="AI67" s="74" t="e">
        <v>#N/A</v>
      </c>
      <c r="AJ67" s="74" t="e">
        <v>#N/A</v>
      </c>
      <c r="AK67" s="74" t="e">
        <v>#N/A</v>
      </c>
      <c r="AL67" s="74" t="e">
        <v>#N/A</v>
      </c>
      <c r="AM67" s="73" t="e">
        <v>#N/A</v>
      </c>
      <c r="AN67" s="74" t="e">
        <v>#N/A</v>
      </c>
      <c r="AO67" s="75" t="e">
        <v>#N/A</v>
      </c>
      <c r="AP67" s="74" t="e">
        <v>#N/A</v>
      </c>
      <c r="AQ67" s="75" t="e">
        <v>#N/A</v>
      </c>
    </row>
    <row r="68" spans="2:43">
      <c r="T68" s="69">
        <v>1907</v>
      </c>
      <c r="U68" s="73" t="e">
        <v>#N/A</v>
      </c>
      <c r="V68" s="71" t="e">
        <v>#N/A</v>
      </c>
      <c r="W68" s="72" t="e">
        <v>#N/A</v>
      </c>
      <c r="Y68" s="69">
        <v>1907</v>
      </c>
      <c r="Z68" s="73" t="e">
        <v>#N/A</v>
      </c>
      <c r="AA68" s="74" t="e">
        <v>#N/A</v>
      </c>
      <c r="AB68" s="74" t="e">
        <v>#N/A</v>
      </c>
      <c r="AC68" s="74" t="e">
        <v>#N/A</v>
      </c>
      <c r="AD68" s="75" t="e">
        <v>#N/A</v>
      </c>
      <c r="AG68" s="69">
        <v>1907</v>
      </c>
      <c r="AH68" s="73" t="e">
        <v>#N/A</v>
      </c>
      <c r="AI68" s="74" t="e">
        <v>#N/A</v>
      </c>
      <c r="AJ68" s="74" t="e">
        <v>#N/A</v>
      </c>
      <c r="AK68" s="74" t="e">
        <v>#N/A</v>
      </c>
      <c r="AL68" s="74" t="e">
        <v>#N/A</v>
      </c>
      <c r="AM68" s="73" t="e">
        <v>#N/A</v>
      </c>
      <c r="AN68" s="74" t="e">
        <v>#N/A</v>
      </c>
      <c r="AO68" s="75" t="e">
        <v>#N/A</v>
      </c>
      <c r="AP68" s="74" t="e">
        <v>#N/A</v>
      </c>
      <c r="AQ68" s="75" t="e">
        <v>#N/A</v>
      </c>
    </row>
    <row r="69" spans="2:43">
      <c r="T69" s="69">
        <v>1908</v>
      </c>
      <c r="U69" s="70">
        <v>0.4625936170212766</v>
      </c>
      <c r="V69" s="71">
        <v>0.21748033472803346</v>
      </c>
      <c r="W69" s="72">
        <v>0.10930000000000001</v>
      </c>
      <c r="Y69" s="69">
        <v>1908</v>
      </c>
      <c r="Z69" s="70">
        <v>0.45500000000000002</v>
      </c>
      <c r="AA69" s="74" t="e">
        <v>#N/A</v>
      </c>
      <c r="AB69" s="74" t="e">
        <v>#N/A</v>
      </c>
      <c r="AC69" s="74" t="e">
        <v>#N/A</v>
      </c>
      <c r="AD69" s="75" t="e">
        <v>#N/A</v>
      </c>
      <c r="AG69" s="69">
        <v>1908</v>
      </c>
      <c r="AH69" s="73" t="e">
        <v>#N/A</v>
      </c>
      <c r="AI69" s="74" t="e">
        <v>#N/A</v>
      </c>
      <c r="AJ69" s="74" t="e">
        <v>#N/A</v>
      </c>
      <c r="AK69" s="74" t="e">
        <v>#N/A</v>
      </c>
      <c r="AL69" s="74" t="e">
        <v>#N/A</v>
      </c>
      <c r="AM69" s="73" t="e">
        <v>#N/A</v>
      </c>
      <c r="AN69" s="74" t="e">
        <v>#N/A</v>
      </c>
      <c r="AO69" s="75" t="e">
        <v>#N/A</v>
      </c>
      <c r="AP69" s="74" t="e">
        <v>#N/A</v>
      </c>
      <c r="AQ69" s="75" t="e">
        <v>#N/A</v>
      </c>
    </row>
    <row r="70" spans="2:43">
      <c r="T70" s="69">
        <v>1909</v>
      </c>
      <c r="U70" s="70">
        <v>0.46765851063829794</v>
      </c>
      <c r="V70" s="71">
        <v>0.21838033472803348</v>
      </c>
      <c r="W70" s="72">
        <v>0.11020000000000001</v>
      </c>
      <c r="Y70" s="69">
        <v>1909</v>
      </c>
      <c r="Z70" s="70">
        <v>0.46</v>
      </c>
      <c r="AA70" s="74" t="e">
        <v>#N/A</v>
      </c>
      <c r="AB70" s="74" t="e">
        <v>#N/A</v>
      </c>
      <c r="AC70" s="74" t="e">
        <v>#N/A</v>
      </c>
      <c r="AD70" s="75" t="e">
        <v>#N/A</v>
      </c>
      <c r="AG70" s="69">
        <v>1909</v>
      </c>
      <c r="AH70" s="73" t="e">
        <v>#N/A</v>
      </c>
      <c r="AI70" s="74" t="e">
        <v>#N/A</v>
      </c>
      <c r="AJ70" s="74" t="e">
        <v>#N/A</v>
      </c>
      <c r="AK70" s="74" t="e">
        <v>#N/A</v>
      </c>
      <c r="AL70" s="74" t="e">
        <v>#N/A</v>
      </c>
      <c r="AM70" s="73" t="e">
        <v>#N/A</v>
      </c>
      <c r="AN70" s="74" t="e">
        <v>#N/A</v>
      </c>
      <c r="AO70" s="75" t="e">
        <v>#N/A</v>
      </c>
      <c r="AP70" s="74" t="e">
        <v>#N/A</v>
      </c>
      <c r="AQ70" s="75" t="e">
        <v>#N/A</v>
      </c>
    </row>
    <row r="71" spans="2:43">
      <c r="T71" s="69">
        <v>1910</v>
      </c>
      <c r="U71" s="70">
        <v>0.47103510638297869</v>
      </c>
      <c r="V71" s="71">
        <v>0.21898033472803347</v>
      </c>
      <c r="W71" s="72">
        <v>0.1108</v>
      </c>
      <c r="Y71" s="69">
        <v>1910</v>
      </c>
      <c r="Z71" s="70">
        <v>0.46500000000000002</v>
      </c>
      <c r="AA71" s="71">
        <v>0.20499999999999999</v>
      </c>
      <c r="AB71" s="71">
        <v>9.5000000000000001E-2</v>
      </c>
      <c r="AC71" s="71">
        <v>0.26410165641219768</v>
      </c>
      <c r="AD71" s="72">
        <v>5.9031025333934756E-2</v>
      </c>
      <c r="AG71" s="69">
        <v>1910</v>
      </c>
      <c r="AH71" s="70">
        <v>0.4057850620067644</v>
      </c>
      <c r="AI71" s="71">
        <v>9.886691093573842E-2</v>
      </c>
      <c r="AJ71" s="71">
        <v>0.12921815107102597</v>
      </c>
      <c r="AK71" s="71">
        <v>0.1777</v>
      </c>
      <c r="AL71" s="71">
        <v>8.9200000000000002E-2</v>
      </c>
      <c r="AM71" s="70">
        <v>0.40358134160090198</v>
      </c>
      <c r="AN71" s="71">
        <v>0.1777</v>
      </c>
      <c r="AO71" s="72">
        <v>8.9200000000000002E-2</v>
      </c>
      <c r="AP71" s="71">
        <v>0.27200569423044457</v>
      </c>
      <c r="AQ71" s="72">
        <v>8.2305160599571714E-2</v>
      </c>
    </row>
    <row r="72" spans="2:43">
      <c r="B72" s="45"/>
      <c r="C72" s="40" t="s">
        <v>173</v>
      </c>
      <c r="T72" s="69">
        <v>1911</v>
      </c>
      <c r="U72" s="70">
        <v>0.47159787234042555</v>
      </c>
      <c r="V72" s="71">
        <v>0.21908033472803348</v>
      </c>
      <c r="W72" s="72">
        <v>0.11090000000000001</v>
      </c>
      <c r="Y72" s="69">
        <v>1911</v>
      </c>
      <c r="Z72" s="70">
        <v>0.46750000000000003</v>
      </c>
      <c r="AA72" s="71">
        <v>0.20749999999999999</v>
      </c>
      <c r="AB72" s="71">
        <v>9.7500000000000003E-2</v>
      </c>
      <c r="AC72" s="71">
        <v>0.26552155779075787</v>
      </c>
      <c r="AD72" s="72">
        <v>5.9750915886787617E-2</v>
      </c>
      <c r="AG72" s="69">
        <v>1911</v>
      </c>
      <c r="AH72" s="70">
        <v>0.40795442502818491</v>
      </c>
      <c r="AI72" s="71">
        <v>9.9395462232243478E-2</v>
      </c>
      <c r="AJ72" s="71">
        <v>0.12990896279594141</v>
      </c>
      <c r="AK72" s="71">
        <v>0.17865</v>
      </c>
      <c r="AL72" s="71">
        <v>8.77E-2</v>
      </c>
      <c r="AM72" s="70">
        <v>0.40573892333709138</v>
      </c>
      <c r="AN72" s="71">
        <v>0.17865</v>
      </c>
      <c r="AO72" s="72">
        <v>8.77E-2</v>
      </c>
      <c r="AP72" s="71">
        <v>0.27335293907860958</v>
      </c>
      <c r="AQ72" s="72">
        <v>8.2745171306209842E-2</v>
      </c>
    </row>
    <row r="73" spans="2:43">
      <c r="D73" s="40" t="s">
        <v>174</v>
      </c>
      <c r="T73" s="69">
        <v>1912</v>
      </c>
      <c r="U73" s="70">
        <v>0.47159787234042555</v>
      </c>
      <c r="V73" s="71">
        <v>0.21908033472803348</v>
      </c>
      <c r="W73" s="72">
        <v>0.11090000000000001</v>
      </c>
      <c r="Y73" s="69">
        <v>1912</v>
      </c>
      <c r="Z73" s="70">
        <v>0.46310416666666665</v>
      </c>
      <c r="AA73" s="71">
        <v>0.20787499999999998</v>
      </c>
      <c r="AB73" s="71">
        <v>9.7225000000000006E-2</v>
      </c>
      <c r="AC73" s="71">
        <v>0.26302489786678945</v>
      </c>
      <c r="AD73" s="72">
        <v>5.9858899469715544E-2</v>
      </c>
      <c r="AG73" s="69">
        <v>1912</v>
      </c>
      <c r="AH73" s="70">
        <v>0.41132264656144313</v>
      </c>
      <c r="AI73" s="71">
        <v>0.10021610766629085</v>
      </c>
      <c r="AJ73" s="71">
        <v>0.13098153889515224</v>
      </c>
      <c r="AK73" s="71">
        <v>0.18012500000000001</v>
      </c>
      <c r="AL73" s="71">
        <v>8.6849999999999997E-2</v>
      </c>
      <c r="AM73" s="70">
        <v>0.40908885287485913</v>
      </c>
      <c r="AN73" s="71">
        <v>0.18012500000000001</v>
      </c>
      <c r="AO73" s="72">
        <v>8.6849999999999997E-2</v>
      </c>
      <c r="AP73" s="71">
        <v>0.2754447139744447</v>
      </c>
      <c r="AQ73" s="72">
        <v>8.3428345824411124E-2</v>
      </c>
    </row>
    <row r="74" spans="2:43">
      <c r="T74" s="69">
        <v>1913</v>
      </c>
      <c r="U74" s="70">
        <v>0.48003936170212763</v>
      </c>
      <c r="V74" s="71">
        <v>0.22058033472803346</v>
      </c>
      <c r="W74" s="72">
        <v>0.1124</v>
      </c>
      <c r="Y74" s="69">
        <v>1913</v>
      </c>
      <c r="Z74" s="70">
        <v>0.47000000000000003</v>
      </c>
      <c r="AA74" s="71">
        <v>0.21</v>
      </c>
      <c r="AB74" s="71">
        <v>0.1</v>
      </c>
      <c r="AC74" s="71">
        <v>0.26694145916931805</v>
      </c>
      <c r="AD74" s="72">
        <v>6.0470806439640486E-2</v>
      </c>
      <c r="AG74" s="69">
        <v>1913</v>
      </c>
      <c r="AH74" s="70">
        <v>0.41012378804960548</v>
      </c>
      <c r="AI74" s="71">
        <v>9.9924013528748579E-2</v>
      </c>
      <c r="AJ74" s="71">
        <v>0.13059977452085689</v>
      </c>
      <c r="AK74" s="71">
        <v>0.17960000000000001</v>
      </c>
      <c r="AL74" s="71">
        <v>8.6199999999999999E-2</v>
      </c>
      <c r="AM74" s="70">
        <v>0.40789650507328079</v>
      </c>
      <c r="AN74" s="71">
        <v>0.17960000000000001</v>
      </c>
      <c r="AO74" s="72">
        <v>8.6199999999999999E-2</v>
      </c>
      <c r="AP74" s="71">
        <v>0.27470018392677459</v>
      </c>
      <c r="AQ74" s="72">
        <v>8.3185182012847955E-2</v>
      </c>
    </row>
    <row r="75" spans="2:43">
      <c r="T75" s="69">
        <v>1914</v>
      </c>
      <c r="U75" s="70">
        <v>0.45640319148936165</v>
      </c>
      <c r="V75" s="71">
        <v>0.21479246861924683</v>
      </c>
      <c r="W75" s="72">
        <v>0.10710000000000001</v>
      </c>
      <c r="Y75" s="69">
        <v>1914</v>
      </c>
      <c r="Z75" s="70">
        <v>0.45870833333333327</v>
      </c>
      <c r="AA75" s="71">
        <v>0.20824999999999999</v>
      </c>
      <c r="AB75" s="71">
        <v>9.6950000000000008E-2</v>
      </c>
      <c r="AC75" s="71">
        <v>0.26052823794282109</v>
      </c>
      <c r="AD75" s="72">
        <v>5.7966883052643477E-2</v>
      </c>
      <c r="AG75" s="69">
        <v>1914</v>
      </c>
      <c r="AH75" s="70">
        <v>0.41469086809470129</v>
      </c>
      <c r="AI75" s="71">
        <v>0.10103675310033819</v>
      </c>
      <c r="AJ75" s="71">
        <v>0.13205411499436306</v>
      </c>
      <c r="AK75" s="71">
        <v>0.18160000000000001</v>
      </c>
      <c r="AL75" s="71">
        <v>8.5999999999999993E-2</v>
      </c>
      <c r="AM75" s="70">
        <v>0.41243878241262688</v>
      </c>
      <c r="AN75" s="71">
        <v>0.18160000000000001</v>
      </c>
      <c r="AO75" s="72">
        <v>8.5999999999999993E-2</v>
      </c>
      <c r="AP75" s="71">
        <v>0.27753648887027987</v>
      </c>
      <c r="AQ75" s="72">
        <v>8.4111520342612406E-2</v>
      </c>
    </row>
    <row r="76" spans="2:43">
      <c r="T76" s="69">
        <v>1915</v>
      </c>
      <c r="U76" s="70">
        <v>0.45977978723404256</v>
      </c>
      <c r="V76" s="71">
        <v>0.21544769874476985</v>
      </c>
      <c r="W76" s="72">
        <v>0.10769999999999999</v>
      </c>
      <c r="Y76" s="69">
        <v>1915</v>
      </c>
      <c r="Z76" s="70">
        <v>0.39671666666666661</v>
      </c>
      <c r="AA76" s="71">
        <v>0.18309999999999998</v>
      </c>
      <c r="AB76" s="71">
        <v>7.9000000000000001E-2</v>
      </c>
      <c r="AC76" s="71">
        <v>0.22531941675912329</v>
      </c>
      <c r="AD76" s="72">
        <v>4.7724784090943682E-2</v>
      </c>
      <c r="AG76" s="69">
        <v>1915</v>
      </c>
      <c r="AH76" s="70">
        <v>0.40144633596392332</v>
      </c>
      <c r="AI76" s="71">
        <v>9.7809808342728261E-2</v>
      </c>
      <c r="AJ76" s="71">
        <v>0.12783652762119507</v>
      </c>
      <c r="AK76" s="71">
        <v>0.17579999999999998</v>
      </c>
      <c r="AL76" s="71">
        <v>9.2200000000000004E-2</v>
      </c>
      <c r="AM76" s="70">
        <v>0.39926617812852311</v>
      </c>
      <c r="AN76" s="71">
        <v>0.17579999999999998</v>
      </c>
      <c r="AO76" s="72">
        <v>9.2200000000000004E-2</v>
      </c>
      <c r="AP76" s="71">
        <v>0.2693112045341145</v>
      </c>
      <c r="AQ76" s="72">
        <v>8.1425139186295487E-2</v>
      </c>
    </row>
    <row r="77" spans="2:43">
      <c r="T77" s="69">
        <v>1916</v>
      </c>
      <c r="U77" s="70">
        <v>0.44852446808510638</v>
      </c>
      <c r="V77" s="71">
        <v>0.2121715481171548</v>
      </c>
      <c r="W77" s="72">
        <v>0.1047</v>
      </c>
      <c r="Y77" s="69">
        <v>1916</v>
      </c>
      <c r="Z77" s="70">
        <v>0.44741666666666657</v>
      </c>
      <c r="AA77" s="71">
        <v>0.20649999999999999</v>
      </c>
      <c r="AB77" s="71">
        <v>9.3900000000000011E-2</v>
      </c>
      <c r="AC77" s="71">
        <v>0.25411501671632419</v>
      </c>
      <c r="AD77" s="72">
        <v>4.8462959665646468E-2</v>
      </c>
      <c r="AG77" s="69">
        <v>1916</v>
      </c>
      <c r="AH77" s="70">
        <v>0.44095157835400228</v>
      </c>
      <c r="AI77" s="71">
        <v>0.10743500563697855</v>
      </c>
      <c r="AJ77" s="71">
        <v>0.14041657271702371</v>
      </c>
      <c r="AK77" s="71">
        <v>0.19309999999999999</v>
      </c>
      <c r="AL77" s="71">
        <v>0.1051</v>
      </c>
      <c r="AM77" s="70">
        <v>0.43855687711386704</v>
      </c>
      <c r="AN77" s="71">
        <v>0.1857</v>
      </c>
      <c r="AO77" s="72">
        <v>9.8699999999999996E-2</v>
      </c>
      <c r="AP77" s="71">
        <v>0.29384524229543524</v>
      </c>
      <c r="AQ77" s="72">
        <v>8.6010513918629544E-2</v>
      </c>
    </row>
    <row r="78" spans="2:43">
      <c r="L78" s="40" t="s">
        <v>175</v>
      </c>
      <c r="T78" s="69">
        <v>1917</v>
      </c>
      <c r="U78" s="70">
        <v>0.3973127659574468</v>
      </c>
      <c r="V78" s="71">
        <v>0.19895774058577403</v>
      </c>
      <c r="W78" s="72">
        <v>9.2600000000000002E-2</v>
      </c>
      <c r="Y78" s="69">
        <v>1917</v>
      </c>
      <c r="Z78" s="70">
        <v>0.4352833333333333</v>
      </c>
      <c r="AA78" s="71">
        <v>0.2009</v>
      </c>
      <c r="AB78" s="71">
        <v>8.8900000000000007E-2</v>
      </c>
      <c r="AC78" s="71">
        <v>0.247223762025712</v>
      </c>
      <c r="AD78" s="72">
        <v>4.5850404827256053E-2</v>
      </c>
      <c r="AG78" s="69">
        <v>1917</v>
      </c>
      <c r="AH78" s="70">
        <v>0.40509999999999996</v>
      </c>
      <c r="AI78" s="71">
        <v>9.8699999999999968E-2</v>
      </c>
      <c r="AJ78" s="71">
        <v>0.12900000000000003</v>
      </c>
      <c r="AK78" s="71">
        <v>0.17739999999999997</v>
      </c>
      <c r="AL78" s="71">
        <v>8.4000000000000005E-2</v>
      </c>
      <c r="AM78" s="70">
        <v>0.40289999999999998</v>
      </c>
      <c r="AN78" s="71">
        <v>0.17600000000000002</v>
      </c>
      <c r="AO78" s="72">
        <v>8.3599999999999994E-2</v>
      </c>
      <c r="AP78" s="71">
        <v>0.27158024848891871</v>
      </c>
      <c r="AQ78" s="72">
        <v>8.1517773019271947E-2</v>
      </c>
    </row>
    <row r="79" spans="2:43">
      <c r="L79" s="40" t="s">
        <v>176</v>
      </c>
      <c r="T79" s="69">
        <v>1918</v>
      </c>
      <c r="U79" s="70">
        <v>0.37030000000000002</v>
      </c>
      <c r="V79" s="71">
        <v>0.19239999999999999</v>
      </c>
      <c r="W79" s="72">
        <v>8.6800000000000002E-2</v>
      </c>
      <c r="Y79" s="69">
        <v>1918</v>
      </c>
      <c r="Z79" s="70">
        <v>0.38891666666666663</v>
      </c>
      <c r="AA79" s="71">
        <v>0.17949999999999999</v>
      </c>
      <c r="AB79" s="71">
        <v>7.6700000000000004E-2</v>
      </c>
      <c r="AC79" s="71">
        <v>0.22088932445801546</v>
      </c>
      <c r="AD79" s="72">
        <v>4.7688141694835554E-2</v>
      </c>
      <c r="AG79" s="69">
        <v>1918</v>
      </c>
      <c r="AH79" s="70">
        <v>0.40110000000000001</v>
      </c>
      <c r="AI79" s="71">
        <v>0.10620000000000002</v>
      </c>
      <c r="AJ79" s="71">
        <v>0.13529999999999998</v>
      </c>
      <c r="AK79" s="71">
        <v>0.15960000000000002</v>
      </c>
      <c r="AL79" s="71">
        <v>6.7199999999999996E-2</v>
      </c>
      <c r="AM79" s="70">
        <v>0.39899999999999997</v>
      </c>
      <c r="AN79" s="71">
        <v>0.1588</v>
      </c>
      <c r="AO79" s="72">
        <v>6.7400000000000002E-2</v>
      </c>
      <c r="AP79" s="71">
        <v>0.26914499664204161</v>
      </c>
      <c r="AQ79" s="72">
        <v>7.3551263383297635E-2</v>
      </c>
    </row>
    <row r="80" spans="2:43">
      <c r="L80" s="40" t="s">
        <v>177</v>
      </c>
      <c r="T80" s="69">
        <v>1919</v>
      </c>
      <c r="U80" s="70">
        <v>0.38729999999999998</v>
      </c>
      <c r="V80" s="71">
        <v>0.19589999999999999</v>
      </c>
      <c r="W80" s="72">
        <v>8.9800000000000005E-2</v>
      </c>
      <c r="Y80" s="69">
        <v>1919</v>
      </c>
      <c r="Z80" s="70">
        <v>0.42249999999999999</v>
      </c>
      <c r="AA80" s="71">
        <v>0.19500000000000001</v>
      </c>
      <c r="AB80" s="71">
        <v>8.2599999999999993E-2</v>
      </c>
      <c r="AC80" s="76">
        <v>0.21464864997456531</v>
      </c>
      <c r="AD80" s="77">
        <v>5.615146312252331E-2</v>
      </c>
      <c r="AG80" s="69">
        <v>1919</v>
      </c>
      <c r="AH80" s="70">
        <v>0.4032</v>
      </c>
      <c r="AI80" s="71">
        <v>0.10149999999999998</v>
      </c>
      <c r="AJ80" s="71">
        <v>0.13760000000000003</v>
      </c>
      <c r="AK80" s="71">
        <v>0.1641</v>
      </c>
      <c r="AL80" s="71">
        <v>6.6299999999999998E-2</v>
      </c>
      <c r="AM80" s="70">
        <v>0.39479999999999998</v>
      </c>
      <c r="AN80" s="71">
        <v>0.15869999999999998</v>
      </c>
      <c r="AO80" s="72">
        <v>6.4500000000000002E-2</v>
      </c>
      <c r="AP80" s="71">
        <v>0.26652241773002017</v>
      </c>
      <c r="AQ80" s="72">
        <v>7.3504946466809398E-2</v>
      </c>
    </row>
    <row r="81" spans="1:43">
      <c r="L81" s="40" t="s">
        <v>178</v>
      </c>
      <c r="T81" s="69">
        <v>1920</v>
      </c>
      <c r="U81" s="70">
        <v>0.40755000000000002</v>
      </c>
      <c r="V81" s="71">
        <v>0.18552552301255229</v>
      </c>
      <c r="W81" s="72">
        <v>8.0299999999999996E-2</v>
      </c>
      <c r="Y81" s="69">
        <v>1920</v>
      </c>
      <c r="Z81" s="70">
        <v>0.39590000000000003</v>
      </c>
      <c r="AA81" s="71">
        <v>0.17949999999999999</v>
      </c>
      <c r="AB81" s="71">
        <v>7.6299999999999993E-2</v>
      </c>
      <c r="AC81" s="76">
        <v>0.22088932445801546</v>
      </c>
      <c r="AD81" s="77">
        <v>5.738194892005332E-2</v>
      </c>
      <c r="AG81" s="69">
        <v>1920</v>
      </c>
      <c r="AH81" s="70">
        <v>0.3901</v>
      </c>
      <c r="AI81" s="71">
        <v>0.10689999999999998</v>
      </c>
      <c r="AJ81" s="71">
        <v>0.13489999999999999</v>
      </c>
      <c r="AK81" s="71">
        <v>0.14829999999999999</v>
      </c>
      <c r="AL81" s="71">
        <v>5.3600000000000002E-2</v>
      </c>
      <c r="AM81" s="70">
        <v>0.38100000000000001</v>
      </c>
      <c r="AN81" s="71">
        <v>0.14460000000000001</v>
      </c>
      <c r="AO81" s="72">
        <v>5.3699999999999998E-2</v>
      </c>
      <c r="AP81" s="71">
        <v>0.2579053727333781</v>
      </c>
      <c r="AQ81" s="72">
        <v>6.6974261241970007E-2</v>
      </c>
    </row>
    <row r="82" spans="1:43">
      <c r="T82" s="69">
        <v>1921</v>
      </c>
      <c r="U82" s="70">
        <v>0.40805000000000002</v>
      </c>
      <c r="V82" s="71">
        <v>0.18607154811715482</v>
      </c>
      <c r="W82" s="72">
        <v>8.0799999999999997E-2</v>
      </c>
      <c r="Y82" s="69">
        <v>1921</v>
      </c>
      <c r="Z82" s="70">
        <v>0.39700000000000002</v>
      </c>
      <c r="AA82" s="71">
        <v>0.17319999999999999</v>
      </c>
      <c r="AB82" s="71">
        <v>7.2300000000000003E-2</v>
      </c>
      <c r="AC82" s="76">
        <v>0.2149069191008699</v>
      </c>
      <c r="AD82" s="77">
        <v>5.227398897757201E-2</v>
      </c>
      <c r="AG82" s="69">
        <v>1921</v>
      </c>
      <c r="AH82" s="70">
        <v>0.43180000000000002</v>
      </c>
      <c r="AI82" s="71">
        <v>0.12379999999999999</v>
      </c>
      <c r="AJ82" s="71">
        <v>0.15160000000000001</v>
      </c>
      <c r="AK82" s="71">
        <v>0.15640000000000001</v>
      </c>
      <c r="AL82" s="71">
        <v>5.5999999999999994E-2</v>
      </c>
      <c r="AM82" s="70">
        <v>0.42859999999999998</v>
      </c>
      <c r="AN82" s="71">
        <v>0.1547</v>
      </c>
      <c r="AO82" s="72">
        <v>5.5999999999999994E-2</v>
      </c>
      <c r="AP82" s="71">
        <v>0.28762793373628831</v>
      </c>
      <c r="AQ82" s="72">
        <v>7.1652269807280497E-2</v>
      </c>
    </row>
    <row r="83" spans="1:43">
      <c r="L83" s="40" t="s">
        <v>403</v>
      </c>
      <c r="T83" s="69">
        <v>1922</v>
      </c>
      <c r="U83" s="70">
        <v>0.41795000000000004</v>
      </c>
      <c r="V83" s="71">
        <v>0.1968828451882845</v>
      </c>
      <c r="W83" s="72">
        <v>9.0700000000000003E-2</v>
      </c>
      <c r="Y83" s="69">
        <v>1922</v>
      </c>
      <c r="Z83" s="70">
        <v>0.41539999999999999</v>
      </c>
      <c r="AA83" s="71">
        <v>0.1787</v>
      </c>
      <c r="AB83" s="71">
        <v>7.2599999999999998E-2</v>
      </c>
      <c r="AC83" s="76">
        <v>0.23466965376970642</v>
      </c>
      <c r="AD83" s="77">
        <v>5.9108215169161663E-2</v>
      </c>
      <c r="AG83" s="69">
        <v>1922</v>
      </c>
      <c r="AH83" s="70">
        <v>0.43719999999999998</v>
      </c>
      <c r="AI83" s="71">
        <v>0.11779999999999997</v>
      </c>
      <c r="AJ83" s="71">
        <v>0.14880000000000002</v>
      </c>
      <c r="AK83" s="71">
        <v>0.17059999999999997</v>
      </c>
      <c r="AL83" s="71">
        <v>6.6400000000000001E-2</v>
      </c>
      <c r="AM83" s="70">
        <v>0.42950000000000005</v>
      </c>
      <c r="AN83" s="71">
        <v>0.16289999999999999</v>
      </c>
      <c r="AO83" s="72">
        <v>6.1699999999999998E-2</v>
      </c>
      <c r="AP83" s="71">
        <v>0.28818991493172158</v>
      </c>
      <c r="AQ83" s="72">
        <v>7.545025695931476E-2</v>
      </c>
    </row>
    <row r="84" spans="1:43">
      <c r="T84" s="69">
        <v>1923</v>
      </c>
      <c r="U84" s="70">
        <v>0.42015000000000002</v>
      </c>
      <c r="V84" s="71">
        <v>0.19928535564853553</v>
      </c>
      <c r="W84" s="72">
        <v>9.2899999999999996E-2</v>
      </c>
      <c r="Y84" s="69">
        <v>1923</v>
      </c>
      <c r="Z84" s="70">
        <v>0.43540000000000001</v>
      </c>
      <c r="AA84" s="71">
        <v>0.18909999999999999</v>
      </c>
      <c r="AB84" s="71">
        <v>7.6100000000000001E-2</v>
      </c>
      <c r="AC84" s="76">
        <v>0.24502587478969037</v>
      </c>
      <c r="AD84" s="77">
        <v>6.475772469757618E-2</v>
      </c>
      <c r="AG84" s="69">
        <v>1923</v>
      </c>
      <c r="AH84" s="70">
        <v>0.41460000000000002</v>
      </c>
      <c r="AI84" s="71">
        <v>0.1168</v>
      </c>
      <c r="AJ84" s="71">
        <v>0.1414</v>
      </c>
      <c r="AK84" s="71">
        <v>0.15640000000000001</v>
      </c>
      <c r="AL84" s="71">
        <v>5.91E-2</v>
      </c>
      <c r="AM84" s="70">
        <v>0.40590000000000004</v>
      </c>
      <c r="AN84" s="71">
        <v>0.14990000000000001</v>
      </c>
      <c r="AO84" s="72">
        <v>5.5E-2</v>
      </c>
      <c r="AP84" s="71">
        <v>0.2734535191403627</v>
      </c>
      <c r="AQ84" s="72">
        <v>6.9429057815845824E-2</v>
      </c>
    </row>
    <row r="85" spans="1:43">
      <c r="T85" s="69">
        <v>1924</v>
      </c>
      <c r="U85" s="70">
        <v>0.41775000000000007</v>
      </c>
      <c r="V85" s="71">
        <v>0.19666443514644349</v>
      </c>
      <c r="W85" s="72">
        <v>9.0500000000000011E-2</v>
      </c>
      <c r="Y85" s="69">
        <v>1924</v>
      </c>
      <c r="Z85" s="70">
        <v>0.4214</v>
      </c>
      <c r="AA85" s="71">
        <v>0.17960000000000001</v>
      </c>
      <c r="AB85" s="71">
        <v>7.0499999999999993E-2</v>
      </c>
      <c r="AC85" s="76">
        <v>0.24013862054598054</v>
      </c>
      <c r="AD85" s="77">
        <v>6.1313199858694364E-2</v>
      </c>
      <c r="AG85" s="69">
        <v>1924</v>
      </c>
      <c r="AH85" s="70">
        <v>0.44409999999999994</v>
      </c>
      <c r="AI85" s="71">
        <v>0.12299999999999997</v>
      </c>
      <c r="AJ85" s="71">
        <v>0.14689999999999998</v>
      </c>
      <c r="AK85" s="71">
        <v>0.17420000000000002</v>
      </c>
      <c r="AL85" s="71">
        <v>6.7900000000000002E-2</v>
      </c>
      <c r="AM85" s="70">
        <v>0.43259999999999998</v>
      </c>
      <c r="AN85" s="71">
        <v>0.16320000000000001</v>
      </c>
      <c r="AO85" s="72">
        <v>6.1399999999999996E-2</v>
      </c>
      <c r="AP85" s="71">
        <v>0.27012562793821354</v>
      </c>
      <c r="AQ85" s="72">
        <v>7.558920770877943E-2</v>
      </c>
    </row>
    <row r="86" spans="1:43">
      <c r="D86" s="40" t="s">
        <v>47</v>
      </c>
      <c r="T86" s="69">
        <v>1925</v>
      </c>
      <c r="U86" s="70">
        <v>0.41515000000000002</v>
      </c>
      <c r="V86" s="71">
        <v>0.19382510460251043</v>
      </c>
      <c r="W86" s="72">
        <v>8.7899999999999992E-2</v>
      </c>
      <c r="Y86" s="69">
        <v>1925</v>
      </c>
      <c r="Z86" s="70">
        <v>0.44069999999999998</v>
      </c>
      <c r="AA86" s="71">
        <v>0.18160000000000001</v>
      </c>
      <c r="AB86" s="71">
        <v>7.0699999999999999E-2</v>
      </c>
      <c r="AC86" s="76">
        <v>0.25341905582222501</v>
      </c>
      <c r="AD86" s="77">
        <v>6.8478525228788806E-2</v>
      </c>
      <c r="AG86" s="69">
        <v>1925</v>
      </c>
      <c r="AH86" s="70">
        <v>0.46350000000000002</v>
      </c>
      <c r="AI86" s="71">
        <v>0.11340000000000003</v>
      </c>
      <c r="AJ86" s="71">
        <v>0.1477</v>
      </c>
      <c r="AK86" s="71">
        <v>0.2024</v>
      </c>
      <c r="AL86" s="71">
        <v>8.5199999999999998E-2</v>
      </c>
      <c r="AM86" s="70">
        <v>0.44170000000000004</v>
      </c>
      <c r="AN86" s="71">
        <v>0.17600000000000002</v>
      </c>
      <c r="AO86" s="72">
        <v>6.7500000000000004E-2</v>
      </c>
      <c r="AP86" s="71">
        <v>0.27580788224759345</v>
      </c>
      <c r="AQ86" s="72">
        <v>8.1517773019271947E-2</v>
      </c>
    </row>
    <row r="87" spans="1:43">
      <c r="D87" s="40" t="s">
        <v>69</v>
      </c>
      <c r="T87" s="69">
        <v>1926</v>
      </c>
      <c r="U87" s="70">
        <v>0.41395000000000004</v>
      </c>
      <c r="V87" s="71">
        <v>0.19251464435146443</v>
      </c>
      <c r="W87" s="72">
        <v>8.6699999999999999E-2</v>
      </c>
      <c r="Y87" s="69">
        <v>1926</v>
      </c>
      <c r="Z87" s="70">
        <v>0.42060000000000003</v>
      </c>
      <c r="AA87" s="71">
        <v>0.1782</v>
      </c>
      <c r="AB87" s="71">
        <v>6.9800000000000001E-2</v>
      </c>
      <c r="AC87" s="76">
        <v>0.24094039604396117</v>
      </c>
      <c r="AD87" s="77">
        <v>6.7998868052389957E-2</v>
      </c>
      <c r="AG87" s="69">
        <v>1926</v>
      </c>
      <c r="AH87" s="70">
        <v>0.45710000000000001</v>
      </c>
      <c r="AI87" s="71">
        <v>0.11100000000000002</v>
      </c>
      <c r="AJ87" s="71">
        <v>0.14699999999999999</v>
      </c>
      <c r="AK87" s="71">
        <v>0.1991</v>
      </c>
      <c r="AL87" s="71">
        <v>8.4600000000000009E-2</v>
      </c>
      <c r="AM87" s="70">
        <v>0.44069999999999998</v>
      </c>
      <c r="AN87" s="71">
        <v>0.18010000000000001</v>
      </c>
      <c r="AO87" s="72">
        <v>7.0699999999999999E-2</v>
      </c>
      <c r="AP87" s="71">
        <v>0.27518345869711214</v>
      </c>
      <c r="AQ87" s="72">
        <v>8.3416766595289071E-2</v>
      </c>
    </row>
    <row r="88" spans="1:43">
      <c r="D88" s="40" t="s">
        <v>70</v>
      </c>
      <c r="T88" s="69">
        <v>1927</v>
      </c>
      <c r="U88" s="70">
        <v>0.41215000000000002</v>
      </c>
      <c r="V88" s="71">
        <v>0.19054895397489538</v>
      </c>
      <c r="W88" s="72">
        <v>8.4900000000000003E-2</v>
      </c>
      <c r="Y88" s="69">
        <v>1927</v>
      </c>
      <c r="Z88" s="70">
        <v>0.42950000000000005</v>
      </c>
      <c r="AA88" s="71">
        <v>0.17449999999999999</v>
      </c>
      <c r="AB88" s="71">
        <v>6.8699999999999997E-2</v>
      </c>
      <c r="AC88" s="76">
        <v>0.26546135541419291</v>
      </c>
      <c r="AD88" s="77">
        <v>7.3915457672393672E-2</v>
      </c>
      <c r="AG88" s="69">
        <v>1927</v>
      </c>
      <c r="AH88" s="70">
        <v>0.4667</v>
      </c>
      <c r="AI88" s="71">
        <v>0.10980000000000004</v>
      </c>
      <c r="AJ88" s="71">
        <v>0.14659999999999995</v>
      </c>
      <c r="AK88" s="78">
        <v>0.21030000000000001</v>
      </c>
      <c r="AL88" s="78">
        <v>9.2499999999999999E-2</v>
      </c>
      <c r="AM88" s="70">
        <v>0.44670000000000004</v>
      </c>
      <c r="AN88" s="71">
        <v>0.18679999999999999</v>
      </c>
      <c r="AO88" s="72">
        <v>7.4700000000000003E-2</v>
      </c>
      <c r="AP88" s="71">
        <v>0.27893000000000001</v>
      </c>
      <c r="AQ88" s="72">
        <v>8.6519999999999986E-2</v>
      </c>
    </row>
    <row r="89" spans="1:43">
      <c r="T89" s="69">
        <v>1928</v>
      </c>
      <c r="U89" s="70">
        <v>0.41265000000000002</v>
      </c>
      <c r="V89" s="71">
        <v>0.19109497907949788</v>
      </c>
      <c r="W89" s="72">
        <v>8.539999999999999E-2</v>
      </c>
      <c r="Y89" s="69">
        <v>1928</v>
      </c>
      <c r="Z89" s="70">
        <v>0.42749999999999999</v>
      </c>
      <c r="AA89" s="71">
        <v>0.17269999999999999</v>
      </c>
      <c r="AB89" s="71">
        <v>6.7699999999999996E-2</v>
      </c>
      <c r="AC89" s="76">
        <v>0.26579440000612919</v>
      </c>
      <c r="AD89" s="77">
        <v>7.3217679743738287E-2</v>
      </c>
      <c r="AG89" s="69">
        <v>1928</v>
      </c>
      <c r="AH89" s="70">
        <v>0.4929</v>
      </c>
      <c r="AI89" s="71">
        <v>0.10729999999999996</v>
      </c>
      <c r="AJ89" s="71">
        <v>0.1462</v>
      </c>
      <c r="AK89" s="78">
        <v>0.2394</v>
      </c>
      <c r="AL89" s="78">
        <v>0.11539999999999999</v>
      </c>
      <c r="AM89" s="70">
        <v>0.46090000000000003</v>
      </c>
      <c r="AN89" s="71">
        <v>0.19600000000000001</v>
      </c>
      <c r="AO89" s="72">
        <v>8.1900000000000001E-2</v>
      </c>
      <c r="AP89" s="71">
        <v>0.29109000000000002</v>
      </c>
      <c r="AQ89" s="72">
        <v>8.8660000000000003E-2</v>
      </c>
    </row>
    <row r="90" spans="1:43">
      <c r="A90" s="112" t="s">
        <v>136</v>
      </c>
      <c r="B90" s="40" t="s">
        <v>137</v>
      </c>
      <c r="T90" s="69">
        <v>1929</v>
      </c>
      <c r="U90" s="70">
        <v>0.41054999999999997</v>
      </c>
      <c r="V90" s="71">
        <v>0.18880167364016737</v>
      </c>
      <c r="W90" s="72">
        <v>8.3299999999999999E-2</v>
      </c>
      <c r="Y90" s="69">
        <v>1929</v>
      </c>
      <c r="Z90" s="70">
        <v>0.41590000000000005</v>
      </c>
      <c r="AA90" s="71">
        <v>0.16149999999999998</v>
      </c>
      <c r="AB90" s="71">
        <v>6.25E-2</v>
      </c>
      <c r="AC90" s="76">
        <v>0.26458318104148654</v>
      </c>
      <c r="AD90" s="77">
        <v>7.1086079531965773E-2</v>
      </c>
      <c r="AG90" s="69">
        <v>1929</v>
      </c>
      <c r="AH90" s="70">
        <v>0.46710000000000002</v>
      </c>
      <c r="AI90" s="71">
        <v>0.10230000000000004</v>
      </c>
      <c r="AJ90" s="71">
        <v>0.14129999999999995</v>
      </c>
      <c r="AK90" s="78">
        <v>0.2235</v>
      </c>
      <c r="AL90" s="78">
        <v>0.1091</v>
      </c>
      <c r="AM90" s="70">
        <v>0.43759999999999999</v>
      </c>
      <c r="AN90" s="71">
        <v>0.18420000000000003</v>
      </c>
      <c r="AO90" s="72">
        <v>7.6200000000000004E-2</v>
      </c>
      <c r="AP90" s="71">
        <v>0.29243999999999998</v>
      </c>
      <c r="AQ90" s="72">
        <v>8.6709999999999995E-2</v>
      </c>
    </row>
    <row r="91" spans="1:43" ht="15" thickBot="1">
      <c r="T91" s="69">
        <v>1930</v>
      </c>
      <c r="U91" s="70">
        <v>0.40535000000000004</v>
      </c>
      <c r="V91" s="71">
        <v>0.18312301255230123</v>
      </c>
      <c r="W91" s="72">
        <v>7.8100000000000003E-2</v>
      </c>
      <c r="Y91" s="69">
        <v>1930</v>
      </c>
      <c r="Z91" s="70">
        <v>0.4108</v>
      </c>
      <c r="AA91" s="71">
        <v>0.15310000000000001</v>
      </c>
      <c r="AB91" s="71">
        <v>5.79E-2</v>
      </c>
      <c r="AC91" s="76">
        <v>0.26787234181075253</v>
      </c>
      <c r="AD91" s="77">
        <v>7.1090541513984015E-2</v>
      </c>
      <c r="AG91" s="69">
        <v>1930</v>
      </c>
      <c r="AH91" s="70">
        <v>0.43869999999999998</v>
      </c>
      <c r="AI91" s="71">
        <v>0.11809999999999996</v>
      </c>
      <c r="AJ91" s="71">
        <v>0.14840000000000003</v>
      </c>
      <c r="AK91" s="78">
        <v>0.17219999999999999</v>
      </c>
      <c r="AL91" s="78">
        <v>7.0699999999999999E-2</v>
      </c>
      <c r="AM91" s="70">
        <v>0.43070000000000003</v>
      </c>
      <c r="AN91" s="71">
        <v>0.16420000000000001</v>
      </c>
      <c r="AO91" s="72">
        <v>6.4000000000000001E-2</v>
      </c>
      <c r="AP91" s="71">
        <v>0.28627999999999998</v>
      </c>
      <c r="AQ91" s="72">
        <v>8.541E-2</v>
      </c>
    </row>
    <row r="92" spans="1:43">
      <c r="A92" s="104" t="s">
        <v>134</v>
      </c>
      <c r="B92" s="40" t="s">
        <v>411</v>
      </c>
      <c r="T92" s="69">
        <v>1931</v>
      </c>
      <c r="U92" s="70">
        <v>0.39895000000000003</v>
      </c>
      <c r="V92" s="71">
        <v>0.17613389121338913</v>
      </c>
      <c r="W92" s="72">
        <v>7.17E-2</v>
      </c>
      <c r="Y92" s="69">
        <v>1931</v>
      </c>
      <c r="Z92" s="70">
        <v>0.41119999999999995</v>
      </c>
      <c r="AA92" s="71">
        <v>0.14630000000000001</v>
      </c>
      <c r="AB92" s="71">
        <v>5.3699999999999998E-2</v>
      </c>
      <c r="AC92" s="76">
        <v>0.27174881792185696</v>
      </c>
      <c r="AD92" s="77">
        <v>7.0208940070841386E-2</v>
      </c>
      <c r="AG92" s="69">
        <v>1931</v>
      </c>
      <c r="AH92" s="70">
        <v>0.44540000000000002</v>
      </c>
      <c r="AI92" s="71">
        <v>0.1331</v>
      </c>
      <c r="AJ92" s="71">
        <v>0.1573</v>
      </c>
      <c r="AK92" s="78">
        <v>0.155</v>
      </c>
      <c r="AL92" s="78">
        <v>5.8899999999999994E-2</v>
      </c>
      <c r="AM92" s="70">
        <v>0.44400000000000001</v>
      </c>
      <c r="AN92" s="71">
        <v>0.1527</v>
      </c>
      <c r="AO92" s="72">
        <v>5.6799999999999996E-2</v>
      </c>
      <c r="AP92" s="71">
        <v>0.29338999999999998</v>
      </c>
      <c r="AQ92" s="72">
        <v>8.4680000000000005E-2</v>
      </c>
    </row>
    <row r="93" spans="1:43" ht="15" thickBot="1">
      <c r="A93" s="105" t="s">
        <v>138</v>
      </c>
      <c r="B93" s="40" t="s">
        <v>147</v>
      </c>
      <c r="T93" s="69">
        <v>1932</v>
      </c>
      <c r="U93" s="70">
        <v>0.39594999999999997</v>
      </c>
      <c r="V93" s="71">
        <v>0.17285774058577405</v>
      </c>
      <c r="W93" s="72">
        <v>6.8699999999999997E-2</v>
      </c>
      <c r="Y93" s="69">
        <v>1932</v>
      </c>
      <c r="Z93" s="70">
        <v>0.43439999999999995</v>
      </c>
      <c r="AA93" s="71">
        <v>0.14800000000000002</v>
      </c>
      <c r="AB93" s="71">
        <v>5.2199999999999996E-2</v>
      </c>
      <c r="AC93" s="76">
        <v>0.2813191738828022</v>
      </c>
      <c r="AD93" s="77">
        <v>7.1070680041821432E-2</v>
      </c>
      <c r="AG93" s="69">
        <v>1932</v>
      </c>
      <c r="AH93" s="70">
        <v>0.4637</v>
      </c>
      <c r="AI93" s="71">
        <v>0.13699999999999996</v>
      </c>
      <c r="AJ93" s="71">
        <v>0.1711</v>
      </c>
      <c r="AK93" s="78">
        <v>0.15560000000000002</v>
      </c>
      <c r="AL93" s="78">
        <v>5.9699999999999996E-2</v>
      </c>
      <c r="AM93" s="70">
        <v>0.46299999999999997</v>
      </c>
      <c r="AN93" s="71">
        <v>0.15479999999999999</v>
      </c>
      <c r="AO93" s="72">
        <v>5.9000000000000004E-2</v>
      </c>
      <c r="AP93" s="71">
        <v>0.30280000000000001</v>
      </c>
      <c r="AQ93" s="72">
        <v>8.2899999999999988E-2</v>
      </c>
    </row>
    <row r="94" spans="1:43">
      <c r="T94" s="69">
        <v>1933</v>
      </c>
      <c r="U94" s="70">
        <v>0.39474999999999999</v>
      </c>
      <c r="V94" s="71">
        <v>0.17154728033472805</v>
      </c>
      <c r="W94" s="72">
        <v>6.7500000000000004E-2</v>
      </c>
      <c r="Y94" s="69">
        <v>1933</v>
      </c>
      <c r="Z94" s="70">
        <v>0.44869999999999999</v>
      </c>
      <c r="AA94" s="71">
        <v>0.14949999999999999</v>
      </c>
      <c r="AB94" s="71">
        <v>5.2000000000000005E-2</v>
      </c>
      <c r="AC94" s="76">
        <v>0.27369972369799639</v>
      </c>
      <c r="AD94" s="77">
        <v>6.8208993224526601E-2</v>
      </c>
      <c r="AG94" s="69">
        <v>1933</v>
      </c>
      <c r="AH94" s="70">
        <v>0.45600000000000002</v>
      </c>
      <c r="AI94" s="71">
        <v>0.12410000000000004</v>
      </c>
      <c r="AJ94" s="71">
        <v>0.16729999999999998</v>
      </c>
      <c r="AK94" s="78">
        <v>0.1646</v>
      </c>
      <c r="AL94" s="78">
        <v>6.6100000000000006E-2</v>
      </c>
      <c r="AM94" s="70">
        <v>0.45030000000000003</v>
      </c>
      <c r="AN94" s="71">
        <v>0.15770000000000001</v>
      </c>
      <c r="AO94" s="72">
        <v>6.0499999999999998E-2</v>
      </c>
      <c r="AP94" s="71">
        <v>0.30075000000000002</v>
      </c>
      <c r="AQ94" s="72">
        <v>8.3080000000000001E-2</v>
      </c>
    </row>
    <row r="95" spans="1:43">
      <c r="B95" s="40" t="s">
        <v>146</v>
      </c>
      <c r="T95" s="69">
        <v>1934</v>
      </c>
      <c r="U95" s="70">
        <v>0.39505000000000001</v>
      </c>
      <c r="V95" s="71">
        <v>0.17187489539748954</v>
      </c>
      <c r="W95" s="72">
        <v>6.7799999999999999E-2</v>
      </c>
      <c r="Y95" s="69">
        <v>1934</v>
      </c>
      <c r="Z95" s="70">
        <v>0.46009999999999995</v>
      </c>
      <c r="AA95" s="71">
        <v>0.15279999999999999</v>
      </c>
      <c r="AB95" s="71">
        <v>5.3099999999999994E-2</v>
      </c>
      <c r="AC95" s="76">
        <v>0.26835849991694366</v>
      </c>
      <c r="AD95" s="77">
        <v>6.7108979680893827E-2</v>
      </c>
      <c r="AG95" s="69">
        <v>1934</v>
      </c>
      <c r="AH95" s="70">
        <v>0.45779999999999998</v>
      </c>
      <c r="AI95" s="71">
        <v>0.1207</v>
      </c>
      <c r="AJ95" s="71">
        <v>0.17310000000000003</v>
      </c>
      <c r="AK95" s="78">
        <v>0.16399999999999998</v>
      </c>
      <c r="AL95" s="78">
        <v>6.13E-2</v>
      </c>
      <c r="AM95" s="70">
        <v>0.45159999999999995</v>
      </c>
      <c r="AN95" s="71">
        <v>0.15869999999999998</v>
      </c>
      <c r="AO95" s="72">
        <v>5.8200000000000002E-2</v>
      </c>
      <c r="AP95" s="71">
        <v>0.29766999999999999</v>
      </c>
      <c r="AQ95" s="72">
        <v>8.3070000000000005E-2</v>
      </c>
    </row>
    <row r="96" spans="1:43">
      <c r="T96" s="69">
        <v>1935</v>
      </c>
      <c r="U96" s="70">
        <v>0.39685000000000004</v>
      </c>
      <c r="V96" s="71">
        <v>0.17384058577405859</v>
      </c>
      <c r="W96" s="72">
        <v>6.9599999999999995E-2</v>
      </c>
      <c r="Y96" s="69">
        <v>1935</v>
      </c>
      <c r="Z96" s="70">
        <v>0.46610000000000001</v>
      </c>
      <c r="AA96" s="71">
        <v>0.154</v>
      </c>
      <c r="AB96" s="71">
        <v>5.3099999999999994E-2</v>
      </c>
      <c r="AC96" s="76">
        <v>0.26617588193076031</v>
      </c>
      <c r="AD96" s="77">
        <v>6.7090409372641907E-2</v>
      </c>
      <c r="AG96" s="69">
        <v>1935</v>
      </c>
      <c r="AH96" s="70">
        <v>0.44490000000000002</v>
      </c>
      <c r="AI96" s="71">
        <v>0.12210000000000001</v>
      </c>
      <c r="AJ96" s="71">
        <v>0.15600000000000003</v>
      </c>
      <c r="AK96" s="78">
        <v>0.1668</v>
      </c>
      <c r="AL96" s="78">
        <v>6.3899999999999998E-2</v>
      </c>
      <c r="AM96" s="70">
        <v>0.43390000000000001</v>
      </c>
      <c r="AN96" s="71">
        <v>0.15629999999999999</v>
      </c>
      <c r="AO96" s="72">
        <v>5.7999999999999996E-2</v>
      </c>
      <c r="AP96" s="71">
        <v>0.30309999999999998</v>
      </c>
      <c r="AQ96" s="72">
        <v>8.4010000000000001E-2</v>
      </c>
    </row>
    <row r="97" spans="2:43">
      <c r="B97" s="40" t="s">
        <v>148</v>
      </c>
      <c r="T97" s="69">
        <v>1936</v>
      </c>
      <c r="U97" s="70">
        <v>0.39755000000000001</v>
      </c>
      <c r="V97" s="71">
        <v>0.17460502092050209</v>
      </c>
      <c r="W97" s="72">
        <v>7.0300000000000001E-2</v>
      </c>
      <c r="Y97" s="69">
        <v>1936</v>
      </c>
      <c r="Z97" s="70">
        <v>0.441</v>
      </c>
      <c r="AA97" s="71">
        <v>0.1474</v>
      </c>
      <c r="AB97" s="71">
        <v>5.1699999999999996E-2</v>
      </c>
      <c r="AC97" s="76">
        <v>0.24145278829160777</v>
      </c>
      <c r="AD97" s="77">
        <v>6.1073428152681498E-2</v>
      </c>
      <c r="AG97" s="69">
        <v>1936</v>
      </c>
      <c r="AH97" s="70">
        <v>0.46590000000000004</v>
      </c>
      <c r="AI97" s="71">
        <v>0.11950000000000002</v>
      </c>
      <c r="AJ97" s="71">
        <v>0.15350000000000003</v>
      </c>
      <c r="AK97" s="78">
        <v>0.19289999999999999</v>
      </c>
      <c r="AL97" s="78">
        <v>7.5700000000000003E-2</v>
      </c>
      <c r="AM97" s="70">
        <v>0.44770000000000004</v>
      </c>
      <c r="AN97" s="71">
        <v>0.1764</v>
      </c>
      <c r="AO97" s="72">
        <v>6.6900000000000001E-2</v>
      </c>
      <c r="AP97" s="71">
        <v>0.29694999999999999</v>
      </c>
      <c r="AQ97" s="72">
        <v>8.5969999999999991E-2</v>
      </c>
    </row>
    <row r="98" spans="2:43">
      <c r="T98" s="69">
        <v>1937</v>
      </c>
      <c r="U98" s="70">
        <v>0.38369999999999999</v>
      </c>
      <c r="V98" s="71">
        <v>0.16980000000000001</v>
      </c>
      <c r="W98" s="72">
        <v>6.59E-2</v>
      </c>
      <c r="Y98" s="69">
        <v>1937</v>
      </c>
      <c r="Z98" s="70">
        <v>0.42899999999999999</v>
      </c>
      <c r="AA98" s="71">
        <v>0.14460000000000001</v>
      </c>
      <c r="AB98" s="71">
        <v>5.2400000000000002E-2</v>
      </c>
      <c r="AC98" s="76">
        <v>0.23683959832174309</v>
      </c>
      <c r="AD98" s="77">
        <v>5.9302341602008014E-2</v>
      </c>
      <c r="AG98" s="69">
        <v>1937</v>
      </c>
      <c r="AH98" s="70">
        <v>0.44229999999999997</v>
      </c>
      <c r="AI98" s="71">
        <v>0.11959999999999994</v>
      </c>
      <c r="AJ98" s="71">
        <v>0.15120000000000006</v>
      </c>
      <c r="AK98" s="78">
        <v>0.17149999999999999</v>
      </c>
      <c r="AL98" s="78">
        <v>6.4899999999999999E-2</v>
      </c>
      <c r="AM98" s="70">
        <v>0.4335</v>
      </c>
      <c r="AN98" s="71">
        <v>0.16449999999999998</v>
      </c>
      <c r="AO98" s="72">
        <v>6.1600000000000002E-2</v>
      </c>
      <c r="AP98" s="71">
        <v>0.30059999999999998</v>
      </c>
      <c r="AQ98" s="72">
        <v>8.4070000000000006E-2</v>
      </c>
    </row>
    <row r="99" spans="2:43">
      <c r="T99" s="69">
        <v>1938</v>
      </c>
      <c r="U99" s="70">
        <v>0.38329999999999997</v>
      </c>
      <c r="V99" s="71">
        <v>0.16944904458598728</v>
      </c>
      <c r="W99" s="72">
        <v>6.5700000000000008E-2</v>
      </c>
      <c r="Y99" s="69">
        <v>1938</v>
      </c>
      <c r="Z99" s="70">
        <v>0.42520000000000002</v>
      </c>
      <c r="AA99" s="71">
        <v>0.14269999999999999</v>
      </c>
      <c r="AB99" s="71">
        <v>5.0499999999999996E-2</v>
      </c>
      <c r="AC99" s="76">
        <v>0.24503682591239323</v>
      </c>
      <c r="AD99" s="77">
        <v>6.0359150910564797E-2</v>
      </c>
      <c r="AG99" s="69">
        <v>1938</v>
      </c>
      <c r="AH99" s="70">
        <v>0.44069999999999998</v>
      </c>
      <c r="AI99" s="71">
        <v>0.1273</v>
      </c>
      <c r="AJ99" s="71">
        <v>0.15590000000000001</v>
      </c>
      <c r="AK99" s="78">
        <v>0.1575</v>
      </c>
      <c r="AL99" s="78">
        <v>5.8799999999999998E-2</v>
      </c>
      <c r="AM99" s="70">
        <v>0.43</v>
      </c>
      <c r="AN99" s="71">
        <v>0.14730000000000001</v>
      </c>
      <c r="AO99" s="72">
        <v>5.16E-2</v>
      </c>
      <c r="AP99" s="71">
        <v>0.29833999999999999</v>
      </c>
      <c r="AQ99" s="72">
        <v>8.1270000000000009E-2</v>
      </c>
    </row>
    <row r="100" spans="2:43">
      <c r="T100" s="69">
        <v>1939</v>
      </c>
      <c r="U100" s="70">
        <v>0.37890000000000001</v>
      </c>
      <c r="V100" s="71">
        <v>0.16558853503184714</v>
      </c>
      <c r="W100" s="72">
        <v>6.3500000000000001E-2</v>
      </c>
      <c r="Y100" s="69">
        <v>1939</v>
      </c>
      <c r="Z100" s="70">
        <v>0.38240000000000002</v>
      </c>
      <c r="AA100" s="71">
        <v>0.13300000000000001</v>
      </c>
      <c r="AB100" s="71">
        <v>4.99E-2</v>
      </c>
      <c r="AC100" s="76">
        <v>0.23037178322883153</v>
      </c>
      <c r="AD100" s="77">
        <v>5.6746757054453367E-2</v>
      </c>
      <c r="AG100" s="69">
        <v>1939</v>
      </c>
      <c r="AH100" s="70">
        <v>0.45520000000000005</v>
      </c>
      <c r="AI100" s="71">
        <v>0.13240000000000002</v>
      </c>
      <c r="AJ100" s="71">
        <v>0.161</v>
      </c>
      <c r="AK100" s="78">
        <v>0.1618</v>
      </c>
      <c r="AL100" s="78">
        <v>5.8700000000000002E-2</v>
      </c>
      <c r="AM100" s="70">
        <v>0.44569999999999999</v>
      </c>
      <c r="AN100" s="71">
        <v>0.15390000000000001</v>
      </c>
      <c r="AO100" s="72">
        <v>5.45E-2</v>
      </c>
      <c r="AP100" s="71">
        <v>0.30645</v>
      </c>
      <c r="AQ100" s="72">
        <v>8.1969999999999987E-2</v>
      </c>
    </row>
    <row r="101" spans="2:43">
      <c r="T101" s="69">
        <v>1940</v>
      </c>
      <c r="U101" s="70">
        <v>0.36530000000000001</v>
      </c>
      <c r="V101" s="71">
        <v>0.15365605095541401</v>
      </c>
      <c r="W101" s="72">
        <v>5.67E-2</v>
      </c>
      <c r="Y101" s="69">
        <v>1940</v>
      </c>
      <c r="Z101" s="70">
        <v>0.3911</v>
      </c>
      <c r="AA101" s="71">
        <v>0.13350000000000001</v>
      </c>
      <c r="AB101" s="71">
        <v>4.9000000000000002E-2</v>
      </c>
      <c r="AC101" s="76">
        <v>0.22538547181170507</v>
      </c>
      <c r="AD101" s="77">
        <v>5.3518494640456001E-2</v>
      </c>
      <c r="AG101" s="69">
        <v>1940</v>
      </c>
      <c r="AH101" s="70">
        <v>0.45289999999999997</v>
      </c>
      <c r="AI101" s="71">
        <v>0.13070000000000001</v>
      </c>
      <c r="AJ101" s="71">
        <v>0.15739999999999998</v>
      </c>
      <c r="AK101" s="78">
        <v>0.1648</v>
      </c>
      <c r="AL101" s="78">
        <v>6.0100000000000001E-2</v>
      </c>
      <c r="AM101" s="70">
        <v>0.44429999999999997</v>
      </c>
      <c r="AN101" s="71">
        <v>0.1573</v>
      </c>
      <c r="AO101" s="72">
        <v>5.57E-2</v>
      </c>
      <c r="AP101" s="71">
        <v>0.30853000000000003</v>
      </c>
      <c r="AQ101" s="72">
        <v>8.3690000000000001E-2</v>
      </c>
    </row>
    <row r="102" spans="2:43">
      <c r="T102" s="69">
        <v>1941</v>
      </c>
      <c r="U102" s="70">
        <v>0.35189999999999999</v>
      </c>
      <c r="V102" s="71">
        <v>0.14189904458598726</v>
      </c>
      <c r="W102" s="72">
        <v>0.05</v>
      </c>
      <c r="Y102" s="69">
        <v>1941</v>
      </c>
      <c r="Z102" s="70">
        <v>0.38700000000000001</v>
      </c>
      <c r="AA102" s="71">
        <v>0.1288</v>
      </c>
      <c r="AB102" s="71">
        <v>4.2699999999999995E-2</v>
      </c>
      <c r="AC102" s="76">
        <v>0.22302269903127042</v>
      </c>
      <c r="AD102" s="77">
        <v>5.0936480250208319E-2</v>
      </c>
      <c r="AG102" s="69">
        <v>1941</v>
      </c>
      <c r="AH102" s="70">
        <v>0.41930000000000001</v>
      </c>
      <c r="AI102" s="71">
        <v>0.11940000000000001</v>
      </c>
      <c r="AJ102" s="71">
        <v>0.14199999999999999</v>
      </c>
      <c r="AK102" s="78">
        <v>0.15789999999999998</v>
      </c>
      <c r="AL102" s="78">
        <v>5.8099999999999999E-2</v>
      </c>
      <c r="AM102" s="70">
        <v>0.41020000000000001</v>
      </c>
      <c r="AN102" s="71">
        <v>0.15010000000000001</v>
      </c>
      <c r="AO102" s="72">
        <v>5.2900000000000003E-2</v>
      </c>
      <c r="AP102" s="71">
        <v>0.29333999999999999</v>
      </c>
      <c r="AQ102" s="72">
        <v>8.1110000000000002E-2</v>
      </c>
    </row>
    <row r="103" spans="2:43">
      <c r="T103" s="69">
        <v>1942</v>
      </c>
      <c r="U103" s="70">
        <v>0.3407</v>
      </c>
      <c r="V103" s="71">
        <v>0.13207229299363057</v>
      </c>
      <c r="W103" s="72">
        <v>4.4400000000000002E-2</v>
      </c>
      <c r="Y103" s="69">
        <v>1942</v>
      </c>
      <c r="Z103" s="70">
        <v>0.35039999999999999</v>
      </c>
      <c r="AA103" s="71">
        <v>0.1153</v>
      </c>
      <c r="AB103" s="71">
        <v>3.6400000000000002E-2</v>
      </c>
      <c r="AC103" s="76">
        <v>0.22193062982056108</v>
      </c>
      <c r="AD103" s="77">
        <v>4.8667474275091938E-2</v>
      </c>
      <c r="AG103" s="69">
        <v>1942</v>
      </c>
      <c r="AH103" s="70">
        <v>0.36130000000000001</v>
      </c>
      <c r="AI103" s="71">
        <v>0.10330000000000002</v>
      </c>
      <c r="AJ103" s="71">
        <v>0.1237</v>
      </c>
      <c r="AK103" s="78">
        <v>0.1343</v>
      </c>
      <c r="AL103" s="78">
        <v>4.8099999999999997E-2</v>
      </c>
      <c r="AM103" s="70">
        <v>0.35489999999999999</v>
      </c>
      <c r="AN103" s="71">
        <v>0.12909999999999999</v>
      </c>
      <c r="AO103" s="72">
        <v>4.4800000000000006E-2</v>
      </c>
      <c r="AP103" s="71">
        <v>0.27079999999999999</v>
      </c>
      <c r="AQ103" s="72">
        <v>7.2120000000000004E-2</v>
      </c>
    </row>
    <row r="104" spans="2:43">
      <c r="T104" s="69">
        <v>1943</v>
      </c>
      <c r="U104" s="70">
        <v>0.33649999999999997</v>
      </c>
      <c r="V104" s="71">
        <v>0.12838726114649682</v>
      </c>
      <c r="W104" s="72">
        <v>4.2300000000000004E-2</v>
      </c>
      <c r="Y104" s="69">
        <v>1943</v>
      </c>
      <c r="Z104" s="70">
        <v>0.3226</v>
      </c>
      <c r="AA104" s="71">
        <v>0.1013</v>
      </c>
      <c r="AB104" s="71">
        <v>3.0099999999999998E-2</v>
      </c>
      <c r="AC104" s="76">
        <v>0.22590987779712618</v>
      </c>
      <c r="AD104" s="77">
        <v>4.6647669918068166E-2</v>
      </c>
      <c r="AG104" s="69">
        <v>1943</v>
      </c>
      <c r="AH104" s="70">
        <v>0.33689999999999998</v>
      </c>
      <c r="AI104" s="71">
        <v>9.6099999999999991E-2</v>
      </c>
      <c r="AJ104" s="71">
        <v>0.11769999999999997</v>
      </c>
      <c r="AK104" s="78">
        <v>0.1231</v>
      </c>
      <c r="AL104" s="78">
        <v>4.2599999999999999E-2</v>
      </c>
      <c r="AM104" s="70">
        <v>0.32669999999999999</v>
      </c>
      <c r="AN104" s="71">
        <v>0.1148</v>
      </c>
      <c r="AO104" s="72">
        <v>3.78E-2</v>
      </c>
      <c r="AP104" s="71">
        <v>0.25879000000000002</v>
      </c>
      <c r="AQ104" s="72">
        <v>6.4240000000000005E-2</v>
      </c>
    </row>
    <row r="105" spans="2:43">
      <c r="T105" s="69">
        <v>1944</v>
      </c>
      <c r="U105" s="70">
        <v>0.33449999999999996</v>
      </c>
      <c r="V105" s="71">
        <v>0.12663248407643313</v>
      </c>
      <c r="W105" s="72">
        <v>4.1299999999999996E-2</v>
      </c>
      <c r="Y105" s="69">
        <v>1944</v>
      </c>
      <c r="Z105" s="70">
        <v>0.29420000000000002</v>
      </c>
      <c r="AA105" s="71">
        <v>8.3699999999999997E-2</v>
      </c>
      <c r="AB105" s="71">
        <v>2.3199999999999998E-2</v>
      </c>
      <c r="AC105" s="76">
        <v>0.22954335414728622</v>
      </c>
      <c r="AD105" s="77">
        <v>5.1542692723447178E-2</v>
      </c>
      <c r="AG105" s="69">
        <v>1944</v>
      </c>
      <c r="AH105" s="70">
        <v>0.3251</v>
      </c>
      <c r="AI105" s="71">
        <v>9.7399999999999987E-2</v>
      </c>
      <c r="AJ105" s="71">
        <v>0.1149</v>
      </c>
      <c r="AK105" s="78">
        <v>0.1128</v>
      </c>
      <c r="AL105" s="78">
        <v>3.7599999999999995E-2</v>
      </c>
      <c r="AM105" s="70">
        <v>0.3155</v>
      </c>
      <c r="AN105" s="71">
        <v>0.10539999999999999</v>
      </c>
      <c r="AO105" s="72">
        <v>3.3300000000000003E-2</v>
      </c>
      <c r="AP105" s="71">
        <v>0.24609000000000003</v>
      </c>
      <c r="AQ105" s="72">
        <v>5.5640000000000002E-2</v>
      </c>
    </row>
    <row r="106" spans="2:43">
      <c r="T106" s="69">
        <v>1945</v>
      </c>
      <c r="U106" s="70">
        <v>0.33649999999999997</v>
      </c>
      <c r="V106" s="71">
        <v>0.12838726114649682</v>
      </c>
      <c r="W106" s="72">
        <v>4.2300000000000004E-2</v>
      </c>
      <c r="Y106" s="69">
        <v>1945</v>
      </c>
      <c r="Z106" s="70">
        <v>0.29699999999999999</v>
      </c>
      <c r="AA106" s="71">
        <v>7.5399999999999995E-2</v>
      </c>
      <c r="AB106" s="71">
        <v>1.9599999999999999E-2</v>
      </c>
      <c r="AC106" s="76">
        <v>0.24115695507050983</v>
      </c>
      <c r="AD106" s="77">
        <v>5.9403434524724623E-2</v>
      </c>
      <c r="AG106" s="69">
        <v>1945</v>
      </c>
      <c r="AH106" s="70">
        <v>0.34420000000000001</v>
      </c>
      <c r="AI106" s="71">
        <v>9.6300000000000024E-2</v>
      </c>
      <c r="AJ106" s="71">
        <v>0.12269999999999999</v>
      </c>
      <c r="AK106" s="78">
        <v>0.12520000000000001</v>
      </c>
      <c r="AL106" s="78">
        <v>4.1599999999999998E-2</v>
      </c>
      <c r="AM106" s="70">
        <v>0.32640000000000002</v>
      </c>
      <c r="AN106" s="71">
        <v>0.11070000000000001</v>
      </c>
      <c r="AO106" s="72">
        <v>3.32E-2</v>
      </c>
      <c r="AP106" s="71">
        <v>0.24045000000000002</v>
      </c>
      <c r="AQ106" s="72">
        <v>5.7259999999999998E-2</v>
      </c>
    </row>
    <row r="107" spans="2:43">
      <c r="T107" s="69">
        <v>1946</v>
      </c>
      <c r="U107" s="70">
        <v>0.34149999999999997</v>
      </c>
      <c r="V107" s="71">
        <v>0.13277420382165606</v>
      </c>
      <c r="W107" s="72">
        <v>4.4800000000000006E-2</v>
      </c>
      <c r="Y107" s="69">
        <v>1946</v>
      </c>
      <c r="Z107" s="70">
        <v>0.32869999999999999</v>
      </c>
      <c r="AA107" s="71">
        <v>9.2200000000000004E-2</v>
      </c>
      <c r="AB107" s="71">
        <v>2.6099999999999998E-2</v>
      </c>
      <c r="AC107" s="76">
        <v>0.26941143255511002</v>
      </c>
      <c r="AD107" s="77">
        <v>6.5731856679198439E-2</v>
      </c>
      <c r="AG107" s="69">
        <v>1946</v>
      </c>
      <c r="AH107" s="70">
        <v>0.36700000000000005</v>
      </c>
      <c r="AI107" s="71">
        <v>9.9300000000000027E-2</v>
      </c>
      <c r="AJ107" s="71">
        <v>0.13489999999999999</v>
      </c>
      <c r="AK107" s="78">
        <v>0.1328</v>
      </c>
      <c r="AL107" s="78">
        <v>4.3899999999999995E-2</v>
      </c>
      <c r="AM107" s="70">
        <v>0.34619999999999995</v>
      </c>
      <c r="AN107" s="71">
        <v>0.1176</v>
      </c>
      <c r="AO107" s="72">
        <v>3.4300000000000004E-2</v>
      </c>
      <c r="AP107" s="71">
        <v>0.25103999999999999</v>
      </c>
      <c r="AQ107" s="72">
        <v>6.3979999999999995E-2</v>
      </c>
    </row>
    <row r="108" spans="2:43">
      <c r="K108" s="40">
        <v>3</v>
      </c>
      <c r="T108" s="69">
        <v>1947</v>
      </c>
      <c r="U108" s="70">
        <v>0.33390000000000003</v>
      </c>
      <c r="V108" s="71">
        <v>0.126106050955414</v>
      </c>
      <c r="W108" s="72">
        <v>4.0999999999999995E-2</v>
      </c>
      <c r="Y108" s="69">
        <v>1947</v>
      </c>
      <c r="Z108" s="70">
        <v>0.33200000000000002</v>
      </c>
      <c r="AA108" s="71">
        <v>9.2200000000000004E-2</v>
      </c>
      <c r="AB108" s="71">
        <v>2.5899999999999999E-2</v>
      </c>
      <c r="AC108" s="76">
        <v>0.25686020589682357</v>
      </c>
      <c r="AD108" s="77">
        <v>6.8280875338387476E-2</v>
      </c>
      <c r="AG108" s="69">
        <v>1947</v>
      </c>
      <c r="AH108" s="70">
        <v>0.34350000000000003</v>
      </c>
      <c r="AI108" s="71">
        <v>9.6700000000000022E-2</v>
      </c>
      <c r="AJ108" s="71">
        <v>0.12719999999999998</v>
      </c>
      <c r="AK108" s="78">
        <v>0.11960000000000001</v>
      </c>
      <c r="AL108" s="78">
        <v>3.9199999999999999E-2</v>
      </c>
      <c r="AM108" s="70">
        <v>0.33020000000000005</v>
      </c>
      <c r="AN108" s="71">
        <v>0.10949999999999999</v>
      </c>
      <c r="AO108" s="72">
        <v>3.2400000000000005E-2</v>
      </c>
      <c r="AP108" s="71">
        <v>0.24969000000000002</v>
      </c>
      <c r="AQ108" s="72">
        <v>6.2740000000000004E-2</v>
      </c>
    </row>
    <row r="109" spans="2:43">
      <c r="T109" s="69">
        <v>1948</v>
      </c>
      <c r="U109" s="70">
        <v>0.32909999999999995</v>
      </c>
      <c r="V109" s="71">
        <v>0.12189458598726115</v>
      </c>
      <c r="W109" s="72">
        <v>3.8599999999999995E-2</v>
      </c>
      <c r="Y109" s="69">
        <v>1948</v>
      </c>
      <c r="Z109" s="70">
        <v>0.32350000000000001</v>
      </c>
      <c r="AA109" s="71">
        <v>8.7499999999999994E-2</v>
      </c>
      <c r="AB109" s="71">
        <v>2.4300000000000002E-2</v>
      </c>
      <c r="AC109" s="76">
        <v>0.26332640092245169</v>
      </c>
      <c r="AD109" s="77">
        <v>6.910325844925605E-2</v>
      </c>
      <c r="AG109" s="69">
        <v>1948</v>
      </c>
      <c r="AH109" s="70">
        <v>0.35009999999999997</v>
      </c>
      <c r="AI109" s="71">
        <v>9.9499999999999991E-2</v>
      </c>
      <c r="AJ109" s="71">
        <v>0.12819999999999998</v>
      </c>
      <c r="AK109" s="78">
        <v>0.12240000000000001</v>
      </c>
      <c r="AL109" s="78">
        <v>4.0599999999999997E-2</v>
      </c>
      <c r="AM109" s="70">
        <v>0.3372</v>
      </c>
      <c r="AN109" s="71">
        <v>0.11269999999999999</v>
      </c>
      <c r="AO109" s="72">
        <v>3.44E-2</v>
      </c>
      <c r="AP109" s="71">
        <v>0.25033</v>
      </c>
      <c r="AQ109" s="72">
        <v>6.2089999999999999E-2</v>
      </c>
    </row>
    <row r="110" spans="2:43">
      <c r="T110" s="69">
        <v>1949</v>
      </c>
      <c r="U110" s="70">
        <v>0.32250000000000001</v>
      </c>
      <c r="V110" s="71">
        <v>0.11470000000000001</v>
      </c>
      <c r="W110" s="72">
        <v>3.4500000000000003E-2</v>
      </c>
      <c r="Y110" s="69">
        <v>1949</v>
      </c>
      <c r="Z110" s="70">
        <v>0.32200000000000001</v>
      </c>
      <c r="AA110" s="71">
        <v>9.01E-2</v>
      </c>
      <c r="AB110" s="71">
        <v>2.6099999999999998E-2</v>
      </c>
      <c r="AC110" s="76">
        <v>0.24430897923853706</v>
      </c>
      <c r="AD110" s="77">
        <v>7.0829893997576499E-2</v>
      </c>
      <c r="AG110" s="69">
        <v>1949</v>
      </c>
      <c r="AH110" s="70">
        <v>0.34749999999999998</v>
      </c>
      <c r="AI110" s="71">
        <v>0.10239999999999999</v>
      </c>
      <c r="AJ110" s="71">
        <v>0.12780000000000002</v>
      </c>
      <c r="AK110" s="78">
        <v>0.1173</v>
      </c>
      <c r="AL110" s="78">
        <v>3.8300000000000001E-2</v>
      </c>
      <c r="AM110" s="70">
        <v>0.33759999999999996</v>
      </c>
      <c r="AN110" s="71">
        <v>0.10949999999999999</v>
      </c>
      <c r="AO110" s="72">
        <v>3.3399999999999999E-2</v>
      </c>
      <c r="AP110" s="71">
        <v>0.25002999999999997</v>
      </c>
      <c r="AQ110" s="72">
        <v>6.1189999999999994E-2</v>
      </c>
    </row>
    <row r="111" spans="2:43">
      <c r="T111" s="69">
        <v>1950</v>
      </c>
      <c r="U111" s="73" t="e">
        <v>#N/A</v>
      </c>
      <c r="V111" s="71" t="e">
        <v>#N/A</v>
      </c>
      <c r="W111" s="72" t="e">
        <v>#N/A</v>
      </c>
      <c r="Y111" s="69">
        <v>1950</v>
      </c>
      <c r="Z111" s="70">
        <v>0.31969999999999998</v>
      </c>
      <c r="AA111" s="71">
        <v>8.9800000000000005E-2</v>
      </c>
      <c r="AB111" s="71">
        <v>2.6000000000000002E-2</v>
      </c>
      <c r="AC111" s="76">
        <v>0.26979259594807981</v>
      </c>
      <c r="AD111" s="77">
        <v>6.992564156012461E-2</v>
      </c>
      <c r="AG111" s="69">
        <v>1950</v>
      </c>
      <c r="AH111" s="70">
        <v>0.35560000000000003</v>
      </c>
      <c r="AI111" s="71">
        <v>0.10030000000000001</v>
      </c>
      <c r="AJ111" s="71">
        <v>0.12710000000000002</v>
      </c>
      <c r="AK111" s="78">
        <v>0.12820000000000001</v>
      </c>
      <c r="AL111" s="78">
        <v>4.3899999999999995E-2</v>
      </c>
      <c r="AM111" s="70">
        <v>0.3387</v>
      </c>
      <c r="AN111" s="71">
        <v>0.11359999999999999</v>
      </c>
      <c r="AO111" s="72">
        <v>3.5299999999999998E-2</v>
      </c>
      <c r="AP111" s="71">
        <v>0.25184000000000001</v>
      </c>
      <c r="AQ111" s="72">
        <v>6.2350000000000003E-2</v>
      </c>
    </row>
    <row r="112" spans="2:43">
      <c r="K112" s="45" t="s">
        <v>101</v>
      </c>
      <c r="L112" s="40" t="s">
        <v>181</v>
      </c>
      <c r="T112" s="69">
        <v>1951</v>
      </c>
      <c r="U112" s="70">
        <v>0.31670000000000004</v>
      </c>
      <c r="V112" s="71">
        <v>0.10890000000000001</v>
      </c>
      <c r="W112" s="72">
        <v>3.2099999999999997E-2</v>
      </c>
      <c r="Y112" s="69">
        <v>1951</v>
      </c>
      <c r="Z112" s="70">
        <v>0.32929999999999998</v>
      </c>
      <c r="AA112" s="71">
        <v>0.09</v>
      </c>
      <c r="AB112" s="71">
        <v>2.5499999999999998E-2</v>
      </c>
      <c r="AC112" s="76">
        <v>0.26824901325476302</v>
      </c>
      <c r="AD112" s="77">
        <v>6.8955976658126875E-2</v>
      </c>
      <c r="AG112" s="69">
        <v>1951</v>
      </c>
      <c r="AH112" s="70">
        <v>0.3422</v>
      </c>
      <c r="AI112" s="71">
        <v>0.1002</v>
      </c>
      <c r="AJ112" s="71">
        <v>0.1241</v>
      </c>
      <c r="AK112" s="78">
        <v>0.11789999999999999</v>
      </c>
      <c r="AL112" s="78">
        <v>3.8900000000000004E-2</v>
      </c>
      <c r="AM112" s="70">
        <v>0.32819999999999999</v>
      </c>
      <c r="AN112" s="71">
        <v>0.1052</v>
      </c>
      <c r="AO112" s="72">
        <v>3.1200000000000002E-2</v>
      </c>
      <c r="AP112" s="71">
        <v>0.24706</v>
      </c>
      <c r="AQ112" s="72">
        <v>5.9699999999999996E-2</v>
      </c>
    </row>
    <row r="113" spans="1:43">
      <c r="L113" s="40" t="s">
        <v>151</v>
      </c>
      <c r="T113" s="69">
        <v>1952</v>
      </c>
      <c r="U113" s="70">
        <v>0.30980000000000002</v>
      </c>
      <c r="V113" s="71">
        <v>0.10199999999999999</v>
      </c>
      <c r="W113" s="72">
        <v>2.9500000000000002E-2</v>
      </c>
      <c r="Y113" s="69">
        <v>1952</v>
      </c>
      <c r="Z113" s="70">
        <v>0.33189999999999997</v>
      </c>
      <c r="AA113" s="71">
        <v>9.1600000000000001E-2</v>
      </c>
      <c r="AB113" s="71">
        <v>2.53E-2</v>
      </c>
      <c r="AC113" s="76">
        <v>0.26688144679963238</v>
      </c>
      <c r="AD113" s="77">
        <v>7.0338284168112677E-2</v>
      </c>
      <c r="AG113" s="69">
        <v>1952</v>
      </c>
      <c r="AH113" s="70">
        <v>0.33210000000000001</v>
      </c>
      <c r="AI113" s="71">
        <v>0.1014</v>
      </c>
      <c r="AJ113" s="71">
        <v>0.12280000000000001</v>
      </c>
      <c r="AK113" s="78">
        <v>0.1079</v>
      </c>
      <c r="AL113" s="78">
        <v>3.4300000000000004E-2</v>
      </c>
      <c r="AM113" s="70">
        <v>0.32069999999999999</v>
      </c>
      <c r="AN113" s="71">
        <v>9.7599999999999992E-2</v>
      </c>
      <c r="AO113" s="72">
        <v>2.76E-2</v>
      </c>
      <c r="AP113" s="71">
        <v>0.24424999999999999</v>
      </c>
      <c r="AQ113" s="72">
        <v>5.7419999999999999E-2</v>
      </c>
    </row>
    <row r="114" spans="1:43">
      <c r="T114" s="69">
        <v>1953</v>
      </c>
      <c r="U114" s="70">
        <v>0.30499999999999999</v>
      </c>
      <c r="V114" s="71">
        <v>9.7200000000000009E-2</v>
      </c>
      <c r="W114" s="72">
        <v>2.7699999999999999E-2</v>
      </c>
      <c r="Y114" s="69">
        <v>1953</v>
      </c>
      <c r="Z114" s="70">
        <v>0.32890000000000003</v>
      </c>
      <c r="AA114" s="71">
        <v>0.09</v>
      </c>
      <c r="AB114" s="71">
        <v>2.4799999999999999E-2</v>
      </c>
      <c r="AC114" s="76">
        <v>0.24877891435876809</v>
      </c>
      <c r="AD114" s="77">
        <v>6.712431198518426E-2</v>
      </c>
      <c r="AG114" s="69">
        <v>1953</v>
      </c>
      <c r="AH114" s="70">
        <v>0.3231</v>
      </c>
      <c r="AI114" s="71">
        <v>0.10300000000000001</v>
      </c>
      <c r="AJ114" s="71">
        <v>0.12110000000000001</v>
      </c>
      <c r="AK114" s="78">
        <v>9.9000000000000005E-2</v>
      </c>
      <c r="AL114" s="78">
        <v>3.0600000000000002E-2</v>
      </c>
      <c r="AM114" s="70">
        <v>0.31379999999999997</v>
      </c>
      <c r="AN114" s="71">
        <v>9.0800000000000006E-2</v>
      </c>
      <c r="AO114" s="72">
        <v>2.5099999999999997E-2</v>
      </c>
      <c r="AP114" s="71">
        <v>0.24279000000000001</v>
      </c>
      <c r="AQ114" s="72">
        <v>5.6760000000000005E-2</v>
      </c>
    </row>
    <row r="115" spans="1:43">
      <c r="B115" s="40" t="s">
        <v>149</v>
      </c>
      <c r="T115" s="69">
        <v>1954</v>
      </c>
      <c r="U115" s="70">
        <v>0.30630000000000002</v>
      </c>
      <c r="V115" s="71">
        <v>9.6699999999999994E-2</v>
      </c>
      <c r="W115" s="72">
        <v>2.7200000000000002E-2</v>
      </c>
      <c r="Y115" s="69">
        <v>1954</v>
      </c>
      <c r="Z115" s="70">
        <v>0.33529999999999999</v>
      </c>
      <c r="AA115" s="71">
        <v>9.1400000000000009E-2</v>
      </c>
      <c r="AB115" s="71">
        <v>2.4500000000000001E-2</v>
      </c>
      <c r="AC115" s="76">
        <v>0.25486636484624331</v>
      </c>
      <c r="AD115" s="77">
        <v>7.0658470060100009E-2</v>
      </c>
      <c r="AG115" s="69">
        <v>1954</v>
      </c>
      <c r="AH115" s="70">
        <v>0.33640000000000003</v>
      </c>
      <c r="AI115" s="71">
        <v>0.10339999999999999</v>
      </c>
      <c r="AJ115" s="71">
        <v>0.12530000000000002</v>
      </c>
      <c r="AK115" s="78">
        <v>0.10769999999999999</v>
      </c>
      <c r="AL115" s="78">
        <v>3.49E-2</v>
      </c>
      <c r="AM115" s="70">
        <v>0.32119999999999999</v>
      </c>
      <c r="AN115" s="71">
        <v>9.3900000000000011E-2</v>
      </c>
      <c r="AO115" s="72">
        <v>2.5699999999999997E-2</v>
      </c>
      <c r="AP115" s="71">
        <v>0.24132999999999999</v>
      </c>
      <c r="AQ115" s="72">
        <v>5.6100000000000004E-2</v>
      </c>
    </row>
    <row r="116" spans="1:43">
      <c r="B116" s="40" t="s">
        <v>150</v>
      </c>
      <c r="T116" s="69">
        <v>1955</v>
      </c>
      <c r="U116" s="70">
        <v>0.30259999999999998</v>
      </c>
      <c r="V116" s="71">
        <v>9.3000000000000013E-2</v>
      </c>
      <c r="W116" s="72">
        <v>2.6499999999999999E-2</v>
      </c>
      <c r="Y116" s="69">
        <v>1955</v>
      </c>
      <c r="Z116" s="70">
        <v>0.34420000000000001</v>
      </c>
      <c r="AA116" s="71">
        <v>9.3299999999999994E-2</v>
      </c>
      <c r="AB116" s="71">
        <v>2.4799999999999999E-2</v>
      </c>
      <c r="AC116" s="76">
        <v>0.25744179486087559</v>
      </c>
      <c r="AD116" s="77">
        <v>7.2884429633281372E-2</v>
      </c>
      <c r="AG116" s="69">
        <v>1955</v>
      </c>
      <c r="AH116" s="70">
        <v>0.33939999999999998</v>
      </c>
      <c r="AI116" s="71">
        <v>0.10339999999999996</v>
      </c>
      <c r="AJ116" s="71">
        <v>0.12540000000000001</v>
      </c>
      <c r="AK116" s="78">
        <v>0.1106</v>
      </c>
      <c r="AL116" s="78">
        <v>3.7100000000000001E-2</v>
      </c>
      <c r="AM116" s="70">
        <v>0.31769999999999998</v>
      </c>
      <c r="AN116" s="71">
        <v>9.1799999999999993E-2</v>
      </c>
      <c r="AO116" s="72">
        <v>2.4900000000000002E-2</v>
      </c>
      <c r="AP116" s="71">
        <v>0.24331999999999998</v>
      </c>
      <c r="AQ116" s="72">
        <v>5.5830000000000005E-2</v>
      </c>
    </row>
    <row r="117" spans="1:43">
      <c r="T117" s="69">
        <v>1956</v>
      </c>
      <c r="U117" s="70">
        <v>0.29709999999999992</v>
      </c>
      <c r="V117" s="71">
        <v>8.7499999999999994E-2</v>
      </c>
      <c r="W117" s="72">
        <v>2.4199999999999999E-2</v>
      </c>
      <c r="Y117" s="69">
        <v>1956</v>
      </c>
      <c r="Z117" s="70">
        <v>0.34360000000000002</v>
      </c>
      <c r="AA117" s="71">
        <v>9.3699999999999992E-2</v>
      </c>
      <c r="AB117" s="71">
        <v>2.46E-2</v>
      </c>
      <c r="AC117" s="76">
        <v>0.25396130184821497</v>
      </c>
      <c r="AD117" s="77">
        <v>7.1889115072464274E-2</v>
      </c>
      <c r="AG117" s="69">
        <v>1956</v>
      </c>
      <c r="AH117" s="70">
        <v>0.33460000000000001</v>
      </c>
      <c r="AI117" s="71">
        <v>0.10330000000000002</v>
      </c>
      <c r="AJ117" s="71">
        <v>0.12459999999999999</v>
      </c>
      <c r="AK117" s="78">
        <v>0.1067</v>
      </c>
      <c r="AL117" s="78">
        <v>3.49E-2</v>
      </c>
      <c r="AM117" s="70">
        <v>0.31809999999999999</v>
      </c>
      <c r="AN117" s="71">
        <v>9.0899999999999995E-2</v>
      </c>
      <c r="AO117" s="72">
        <v>2.3799999999999998E-2</v>
      </c>
      <c r="AP117" s="71">
        <v>0.24531</v>
      </c>
      <c r="AQ117" s="72">
        <v>5.5559999999999998E-2</v>
      </c>
    </row>
    <row r="118" spans="1:43">
      <c r="B118" s="40" t="s">
        <v>412</v>
      </c>
      <c r="T118" s="69">
        <v>1957</v>
      </c>
      <c r="U118" s="70">
        <v>0.29659999999999997</v>
      </c>
      <c r="V118" s="71">
        <v>8.6999999999999994E-2</v>
      </c>
      <c r="W118" s="72">
        <v>2.3700000000000002E-2</v>
      </c>
      <c r="Y118" s="69">
        <v>1957</v>
      </c>
      <c r="Z118" s="70">
        <v>0.34740000000000004</v>
      </c>
      <c r="AA118" s="71">
        <v>9.3699999999999992E-2</v>
      </c>
      <c r="AB118" s="71">
        <v>2.4399999999999998E-2</v>
      </c>
      <c r="AC118" s="76">
        <v>0.26019438610117679</v>
      </c>
      <c r="AD118" s="77">
        <v>7.6520380706424793E-2</v>
      </c>
      <c r="AG118" s="69">
        <v>1957</v>
      </c>
      <c r="AH118" s="70">
        <v>0.32990000000000003</v>
      </c>
      <c r="AI118" s="71">
        <v>0.10390000000000001</v>
      </c>
      <c r="AJ118" s="71">
        <v>0.12440000000000001</v>
      </c>
      <c r="AK118" s="78">
        <v>0.1016</v>
      </c>
      <c r="AL118" s="78">
        <v>3.1800000000000002E-2</v>
      </c>
      <c r="AM118" s="70">
        <v>0.31690000000000002</v>
      </c>
      <c r="AN118" s="71">
        <v>8.9800000000000005E-2</v>
      </c>
      <c r="AO118" s="72">
        <v>2.3599999999999999E-2</v>
      </c>
      <c r="AP118" s="71">
        <v>0.24599499999999999</v>
      </c>
      <c r="AQ118" s="72">
        <v>5.4754999999999998E-2</v>
      </c>
    </row>
    <row r="119" spans="1:43">
      <c r="B119" s="40" t="s">
        <v>413</v>
      </c>
      <c r="T119" s="69">
        <v>1958</v>
      </c>
      <c r="U119" s="70">
        <v>0.29719999999999996</v>
      </c>
      <c r="V119" s="71">
        <v>8.7599999999999997E-2</v>
      </c>
      <c r="W119" s="72">
        <v>2.3799999999999998E-2</v>
      </c>
      <c r="Y119" s="69">
        <v>1958</v>
      </c>
      <c r="Z119" s="70">
        <v>0.34049999999999997</v>
      </c>
      <c r="AA119" s="71">
        <v>9.01E-2</v>
      </c>
      <c r="AB119" s="71">
        <v>2.3399999999999997E-2</v>
      </c>
      <c r="AC119" s="76">
        <v>0.27473669944430612</v>
      </c>
      <c r="AD119" s="77">
        <v>8.315946730295469E-2</v>
      </c>
      <c r="AG119" s="69">
        <v>1958</v>
      </c>
      <c r="AH119" s="70">
        <v>0.33560000000000001</v>
      </c>
      <c r="AI119" s="71">
        <v>0.10630000000000002</v>
      </c>
      <c r="AJ119" s="71">
        <v>0.12719999999999998</v>
      </c>
      <c r="AK119" s="78">
        <v>0.10210000000000001</v>
      </c>
      <c r="AL119" s="78">
        <v>3.2199999999999999E-2</v>
      </c>
      <c r="AM119" s="70">
        <v>0.3211</v>
      </c>
      <c r="AN119" s="71">
        <v>8.8300000000000003E-2</v>
      </c>
      <c r="AO119" s="72">
        <v>2.29E-2</v>
      </c>
      <c r="AP119" s="71">
        <v>0.24667999999999998</v>
      </c>
      <c r="AQ119" s="72">
        <v>5.3949999999999998E-2</v>
      </c>
    </row>
    <row r="120" spans="1:43">
      <c r="T120" s="69">
        <v>1959</v>
      </c>
      <c r="U120" s="70">
        <v>0.29960000000000003</v>
      </c>
      <c r="V120" s="71">
        <v>8.5999999999999993E-2</v>
      </c>
      <c r="W120" s="72">
        <v>2.3E-2</v>
      </c>
      <c r="Y120" s="69">
        <v>1959</v>
      </c>
      <c r="Z120" s="70">
        <v>0.35880000000000001</v>
      </c>
      <c r="AA120" s="71">
        <v>9.4600000000000004E-2</v>
      </c>
      <c r="AB120" s="71">
        <v>2.3700000000000002E-2</v>
      </c>
      <c r="AC120" s="76">
        <v>0.26782111900050182</v>
      </c>
      <c r="AD120" s="77">
        <v>8.2078233573112003E-2</v>
      </c>
      <c r="AG120" s="69">
        <v>1959</v>
      </c>
      <c r="AH120" s="70">
        <v>0.34</v>
      </c>
      <c r="AI120" s="71">
        <v>0.1061</v>
      </c>
      <c r="AJ120" s="71">
        <v>0.12740000000000001</v>
      </c>
      <c r="AK120" s="78">
        <v>0.1065</v>
      </c>
      <c r="AL120" s="78">
        <v>3.4500000000000003E-2</v>
      </c>
      <c r="AM120" s="70">
        <v>0.32030000000000003</v>
      </c>
      <c r="AN120" s="71">
        <v>8.7499999999999994E-2</v>
      </c>
      <c r="AO120" s="72">
        <v>2.1899999999999999E-2</v>
      </c>
      <c r="AP120" s="71">
        <v>0.24946499999999999</v>
      </c>
      <c r="AQ120" s="72">
        <v>5.3280000000000001E-2</v>
      </c>
    </row>
    <row r="121" spans="1:43">
      <c r="B121" s="40" t="s">
        <v>157</v>
      </c>
      <c r="T121" s="69">
        <v>1960</v>
      </c>
      <c r="U121" s="70">
        <v>0.30229999999999996</v>
      </c>
      <c r="V121" s="71">
        <v>8.8699999999999987E-2</v>
      </c>
      <c r="W121" s="72">
        <v>2.4500000000000001E-2</v>
      </c>
      <c r="Y121" s="69">
        <v>1960</v>
      </c>
      <c r="Z121" s="70">
        <v>0.36109999999999998</v>
      </c>
      <c r="AA121" s="71">
        <v>9.7100000000000006E-2</v>
      </c>
      <c r="AB121" s="71">
        <v>2.4500000000000001E-2</v>
      </c>
      <c r="AC121" s="76">
        <v>0.26404205645175344</v>
      </c>
      <c r="AD121" s="77">
        <v>8.2887483095291967E-2</v>
      </c>
      <c r="AG121" s="69">
        <v>1960</v>
      </c>
      <c r="AH121" s="70">
        <v>0.33479999999999999</v>
      </c>
      <c r="AI121" s="71">
        <v>0.10909999999999996</v>
      </c>
      <c r="AJ121" s="71">
        <v>0.12540000000000001</v>
      </c>
      <c r="AK121" s="78">
        <v>0.1003</v>
      </c>
      <c r="AL121" s="78">
        <v>3.2500000000000001E-2</v>
      </c>
      <c r="AM121" s="70">
        <v>0.31659999999999999</v>
      </c>
      <c r="AN121" s="71">
        <v>8.3599999999999994E-2</v>
      </c>
      <c r="AO121" s="72">
        <v>2.1000000000000001E-2</v>
      </c>
      <c r="AP121" s="71">
        <v>0.25225000000000003</v>
      </c>
      <c r="AQ121" s="72">
        <v>5.2610000000000004E-2</v>
      </c>
    </row>
    <row r="122" spans="1:43">
      <c r="B122" s="40" t="s">
        <v>156</v>
      </c>
      <c r="T122" s="69">
        <v>1961</v>
      </c>
      <c r="U122" s="73" t="e">
        <v>#N/A</v>
      </c>
      <c r="V122" s="71" t="e">
        <v>#N/A</v>
      </c>
      <c r="W122" s="72" t="e">
        <v>#N/A</v>
      </c>
      <c r="Y122" s="69">
        <v>1961</v>
      </c>
      <c r="Z122" s="70">
        <v>0.36820000000000003</v>
      </c>
      <c r="AA122" s="71">
        <v>9.8800000000000013E-2</v>
      </c>
      <c r="AB122" s="71">
        <v>2.4799999999999999E-2</v>
      </c>
      <c r="AC122" s="76">
        <v>0.27405189621225268</v>
      </c>
      <c r="AD122" s="77">
        <v>7.9443740149753472E-2</v>
      </c>
      <c r="AG122" s="69">
        <v>1961</v>
      </c>
      <c r="AH122" s="70">
        <v>0.34250000000000003</v>
      </c>
      <c r="AI122" s="71">
        <v>0.1075</v>
      </c>
      <c r="AJ122" s="71">
        <v>0.12859999999999999</v>
      </c>
      <c r="AK122" s="78">
        <v>0.10640000000000001</v>
      </c>
      <c r="AL122" s="78">
        <v>3.6499999999999998E-2</v>
      </c>
      <c r="AM122" s="70">
        <v>0.31900000000000001</v>
      </c>
      <c r="AN122" s="71">
        <v>8.3400000000000002E-2</v>
      </c>
      <c r="AO122" s="72">
        <v>2.0499999999999997E-2</v>
      </c>
      <c r="AP122" s="71">
        <v>0.25212000000000001</v>
      </c>
      <c r="AQ122" s="72">
        <v>5.1970000000000002E-2</v>
      </c>
    </row>
    <row r="123" spans="1:43">
      <c r="T123" s="69">
        <v>1962</v>
      </c>
      <c r="U123" s="70">
        <v>0.29370000000000002</v>
      </c>
      <c r="V123" s="71">
        <v>8.43E-2</v>
      </c>
      <c r="W123" s="72">
        <v>2.29E-2</v>
      </c>
      <c r="Y123" s="69">
        <v>1962</v>
      </c>
      <c r="Z123" s="70">
        <v>0.35880000000000001</v>
      </c>
      <c r="AA123" s="71">
        <v>9.4600000000000004E-2</v>
      </c>
      <c r="AB123" s="71">
        <v>2.3399999999999997E-2</v>
      </c>
      <c r="AC123" s="76">
        <v>0.27379054764986288</v>
      </c>
      <c r="AD123" s="77">
        <v>7.7103097556697253E-2</v>
      </c>
      <c r="AG123" s="69">
        <v>1962</v>
      </c>
      <c r="AH123" s="70">
        <v>0.33700000000000002</v>
      </c>
      <c r="AI123" s="71">
        <v>0.10890000000000004</v>
      </c>
      <c r="AJ123" s="71">
        <v>0.12859999999999999</v>
      </c>
      <c r="AK123" s="78">
        <v>9.9499999999999991E-2</v>
      </c>
      <c r="AL123" s="78">
        <v>3.1899999999999998E-2</v>
      </c>
      <c r="AM123" s="70">
        <v>0.32040000000000002</v>
      </c>
      <c r="AN123" s="71">
        <v>8.2699999999999996E-2</v>
      </c>
      <c r="AO123" s="72">
        <v>1.9799999999999998E-2</v>
      </c>
      <c r="AP123" s="71">
        <v>0.25224000000000002</v>
      </c>
      <c r="AQ123" s="72">
        <v>5.1559999999999995E-2</v>
      </c>
    </row>
    <row r="124" spans="1:43">
      <c r="A124" s="112" t="s">
        <v>179</v>
      </c>
      <c r="B124" s="40" t="s">
        <v>166</v>
      </c>
      <c r="T124" s="69">
        <v>1963</v>
      </c>
      <c r="U124" s="70">
        <v>0.2994</v>
      </c>
      <c r="V124" s="71">
        <v>8.4900000000000003E-2</v>
      </c>
      <c r="W124" s="72">
        <v>2.23E-2</v>
      </c>
      <c r="Y124" s="69">
        <v>1963</v>
      </c>
      <c r="Z124" s="70">
        <v>0.36409999999999998</v>
      </c>
      <c r="AA124" s="71">
        <v>9.4299999999999995E-2</v>
      </c>
      <c r="AB124" s="71">
        <v>2.29E-2</v>
      </c>
      <c r="AC124" s="76">
        <v>0.27235402500146666</v>
      </c>
      <c r="AD124" s="77">
        <v>7.6215996645060471E-2</v>
      </c>
      <c r="AG124" s="69">
        <v>1963</v>
      </c>
      <c r="AH124" s="70">
        <v>0.33779999999999999</v>
      </c>
      <c r="AI124" s="71">
        <v>0.10940000000000001</v>
      </c>
      <c r="AJ124" s="71">
        <v>0.12920000000000001</v>
      </c>
      <c r="AK124" s="78">
        <v>9.9199999999999997E-2</v>
      </c>
      <c r="AL124" s="78">
        <v>3.15E-2</v>
      </c>
      <c r="AM124" s="70">
        <v>0.3201</v>
      </c>
      <c r="AN124" s="71">
        <v>8.1600000000000006E-2</v>
      </c>
      <c r="AO124" s="72">
        <v>1.9599999999999999E-2</v>
      </c>
      <c r="AP124" s="71">
        <v>0.25187999999999999</v>
      </c>
      <c r="AQ124" s="72">
        <v>5.1379999999999995E-2</v>
      </c>
    </row>
    <row r="125" spans="1:43">
      <c r="B125" s="40" t="s">
        <v>180</v>
      </c>
      <c r="T125" s="69">
        <v>1964</v>
      </c>
      <c r="U125" s="70">
        <v>0.29909999999999998</v>
      </c>
      <c r="V125" s="71">
        <v>8.48E-2</v>
      </c>
      <c r="W125" s="72">
        <v>2.2599999999999999E-2</v>
      </c>
      <c r="Y125" s="69">
        <v>1964</v>
      </c>
      <c r="Z125" s="70">
        <v>0.36840000000000006</v>
      </c>
      <c r="AA125" s="71">
        <v>9.5600000000000004E-2</v>
      </c>
      <c r="AB125" s="71">
        <v>2.3E-2</v>
      </c>
      <c r="AC125" s="76">
        <v>0.28029419066315708</v>
      </c>
      <c r="AD125" s="77">
        <v>7.7109546316870864E-2</v>
      </c>
      <c r="AG125" s="69">
        <v>1964</v>
      </c>
      <c r="AH125" s="70">
        <v>0.34420000000000001</v>
      </c>
      <c r="AI125" s="71">
        <v>0.10920000000000002</v>
      </c>
      <c r="AJ125" s="71">
        <v>0.13019999999999998</v>
      </c>
      <c r="AK125" s="78">
        <v>0.1048</v>
      </c>
      <c r="AL125" s="78">
        <v>3.3700000000000001E-2</v>
      </c>
      <c r="AM125" s="70">
        <v>0.31640000000000001</v>
      </c>
      <c r="AN125" s="71">
        <v>8.0199999999999994E-2</v>
      </c>
      <c r="AO125" s="72">
        <v>1.9699999999999999E-2</v>
      </c>
      <c r="AP125" s="71">
        <v>0.25152000000000002</v>
      </c>
      <c r="AQ125" s="72">
        <v>5.1200000000000002E-2</v>
      </c>
    </row>
    <row r="126" spans="1:43">
      <c r="T126" s="69">
        <v>1965</v>
      </c>
      <c r="U126" s="70">
        <v>0.29880000000000001</v>
      </c>
      <c r="V126" s="71">
        <v>8.5500000000000007E-2</v>
      </c>
      <c r="W126" s="72">
        <v>2.2799999999999997E-2</v>
      </c>
      <c r="Y126" s="69">
        <v>1965</v>
      </c>
      <c r="Z126" s="70">
        <v>0.3715</v>
      </c>
      <c r="AA126" s="71">
        <v>9.5799999999999996E-2</v>
      </c>
      <c r="AB126" s="71">
        <v>2.3E-2</v>
      </c>
      <c r="AC126" s="76">
        <v>0.2817737625591627</v>
      </c>
      <c r="AD126" s="77">
        <v>7.9427779589206687E-2</v>
      </c>
      <c r="AG126" s="69">
        <v>1965</v>
      </c>
      <c r="AH126" s="70">
        <v>0.3478</v>
      </c>
      <c r="AI126" s="71">
        <v>0.10900000000000003</v>
      </c>
      <c r="AJ126" s="71">
        <v>0.12989999999999999</v>
      </c>
      <c r="AK126" s="78">
        <v>0.10890000000000001</v>
      </c>
      <c r="AL126" s="78">
        <v>3.6600000000000001E-2</v>
      </c>
      <c r="AM126" s="70">
        <v>0.31519999999999998</v>
      </c>
      <c r="AN126" s="71">
        <v>8.0700000000000008E-2</v>
      </c>
      <c r="AO126" s="72">
        <v>2.0400000000000001E-2</v>
      </c>
      <c r="AP126" s="71">
        <v>0.25248000000000004</v>
      </c>
      <c r="AQ126" s="72">
        <v>5.1379999999999995E-2</v>
      </c>
    </row>
    <row r="127" spans="1:43">
      <c r="B127" s="40" t="s">
        <v>152</v>
      </c>
      <c r="T127" s="69">
        <v>1966</v>
      </c>
      <c r="U127" s="70">
        <v>0.28939999999999999</v>
      </c>
      <c r="V127" s="71">
        <v>7.9199999999999993E-2</v>
      </c>
      <c r="W127" s="72">
        <v>2.0400000000000001E-2</v>
      </c>
      <c r="Y127" s="69">
        <v>1966</v>
      </c>
      <c r="Z127" s="70">
        <v>0.36460000000000004</v>
      </c>
      <c r="AA127" s="71">
        <v>9.3599999999999989E-2</v>
      </c>
      <c r="AB127" s="71">
        <v>2.2599999999999999E-2</v>
      </c>
      <c r="AC127" s="76">
        <v>0.28387132701586337</v>
      </c>
      <c r="AD127" s="77">
        <v>8.2225670080660229E-2</v>
      </c>
      <c r="AG127" s="69">
        <v>1966</v>
      </c>
      <c r="AH127" s="70">
        <v>0.3367</v>
      </c>
      <c r="AI127" s="71">
        <v>0.1075</v>
      </c>
      <c r="AJ127" s="71">
        <v>0.12740000000000001</v>
      </c>
      <c r="AK127" s="78">
        <v>0.1018</v>
      </c>
      <c r="AL127" s="78">
        <v>3.39E-2</v>
      </c>
      <c r="AM127" s="70">
        <v>0.31980000000000003</v>
      </c>
      <c r="AN127" s="71">
        <v>8.3699999999999997E-2</v>
      </c>
      <c r="AO127" s="72">
        <v>2.1499999999999998E-2</v>
      </c>
      <c r="AP127" s="71">
        <v>0.25344</v>
      </c>
      <c r="AQ127" s="72">
        <v>5.1559999999999995E-2</v>
      </c>
    </row>
    <row r="128" spans="1:43" ht="15.6">
      <c r="B128" s="114" t="s">
        <v>153</v>
      </c>
      <c r="T128" s="69">
        <v>1967</v>
      </c>
      <c r="U128" s="70">
        <v>0.2878</v>
      </c>
      <c r="V128" s="71">
        <v>7.690000000000001E-2</v>
      </c>
      <c r="W128" s="72">
        <v>1.9099999999999999E-2</v>
      </c>
      <c r="Y128" s="69">
        <v>1967</v>
      </c>
      <c r="Z128" s="70">
        <v>0.36210000000000003</v>
      </c>
      <c r="AA128" s="71">
        <v>9.3599999999999989E-2</v>
      </c>
      <c r="AB128" s="71">
        <v>2.29E-2</v>
      </c>
      <c r="AC128" s="76">
        <v>0.28387691370238938</v>
      </c>
      <c r="AD128" s="77">
        <v>8.0202252250083775E-2</v>
      </c>
      <c r="AG128" s="69">
        <v>1967</v>
      </c>
      <c r="AH128" s="70">
        <v>0.34439999999999998</v>
      </c>
      <c r="AI128" s="71">
        <v>0.10739999999999998</v>
      </c>
      <c r="AJ128" s="71">
        <v>0.12959999999999999</v>
      </c>
      <c r="AK128" s="78">
        <v>0.1074</v>
      </c>
      <c r="AL128" s="78">
        <v>3.6799999999999999E-2</v>
      </c>
      <c r="AM128" s="70">
        <v>0.32049999999999995</v>
      </c>
      <c r="AN128" s="71">
        <v>8.43E-2</v>
      </c>
      <c r="AO128" s="72">
        <v>2.1600000000000001E-2</v>
      </c>
      <c r="AP128" s="71">
        <v>0.25773000000000001</v>
      </c>
      <c r="AQ128" s="72">
        <v>5.3350000000000002E-2</v>
      </c>
    </row>
    <row r="129" spans="1:43">
      <c r="T129" s="69">
        <v>1968</v>
      </c>
      <c r="U129" s="70">
        <v>0.28550000000000003</v>
      </c>
      <c r="V129" s="71">
        <v>7.5399999999999995E-2</v>
      </c>
      <c r="W129" s="72">
        <v>1.8700000000000001E-2</v>
      </c>
      <c r="Y129" s="69">
        <v>1968</v>
      </c>
      <c r="Z129" s="70">
        <v>0.34799999999999998</v>
      </c>
      <c r="AA129" s="71">
        <v>8.77E-2</v>
      </c>
      <c r="AB129" s="71">
        <v>2.1499999999999998E-2</v>
      </c>
      <c r="AC129" s="76">
        <v>0.27939224374429572</v>
      </c>
      <c r="AD129" s="77">
        <v>7.947945119323549E-2</v>
      </c>
      <c r="AG129" s="69">
        <v>1968</v>
      </c>
      <c r="AH129" s="70">
        <v>0.34850000000000003</v>
      </c>
      <c r="AI129" s="71">
        <v>0.10700000000000003</v>
      </c>
      <c r="AJ129" s="71">
        <v>0.12939999999999999</v>
      </c>
      <c r="AK129" s="78">
        <v>0.11210000000000001</v>
      </c>
      <c r="AL129" s="78">
        <v>4.0199999999999993E-2</v>
      </c>
      <c r="AM129" s="70">
        <v>0.31980000000000003</v>
      </c>
      <c r="AN129" s="71">
        <v>8.3499999999999991E-2</v>
      </c>
      <c r="AO129" s="72">
        <v>2.1499999999999998E-2</v>
      </c>
      <c r="AP129" s="71">
        <v>0.25602000000000003</v>
      </c>
      <c r="AQ129" s="72">
        <v>5.2409999999999998E-2</v>
      </c>
    </row>
    <row r="130" spans="1:43">
      <c r="B130" s="40" t="s">
        <v>154</v>
      </c>
      <c r="T130" s="69">
        <v>1969</v>
      </c>
      <c r="U130" s="70">
        <v>0.28720000000000001</v>
      </c>
      <c r="V130" s="71">
        <v>7.46E-2</v>
      </c>
      <c r="W130" s="72">
        <v>1.8500000000000003E-2</v>
      </c>
      <c r="Y130" s="69">
        <v>1969</v>
      </c>
      <c r="Z130" s="70">
        <v>0.33960000000000001</v>
      </c>
      <c r="AA130" s="71">
        <v>8.5500000000000007E-2</v>
      </c>
      <c r="AB130" s="71">
        <v>2.0899999999999998E-2</v>
      </c>
      <c r="AC130" s="76">
        <v>0.27467721557737834</v>
      </c>
      <c r="AD130" s="77">
        <v>6.6952509589893655E-2</v>
      </c>
      <c r="AG130" s="69">
        <v>1969</v>
      </c>
      <c r="AH130" s="70">
        <v>0.33929999999999999</v>
      </c>
      <c r="AI130" s="71">
        <v>0.10850000000000001</v>
      </c>
      <c r="AJ130" s="71">
        <v>0.1273</v>
      </c>
      <c r="AK130" s="78">
        <v>0.10349999999999999</v>
      </c>
      <c r="AL130" s="78">
        <v>3.6900000000000002E-2</v>
      </c>
      <c r="AM130" s="70">
        <v>0.31819999999999998</v>
      </c>
      <c r="AN130" s="71">
        <v>8.0199999999999994E-2</v>
      </c>
      <c r="AO130" s="72">
        <v>0.02</v>
      </c>
      <c r="AP130" s="71">
        <v>0.25707000000000002</v>
      </c>
      <c r="AQ130" s="72">
        <v>5.1879999999999996E-2</v>
      </c>
    </row>
    <row r="131" spans="1:43">
      <c r="B131" s="40" t="s">
        <v>155</v>
      </c>
      <c r="T131" s="69">
        <v>1970</v>
      </c>
      <c r="U131" s="70">
        <v>0.28820000000000001</v>
      </c>
      <c r="V131" s="71">
        <v>7.0499999999999993E-2</v>
      </c>
      <c r="W131" s="72">
        <v>1.6399999999999998E-2</v>
      </c>
      <c r="Y131" s="69">
        <v>1970</v>
      </c>
      <c r="Z131" s="70">
        <v>0.33140000000000003</v>
      </c>
      <c r="AA131" s="71">
        <v>8.3299999999999999E-2</v>
      </c>
      <c r="AB131" s="71">
        <v>2.0199999999999999E-2</v>
      </c>
      <c r="AC131" s="76">
        <v>0.27410292793828789</v>
      </c>
      <c r="AD131" s="77">
        <v>6.5200467998614092E-2</v>
      </c>
      <c r="AG131" s="69">
        <v>1970</v>
      </c>
      <c r="AH131" s="70">
        <v>0.32630000000000003</v>
      </c>
      <c r="AI131" s="71">
        <v>0.10970000000000002</v>
      </c>
      <c r="AJ131" s="71">
        <v>0.1263</v>
      </c>
      <c r="AK131" s="78">
        <v>9.0299999999999991E-2</v>
      </c>
      <c r="AL131" s="78">
        <v>2.7799999999999998E-2</v>
      </c>
      <c r="AM131" s="70">
        <v>0.31509999999999999</v>
      </c>
      <c r="AN131" s="71">
        <v>7.8E-2</v>
      </c>
      <c r="AO131" s="72">
        <v>1.9400000000000001E-2</v>
      </c>
      <c r="AP131" s="71">
        <v>0.25669000000000003</v>
      </c>
      <c r="AQ131" s="72">
        <v>5.1330000000000001E-2</v>
      </c>
    </row>
    <row r="132" spans="1:43">
      <c r="T132" s="69">
        <v>1971</v>
      </c>
      <c r="U132" s="70">
        <v>0.29289999999999999</v>
      </c>
      <c r="V132" s="71">
        <v>7.0199999999999999E-2</v>
      </c>
      <c r="W132" s="72">
        <v>1.67E-2</v>
      </c>
      <c r="Y132" s="69">
        <v>1971</v>
      </c>
      <c r="Z132" s="70">
        <v>0.33350000000000002</v>
      </c>
      <c r="AA132" s="71">
        <v>8.4700000000000011E-2</v>
      </c>
      <c r="AB132" s="71">
        <v>2.07E-2</v>
      </c>
      <c r="AC132" s="76">
        <v>0.27807889716647394</v>
      </c>
      <c r="AD132" s="77">
        <v>6.6427697327113372E-2</v>
      </c>
      <c r="AG132" s="69">
        <v>1971</v>
      </c>
      <c r="AH132" s="70">
        <v>0.33340000000000003</v>
      </c>
      <c r="AI132" s="71">
        <v>0.11080000000000002</v>
      </c>
      <c r="AJ132" s="71">
        <v>0.12860000000000002</v>
      </c>
      <c r="AK132" s="78">
        <v>9.4E-2</v>
      </c>
      <c r="AL132" s="78">
        <v>2.9900000000000003E-2</v>
      </c>
      <c r="AM132" s="70">
        <v>0.3175</v>
      </c>
      <c r="AN132" s="71">
        <v>7.7899999999999997E-2</v>
      </c>
      <c r="AO132" s="72">
        <v>1.9099999999999999E-2</v>
      </c>
      <c r="AP132" s="71">
        <v>0.25670999999999999</v>
      </c>
      <c r="AQ132" s="72">
        <v>5.1820000000000005E-2</v>
      </c>
    </row>
    <row r="133" spans="1:43">
      <c r="B133" s="40" t="s">
        <v>404</v>
      </c>
      <c r="T133" s="69">
        <v>1972</v>
      </c>
      <c r="U133" s="70">
        <v>0.28899999999999998</v>
      </c>
      <c r="V133" s="71">
        <v>6.9400000000000003E-2</v>
      </c>
      <c r="W133" s="72">
        <v>1.61E-2</v>
      </c>
      <c r="Y133" s="69">
        <v>1972</v>
      </c>
      <c r="Z133" s="70">
        <v>0.33030000000000004</v>
      </c>
      <c r="AA133" s="71">
        <v>8.5199999999999998E-2</v>
      </c>
      <c r="AB133" s="71">
        <v>2.1099999999999997E-2</v>
      </c>
      <c r="AC133" s="76">
        <v>0.27281991631829094</v>
      </c>
      <c r="AD133" s="77">
        <v>6.4386194221864992E-2</v>
      </c>
      <c r="AG133" s="69">
        <v>1972</v>
      </c>
      <c r="AH133" s="70">
        <v>0.33590000000000003</v>
      </c>
      <c r="AI133" s="71">
        <v>0.11070000000000003</v>
      </c>
      <c r="AJ133" s="71">
        <v>0.1288</v>
      </c>
      <c r="AK133" s="78">
        <v>9.64E-2</v>
      </c>
      <c r="AL133" s="78">
        <v>3.1300000000000001E-2</v>
      </c>
      <c r="AM133" s="70">
        <v>0.31620000000000004</v>
      </c>
      <c r="AN133" s="71">
        <v>7.7499999999999999E-2</v>
      </c>
      <c r="AO133" s="72">
        <v>1.9199999999999998E-2</v>
      </c>
      <c r="AP133" s="71">
        <v>0.25811000000000001</v>
      </c>
      <c r="AQ133" s="72">
        <v>5.3230000000000006E-2</v>
      </c>
    </row>
    <row r="134" spans="1:43">
      <c r="T134" s="69"/>
      <c r="U134" s="70"/>
      <c r="V134" s="71"/>
      <c r="W134" s="72"/>
      <c r="Y134" s="69"/>
      <c r="Z134" s="70"/>
      <c r="AA134" s="71"/>
      <c r="AB134" s="71"/>
      <c r="AC134" s="76"/>
      <c r="AD134" s="77"/>
      <c r="AG134" s="69"/>
      <c r="AH134" s="70"/>
      <c r="AI134" s="71"/>
      <c r="AJ134" s="71"/>
      <c r="AK134" s="78"/>
      <c r="AL134" s="78"/>
      <c r="AM134" s="70"/>
      <c r="AN134" s="71"/>
      <c r="AO134" s="72"/>
      <c r="AP134" s="71"/>
      <c r="AQ134" s="72"/>
    </row>
    <row r="135" spans="1:43">
      <c r="B135" s="45" t="s">
        <v>85</v>
      </c>
      <c r="E135" s="110" t="s">
        <v>435</v>
      </c>
      <c r="F135" s="110"/>
      <c r="G135" s="110"/>
      <c r="H135" s="110"/>
      <c r="I135" s="110"/>
      <c r="J135" s="110"/>
      <c r="T135" s="69">
        <v>1973</v>
      </c>
      <c r="U135" s="70">
        <v>0.28309999999999996</v>
      </c>
      <c r="V135" s="71">
        <v>6.9900000000000004E-2</v>
      </c>
      <c r="W135" s="72">
        <v>1.6799999999999999E-2</v>
      </c>
      <c r="Y135" s="69">
        <v>1973</v>
      </c>
      <c r="Z135" s="70">
        <v>0.33899999999999997</v>
      </c>
      <c r="AA135" s="71">
        <v>8.8699999999999987E-2</v>
      </c>
      <c r="AB135" s="71">
        <v>2.2599999999999999E-2</v>
      </c>
      <c r="AC135" s="76">
        <v>0.27225309516111407</v>
      </c>
      <c r="AD135" s="77">
        <v>6.8689692969455873E-2</v>
      </c>
      <c r="AG135" s="69">
        <v>1973</v>
      </c>
      <c r="AH135" s="70">
        <v>0.33329999999999999</v>
      </c>
      <c r="AI135" s="71">
        <v>0.11119999999999998</v>
      </c>
      <c r="AJ135" s="71">
        <v>0.1305</v>
      </c>
      <c r="AK135" s="78">
        <v>9.1600000000000001E-2</v>
      </c>
      <c r="AL135" s="78">
        <v>2.76E-2</v>
      </c>
      <c r="AM135" s="70">
        <v>0.31850000000000001</v>
      </c>
      <c r="AN135" s="71">
        <v>7.7399999999999997E-2</v>
      </c>
      <c r="AO135" s="72">
        <v>1.89E-2</v>
      </c>
      <c r="AP135" s="71">
        <v>0.26140999999999998</v>
      </c>
      <c r="AQ135" s="72">
        <v>5.4219999999999997E-2</v>
      </c>
    </row>
    <row r="136" spans="1:43">
      <c r="E136" s="40" t="s">
        <v>433</v>
      </c>
      <c r="T136" s="69">
        <v>1974</v>
      </c>
      <c r="U136" s="70">
        <v>0.28100000000000003</v>
      </c>
      <c r="V136" s="71">
        <v>6.54E-2</v>
      </c>
      <c r="W136" s="72">
        <v>1.5800000000000002E-2</v>
      </c>
      <c r="Y136" s="69">
        <v>1974</v>
      </c>
      <c r="Z136" s="70">
        <v>0.33329999999999999</v>
      </c>
      <c r="AA136" s="71">
        <v>8.5000000000000006E-2</v>
      </c>
      <c r="AB136" s="71">
        <v>2.0899999999999998E-2</v>
      </c>
      <c r="AC136" s="76">
        <v>0.26433490253079089</v>
      </c>
      <c r="AD136" s="77">
        <v>6.3320886634117279E-2</v>
      </c>
      <c r="AG136" s="69">
        <v>1974</v>
      </c>
      <c r="AH136" s="70">
        <v>0.33310000000000001</v>
      </c>
      <c r="AI136" s="71">
        <v>0.11190000000000001</v>
      </c>
      <c r="AJ136" s="71">
        <v>0.13</v>
      </c>
      <c r="AK136" s="78">
        <v>9.1199999999999989E-2</v>
      </c>
      <c r="AL136" s="78">
        <v>2.7300000000000001E-2</v>
      </c>
      <c r="AM136" s="70">
        <v>0.3236</v>
      </c>
      <c r="AN136" s="71">
        <v>8.1199999999999994E-2</v>
      </c>
      <c r="AO136" s="72">
        <v>2.1099999999999997E-2</v>
      </c>
      <c r="AP136" s="71">
        <v>0.26613999999999999</v>
      </c>
      <c r="AQ136" s="72">
        <v>5.6639999999999996E-2</v>
      </c>
    </row>
    <row r="137" spans="1:43">
      <c r="C137" s="110"/>
      <c r="D137" s="110"/>
      <c r="E137" s="110"/>
      <c r="F137" s="110"/>
      <c r="T137" s="69">
        <v>1975</v>
      </c>
      <c r="U137" s="70">
        <v>0.2782</v>
      </c>
      <c r="V137" s="71">
        <v>6.0999999999999999E-2</v>
      </c>
      <c r="W137" s="72">
        <v>1.3999999999999999E-2</v>
      </c>
      <c r="Y137" s="69">
        <v>1975</v>
      </c>
      <c r="Z137" s="70">
        <v>0.33409999999999995</v>
      </c>
      <c r="AA137" s="71">
        <v>8.48E-2</v>
      </c>
      <c r="AB137" s="71">
        <v>2.0799999999999999E-2</v>
      </c>
      <c r="AC137" s="76">
        <v>0.26928385225974633</v>
      </c>
      <c r="AD137" s="77">
        <v>6.4422834714858962E-2</v>
      </c>
      <c r="AG137" s="69">
        <v>1975</v>
      </c>
      <c r="AH137" s="70">
        <v>0.33429999999999999</v>
      </c>
      <c r="AI137" s="71">
        <v>0.11449999999999999</v>
      </c>
      <c r="AJ137" s="71">
        <v>0.13110000000000002</v>
      </c>
      <c r="AK137" s="78">
        <v>8.8699999999999987E-2</v>
      </c>
      <c r="AL137" s="78">
        <v>2.5600000000000001E-2</v>
      </c>
      <c r="AM137" s="70">
        <v>0.32619999999999999</v>
      </c>
      <c r="AN137" s="71">
        <v>8.0100000000000005E-2</v>
      </c>
      <c r="AO137" s="72">
        <v>2.0400000000000001E-2</v>
      </c>
      <c r="AP137" s="71">
        <v>0.26463999999999999</v>
      </c>
      <c r="AQ137" s="72">
        <v>5.6399999999999999E-2</v>
      </c>
    </row>
    <row r="138" spans="1:43">
      <c r="B138" s="40" t="s">
        <v>405</v>
      </c>
      <c r="T138" s="69">
        <v>1976</v>
      </c>
      <c r="U138" s="70">
        <v>0.27889999999999998</v>
      </c>
      <c r="V138" s="71">
        <v>5.8899999999999994E-2</v>
      </c>
      <c r="W138" s="72">
        <v>1.3000000000000001E-2</v>
      </c>
      <c r="Y138" s="69">
        <v>1976</v>
      </c>
      <c r="Z138" s="70">
        <v>0.33189999999999997</v>
      </c>
      <c r="AA138" s="71">
        <v>8.4399999999999989E-2</v>
      </c>
      <c r="AB138" s="71">
        <v>2.0799999999999999E-2</v>
      </c>
      <c r="AC138" s="76">
        <v>0.2632603096205422</v>
      </c>
      <c r="AD138" s="77">
        <v>5.9988316205953421E-2</v>
      </c>
      <c r="AG138" s="69">
        <v>1976</v>
      </c>
      <c r="AH138" s="70">
        <v>0.33409999999999995</v>
      </c>
      <c r="AI138" s="71">
        <v>0.11439999999999997</v>
      </c>
      <c r="AJ138" s="71">
        <v>0.13109999999999999</v>
      </c>
      <c r="AK138" s="78">
        <v>8.8599999999999998E-2</v>
      </c>
      <c r="AL138" s="78">
        <v>2.5899999999999999E-2</v>
      </c>
      <c r="AM138" s="70">
        <v>0.32420000000000004</v>
      </c>
      <c r="AN138" s="71">
        <v>7.8899999999999998E-2</v>
      </c>
      <c r="AO138" s="72">
        <v>2.0199999999999999E-2</v>
      </c>
      <c r="AP138" s="71">
        <v>0.26655999999999996</v>
      </c>
      <c r="AQ138" s="72">
        <v>5.7350000000000005E-2</v>
      </c>
    </row>
    <row r="139" spans="1:43">
      <c r="B139" s="40" t="s">
        <v>167</v>
      </c>
      <c r="T139" s="69">
        <v>1977</v>
      </c>
      <c r="U139" s="70">
        <v>0.27960000000000002</v>
      </c>
      <c r="V139" s="71">
        <v>5.9299999999999999E-2</v>
      </c>
      <c r="W139" s="72">
        <v>1.2699999999999999E-2</v>
      </c>
      <c r="Y139" s="69">
        <v>1977</v>
      </c>
      <c r="Z139" s="70">
        <v>0.31679999999999997</v>
      </c>
      <c r="AA139" s="71">
        <v>7.7899999999999997E-2</v>
      </c>
      <c r="AB139" s="71">
        <v>1.9400000000000001E-2</v>
      </c>
      <c r="AC139" s="76">
        <v>0.26100898070204237</v>
      </c>
      <c r="AD139" s="77">
        <v>5.7882852252210001E-2</v>
      </c>
      <c r="AG139" s="69">
        <v>1977</v>
      </c>
      <c r="AH139" s="70">
        <v>0.33579999999999999</v>
      </c>
      <c r="AI139" s="71">
        <v>0.11459999999999998</v>
      </c>
      <c r="AJ139" s="71">
        <v>0.13090000000000002</v>
      </c>
      <c r="AK139" s="78">
        <v>9.0299999999999991E-2</v>
      </c>
      <c r="AL139" s="78">
        <v>2.7099999999999999E-2</v>
      </c>
      <c r="AM139" s="70">
        <v>0.32429999999999998</v>
      </c>
      <c r="AN139" s="71">
        <v>7.9000000000000001E-2</v>
      </c>
      <c r="AO139" s="72">
        <v>2.0400000000000001E-2</v>
      </c>
      <c r="AP139" s="71">
        <v>0.26937</v>
      </c>
      <c r="AQ139" s="72">
        <v>5.8560000000000001E-2</v>
      </c>
    </row>
    <row r="140" spans="1:43">
      <c r="B140" s="40" t="s">
        <v>168</v>
      </c>
      <c r="T140" s="69">
        <v>1978</v>
      </c>
      <c r="U140" s="70">
        <v>0.27779999999999999</v>
      </c>
      <c r="V140" s="71">
        <v>5.7200000000000001E-2</v>
      </c>
      <c r="W140" s="72">
        <v>1.24E-2</v>
      </c>
      <c r="Y140" s="69">
        <v>1978</v>
      </c>
      <c r="Z140" s="70">
        <v>0.31379999999999997</v>
      </c>
      <c r="AA140" s="71">
        <v>7.8E-2</v>
      </c>
      <c r="AB140" s="71">
        <v>1.9299999999999998E-2</v>
      </c>
      <c r="AC140" s="76">
        <v>0.25957678355501812</v>
      </c>
      <c r="AD140" s="77">
        <v>5.742291414752116E-2</v>
      </c>
      <c r="AG140" s="69">
        <v>1978</v>
      </c>
      <c r="AH140" s="70">
        <v>0.33490000000000003</v>
      </c>
      <c r="AI140" s="71">
        <v>0.11450000000000003</v>
      </c>
      <c r="AJ140" s="71">
        <v>0.13089999999999999</v>
      </c>
      <c r="AK140" s="78">
        <v>8.9499999999999996E-2</v>
      </c>
      <c r="AL140" s="78">
        <v>2.6499999999999999E-2</v>
      </c>
      <c r="AM140" s="70">
        <v>0.32439999999999997</v>
      </c>
      <c r="AN140" s="71">
        <v>7.9500000000000001E-2</v>
      </c>
      <c r="AO140" s="72">
        <v>2.0799999999999999E-2</v>
      </c>
      <c r="AP140" s="71">
        <v>0.27431</v>
      </c>
      <c r="AQ140" s="72">
        <v>6.0560000000000003E-2</v>
      </c>
    </row>
    <row r="141" spans="1:43">
      <c r="T141" s="69">
        <v>1979</v>
      </c>
      <c r="U141" s="70">
        <v>0.28370000000000001</v>
      </c>
      <c r="V141" s="71">
        <v>5.9299999999999999E-2</v>
      </c>
      <c r="W141" s="72">
        <v>1.3000000000000001E-2</v>
      </c>
      <c r="Y141" s="69">
        <v>1979</v>
      </c>
      <c r="Z141" s="70">
        <v>0.31030000000000002</v>
      </c>
      <c r="AA141" s="71">
        <v>7.8200000000000006E-2</v>
      </c>
      <c r="AB141" s="71">
        <v>1.9699999999999999E-2</v>
      </c>
      <c r="AC141" s="76">
        <v>0.25766975191563612</v>
      </c>
      <c r="AD141" s="77">
        <v>5.6751574235642213E-2</v>
      </c>
      <c r="AG141" s="69">
        <v>1979</v>
      </c>
      <c r="AH141" s="70">
        <v>0.34210000000000002</v>
      </c>
      <c r="AI141" s="71">
        <v>0.11280000000000001</v>
      </c>
      <c r="AJ141" s="71">
        <v>0.12969999999999998</v>
      </c>
      <c r="AK141" s="78">
        <v>9.9600000000000008E-2</v>
      </c>
      <c r="AL141" s="78">
        <v>3.44E-2</v>
      </c>
      <c r="AM141" s="70">
        <v>0.32350000000000001</v>
      </c>
      <c r="AN141" s="71">
        <v>8.0299999999999996E-2</v>
      </c>
      <c r="AO141" s="72">
        <v>2.1600000000000001E-2</v>
      </c>
      <c r="AP141" s="71">
        <v>0.27631</v>
      </c>
      <c r="AQ141" s="72">
        <v>6.2169999999999996E-2</v>
      </c>
    </row>
    <row r="142" spans="1:43">
      <c r="B142" s="40" t="s">
        <v>169</v>
      </c>
      <c r="T142" s="69">
        <v>1980</v>
      </c>
      <c r="U142" s="70" t="e">
        <v>#N/A</v>
      </c>
      <c r="V142" s="71" t="e">
        <v>#N/A</v>
      </c>
      <c r="W142" s="72" t="e">
        <v>#N/A</v>
      </c>
      <c r="Y142" s="69">
        <v>1980</v>
      </c>
      <c r="Z142" s="70">
        <v>0.30690000000000001</v>
      </c>
      <c r="AA142" s="71">
        <v>7.6299999999999993E-2</v>
      </c>
      <c r="AB142" s="71">
        <v>1.9099999999999999E-2</v>
      </c>
      <c r="AC142" s="76">
        <v>0.26173008137943532</v>
      </c>
      <c r="AD142" s="77">
        <v>5.8248031799074541E-2</v>
      </c>
      <c r="AG142" s="69">
        <v>1980</v>
      </c>
      <c r="AH142" s="70">
        <v>0.34630000000000005</v>
      </c>
      <c r="AI142" s="71">
        <v>0.11460000000000001</v>
      </c>
      <c r="AJ142" s="71">
        <v>0.13150000000000003</v>
      </c>
      <c r="AK142" s="78">
        <v>0.1002</v>
      </c>
      <c r="AL142" s="78">
        <v>3.4099999999999998E-2</v>
      </c>
      <c r="AM142" s="70">
        <v>0.32869999999999999</v>
      </c>
      <c r="AN142" s="71">
        <v>8.1799999999999998E-2</v>
      </c>
      <c r="AO142" s="72">
        <v>2.23E-2</v>
      </c>
      <c r="AP142" s="71">
        <v>0.28061000000000003</v>
      </c>
      <c r="AQ142" s="72">
        <v>6.4250000000000002E-2</v>
      </c>
    </row>
    <row r="143" spans="1:43">
      <c r="T143" s="69">
        <v>1981</v>
      </c>
      <c r="U143" s="70">
        <v>0.31030000000000002</v>
      </c>
      <c r="V143" s="71">
        <v>6.6699999999999995E-2</v>
      </c>
      <c r="W143" s="72">
        <v>1.5300000000000001E-2</v>
      </c>
      <c r="Y143" s="69">
        <v>1981</v>
      </c>
      <c r="Z143" s="70">
        <v>0.30730000000000002</v>
      </c>
      <c r="AA143" s="71">
        <v>7.5499999999999998E-2</v>
      </c>
      <c r="AB143" s="71">
        <v>1.89E-2</v>
      </c>
      <c r="AC143" s="76">
        <v>0.26000988081638454</v>
      </c>
      <c r="AD143" s="77">
        <v>5.8325735001967957E-2</v>
      </c>
      <c r="AG143" s="69">
        <v>1981</v>
      </c>
      <c r="AH143" s="70">
        <v>0.34539999999999998</v>
      </c>
      <c r="AI143" s="71">
        <v>0.115</v>
      </c>
      <c r="AJ143" s="71">
        <v>0.13019999999999998</v>
      </c>
      <c r="AK143" s="78">
        <v>0.1002</v>
      </c>
      <c r="AL143" s="78">
        <v>3.5699999999999996E-2</v>
      </c>
      <c r="AM143" s="70">
        <v>0.32719999999999999</v>
      </c>
      <c r="AN143" s="71">
        <v>8.0299999999999996E-2</v>
      </c>
      <c r="AO143" s="72">
        <v>2.23E-2</v>
      </c>
      <c r="AP143" s="71">
        <v>0.28143999999999997</v>
      </c>
      <c r="AQ143" s="72">
        <v>6.4250000000000002E-2</v>
      </c>
    </row>
    <row r="144" spans="1:43">
      <c r="A144" s="112" t="s">
        <v>143</v>
      </c>
      <c r="B144" s="40" t="s">
        <v>182</v>
      </c>
      <c r="T144" s="69">
        <v>1982</v>
      </c>
      <c r="U144" s="70">
        <v>0.31230000000000002</v>
      </c>
      <c r="V144" s="71">
        <v>6.8499999999999991E-2</v>
      </c>
      <c r="W144" s="72">
        <v>1.61E-2</v>
      </c>
      <c r="Y144" s="69">
        <v>1982</v>
      </c>
      <c r="Z144" s="70">
        <v>0.29930000000000001</v>
      </c>
      <c r="AA144" s="71">
        <v>7.0699999999999999E-2</v>
      </c>
      <c r="AB144" s="71">
        <v>1.72E-2</v>
      </c>
      <c r="AC144" s="76">
        <v>0.2567958730344046</v>
      </c>
      <c r="AD144" s="77">
        <v>5.802659403372977E-2</v>
      </c>
      <c r="AG144" s="69">
        <v>1982</v>
      </c>
      <c r="AH144" s="70">
        <v>0.3533</v>
      </c>
      <c r="AI144" s="71">
        <v>0.115</v>
      </c>
      <c r="AJ144" s="71">
        <v>0.13029999999999997</v>
      </c>
      <c r="AK144" s="78">
        <v>0.10800000000000001</v>
      </c>
      <c r="AL144" s="78">
        <v>4.1799999999999997E-2</v>
      </c>
      <c r="AM144" s="70">
        <v>0.3322</v>
      </c>
      <c r="AN144" s="71">
        <v>8.3900000000000002E-2</v>
      </c>
      <c r="AO144" s="72">
        <v>2.4500000000000001E-2</v>
      </c>
      <c r="AP144" s="71">
        <v>0.28549000000000002</v>
      </c>
      <c r="AQ144" s="72">
        <v>6.6720000000000002E-2</v>
      </c>
    </row>
    <row r="145" spans="1:43">
      <c r="B145" s="40" t="s">
        <v>184</v>
      </c>
      <c r="T145" s="69">
        <v>1983</v>
      </c>
      <c r="U145" s="70">
        <v>0.31759999999999999</v>
      </c>
      <c r="V145" s="71">
        <v>6.83E-2</v>
      </c>
      <c r="W145" s="72">
        <v>1.5800000000000002E-2</v>
      </c>
      <c r="Y145" s="69">
        <v>1983</v>
      </c>
      <c r="Z145" s="70">
        <v>0.30430000000000001</v>
      </c>
      <c r="AA145" s="71">
        <v>6.9900000000000004E-2</v>
      </c>
      <c r="AB145" s="71">
        <v>1.6299999999999999E-2</v>
      </c>
      <c r="AC145" s="76">
        <v>0.25988979253948691</v>
      </c>
      <c r="AD145" s="77">
        <v>5.9086298604435032E-2</v>
      </c>
      <c r="AG145" s="69">
        <v>1983</v>
      </c>
      <c r="AH145" s="70">
        <v>0.36380000000000001</v>
      </c>
      <c r="AI145" s="71">
        <v>0.11530000000000001</v>
      </c>
      <c r="AJ145" s="71">
        <v>0.13290000000000002</v>
      </c>
      <c r="AK145" s="78">
        <v>0.11560000000000001</v>
      </c>
      <c r="AL145" s="78">
        <v>4.6199999999999998E-2</v>
      </c>
      <c r="AM145" s="70">
        <v>0.33689999999999998</v>
      </c>
      <c r="AN145" s="71">
        <v>8.5900000000000004E-2</v>
      </c>
      <c r="AO145" s="72">
        <v>2.6099999999999998E-2</v>
      </c>
      <c r="AP145" s="71">
        <v>0.29086000000000001</v>
      </c>
      <c r="AQ145" s="72">
        <v>6.9550000000000001E-2</v>
      </c>
    </row>
    <row r="146" spans="1:43">
      <c r="B146" s="40" t="s">
        <v>185</v>
      </c>
      <c r="T146" s="69">
        <v>1984</v>
      </c>
      <c r="U146" s="70">
        <v>0.32520000000000004</v>
      </c>
      <c r="V146" s="71">
        <v>7.1599999999999997E-2</v>
      </c>
      <c r="W146" s="72">
        <v>1.67E-2</v>
      </c>
      <c r="Y146" s="69">
        <v>1984</v>
      </c>
      <c r="Z146" s="70">
        <v>0.30519999999999997</v>
      </c>
      <c r="AA146" s="71">
        <v>7.0300000000000001E-2</v>
      </c>
      <c r="AB146" s="71">
        <v>1.6500000000000001E-2</v>
      </c>
      <c r="AC146" s="76">
        <v>0.25916495187614086</v>
      </c>
      <c r="AD146" s="77">
        <v>5.7228371743320822E-2</v>
      </c>
      <c r="AG146" s="69">
        <v>1984</v>
      </c>
      <c r="AH146" s="70">
        <v>0.3674</v>
      </c>
      <c r="AI146" s="71">
        <v>0.11450000000000003</v>
      </c>
      <c r="AJ146" s="71">
        <v>0.13299999999999998</v>
      </c>
      <c r="AK146" s="78">
        <v>0.11990000000000001</v>
      </c>
      <c r="AL146" s="78">
        <v>4.9800000000000004E-2</v>
      </c>
      <c r="AM146" s="70">
        <v>0.33950000000000002</v>
      </c>
      <c r="AN146" s="71">
        <v>8.8900000000000007E-2</v>
      </c>
      <c r="AO146" s="72">
        <v>2.8300000000000002E-2</v>
      </c>
      <c r="AP146" s="71">
        <v>0.29609999999999997</v>
      </c>
      <c r="AQ146" s="72">
        <v>7.2679999999999995E-2</v>
      </c>
    </row>
    <row r="147" spans="1:43">
      <c r="T147" s="69">
        <v>1985</v>
      </c>
      <c r="U147" s="70">
        <v>0.32650000000000001</v>
      </c>
      <c r="V147" s="71">
        <v>7.400000000000001E-2</v>
      </c>
      <c r="W147" s="72">
        <v>1.8200000000000001E-2</v>
      </c>
      <c r="Y147" s="69">
        <v>1985</v>
      </c>
      <c r="Z147" s="70">
        <v>0.3105</v>
      </c>
      <c r="AA147" s="71">
        <v>7.2000000000000008E-2</v>
      </c>
      <c r="AB147" s="71">
        <v>1.7000000000000001E-2</v>
      </c>
      <c r="AC147" s="76">
        <v>0.26363838158890651</v>
      </c>
      <c r="AD147" s="77">
        <v>6.0671273459979413E-2</v>
      </c>
      <c r="AG147" s="69">
        <v>1985</v>
      </c>
      <c r="AH147" s="70">
        <v>0.37560000000000004</v>
      </c>
      <c r="AI147" s="71">
        <v>0.11440000000000002</v>
      </c>
      <c r="AJ147" s="71">
        <v>0.13450000000000001</v>
      </c>
      <c r="AK147" s="78">
        <v>0.12670000000000001</v>
      </c>
      <c r="AL147" s="78">
        <v>5.3200000000000004E-2</v>
      </c>
      <c r="AM147" s="70">
        <v>0.34250000000000003</v>
      </c>
      <c r="AN147" s="71">
        <v>9.0899999999999995E-2</v>
      </c>
      <c r="AO147" s="72">
        <v>2.9100000000000001E-2</v>
      </c>
      <c r="AP147" s="71">
        <v>0.2974</v>
      </c>
      <c r="AQ147" s="72">
        <v>7.2759999999999991E-2</v>
      </c>
    </row>
    <row r="148" spans="1:43" ht="15" thickBot="1">
      <c r="B148" s="40" t="s">
        <v>186</v>
      </c>
      <c r="T148" s="69">
        <v>1986</v>
      </c>
      <c r="U148" s="70">
        <v>0.32939999999999997</v>
      </c>
      <c r="V148" s="71">
        <v>7.5499999999999998E-2</v>
      </c>
      <c r="W148" s="72">
        <v>1.8600000000000002E-2</v>
      </c>
      <c r="Y148" s="69">
        <v>1986</v>
      </c>
      <c r="Z148" s="70">
        <v>0.31390000000000001</v>
      </c>
      <c r="AA148" s="71">
        <v>7.4400000000000008E-2</v>
      </c>
      <c r="AB148" s="71">
        <v>1.8100000000000002E-2</v>
      </c>
      <c r="AC148" s="76">
        <v>0.26376420515989468</v>
      </c>
      <c r="AD148" s="77">
        <v>5.9137904879638555E-2</v>
      </c>
      <c r="AG148" s="69">
        <v>1986</v>
      </c>
      <c r="AH148" s="70">
        <v>0.40630000000000005</v>
      </c>
      <c r="AI148" s="71">
        <v>0.11140000000000004</v>
      </c>
      <c r="AJ148" s="71">
        <v>0.13569999999999999</v>
      </c>
      <c r="AK148" s="78">
        <v>0.15920000000000001</v>
      </c>
      <c r="AL148" s="78">
        <v>7.400000000000001E-2</v>
      </c>
      <c r="AM148" s="70">
        <v>0.34570000000000001</v>
      </c>
      <c r="AN148" s="71">
        <v>9.1300000000000006E-2</v>
      </c>
      <c r="AO148" s="72">
        <v>2.87E-2</v>
      </c>
      <c r="AP148" s="71">
        <v>0.29943000000000003</v>
      </c>
      <c r="AQ148" s="72">
        <v>7.3259999999999992E-2</v>
      </c>
    </row>
    <row r="149" spans="1:43">
      <c r="A149" s="104" t="s">
        <v>119</v>
      </c>
      <c r="B149" s="40" t="s">
        <v>187</v>
      </c>
      <c r="T149" s="69">
        <v>1987</v>
      </c>
      <c r="U149" s="70">
        <v>0.33270000000000005</v>
      </c>
      <c r="V149" s="71">
        <v>7.7800000000000008E-2</v>
      </c>
      <c r="W149" s="72">
        <v>1.9606761565836305E-2</v>
      </c>
      <c r="Y149" s="69">
        <v>1987</v>
      </c>
      <c r="Z149" s="70">
        <v>0.31730000000000003</v>
      </c>
      <c r="AA149" s="71">
        <v>7.7499999999999999E-2</v>
      </c>
      <c r="AB149" s="71">
        <v>1.9799999999999998E-2</v>
      </c>
      <c r="AC149" s="76">
        <v>0.26253273276890821</v>
      </c>
      <c r="AD149" s="77">
        <v>5.7361899605891796E-2</v>
      </c>
      <c r="AG149" s="69">
        <v>1987</v>
      </c>
      <c r="AH149" s="70">
        <v>0.38250000000000001</v>
      </c>
      <c r="AI149" s="71">
        <v>0.11710000000000001</v>
      </c>
      <c r="AJ149" s="71">
        <v>0.13879999999999998</v>
      </c>
      <c r="AK149" s="78">
        <v>0.12659999999999999</v>
      </c>
      <c r="AL149" s="78">
        <v>4.9000000000000002E-2</v>
      </c>
      <c r="AM149" s="70">
        <v>0.36479999999999996</v>
      </c>
      <c r="AN149" s="71">
        <v>0.1075</v>
      </c>
      <c r="AO149" s="72">
        <v>3.73E-2</v>
      </c>
      <c r="AP149" s="71">
        <v>0.30589</v>
      </c>
      <c r="AQ149" s="72">
        <v>8.1530000000000005E-2</v>
      </c>
    </row>
    <row r="150" spans="1:43" ht="15" thickBot="1">
      <c r="A150" s="105" t="s">
        <v>120</v>
      </c>
      <c r="B150" s="40" t="s">
        <v>183</v>
      </c>
      <c r="T150" s="69">
        <v>1988</v>
      </c>
      <c r="U150" s="70">
        <v>0.34210000000000002</v>
      </c>
      <c r="V150" s="71">
        <v>8.6300000000000002E-2</v>
      </c>
      <c r="W150" s="72">
        <v>2.332740213523132E-2</v>
      </c>
      <c r="Y150" s="69">
        <v>1988</v>
      </c>
      <c r="Z150" s="70">
        <v>0.32090000000000002</v>
      </c>
      <c r="AA150" s="71">
        <v>7.9199999999999993E-2</v>
      </c>
      <c r="AB150" s="71">
        <v>2.06E-2</v>
      </c>
      <c r="AC150" s="76">
        <v>0.26422281720557161</v>
      </c>
      <c r="AD150" s="77">
        <v>5.8404126328832767E-2</v>
      </c>
      <c r="AG150" s="69">
        <v>1988</v>
      </c>
      <c r="AH150" s="70">
        <v>0.40630000000000005</v>
      </c>
      <c r="AI150" s="71">
        <v>0.11340000000000003</v>
      </c>
      <c r="AJ150" s="71">
        <v>0.13799999999999998</v>
      </c>
      <c r="AK150" s="78">
        <v>0.15490000000000001</v>
      </c>
      <c r="AL150" s="78">
        <v>6.8000000000000005E-2</v>
      </c>
      <c r="AM150" s="70">
        <v>0.38630000000000003</v>
      </c>
      <c r="AN150" s="71">
        <v>0.13170000000000001</v>
      </c>
      <c r="AO150" s="72">
        <v>5.21E-2</v>
      </c>
      <c r="AP150" s="71">
        <v>0.31945000000000001</v>
      </c>
      <c r="AQ150" s="72">
        <v>9.3850000000000003E-2</v>
      </c>
    </row>
    <row r="151" spans="1:43">
      <c r="A151" s="115"/>
      <c r="B151" s="40" t="s">
        <v>188</v>
      </c>
      <c r="T151" s="69">
        <v>1989</v>
      </c>
      <c r="U151" s="70">
        <v>0.34149999999999997</v>
      </c>
      <c r="V151" s="71">
        <v>8.6699999999999999E-2</v>
      </c>
      <c r="W151" s="72">
        <v>2.3502491103202849E-2</v>
      </c>
      <c r="Y151" s="69">
        <v>1989</v>
      </c>
      <c r="Z151" s="70">
        <v>0.32420000000000004</v>
      </c>
      <c r="AA151" s="71">
        <v>8.2100000000000006E-2</v>
      </c>
      <c r="AB151" s="71">
        <v>2.2000000000000002E-2</v>
      </c>
      <c r="AC151" s="76">
        <v>0.26147618576745285</v>
      </c>
      <c r="AD151" s="77">
        <v>5.7705689988801642E-2</v>
      </c>
      <c r="AG151" s="69">
        <v>1989</v>
      </c>
      <c r="AH151" s="70">
        <v>0.40079999999999999</v>
      </c>
      <c r="AI151" s="71">
        <v>0.11529999999999997</v>
      </c>
      <c r="AJ151" s="71">
        <v>0.1406</v>
      </c>
      <c r="AK151" s="78">
        <v>0.1449</v>
      </c>
      <c r="AL151" s="78">
        <v>0.06</v>
      </c>
      <c r="AM151" s="70">
        <v>0.38469999999999999</v>
      </c>
      <c r="AN151" s="71">
        <v>0.12609999999999999</v>
      </c>
      <c r="AO151" s="72">
        <v>4.7400000000000005E-2</v>
      </c>
      <c r="AP151" s="71">
        <v>0.31529000000000001</v>
      </c>
      <c r="AQ151" s="72">
        <v>8.6940000000000003E-2</v>
      </c>
    </row>
    <row r="152" spans="1:43">
      <c r="A152" s="115"/>
      <c r="B152" s="40" t="s">
        <v>406</v>
      </c>
      <c r="T152" s="69">
        <v>1990</v>
      </c>
      <c r="U152" s="70">
        <v>0.36899999999999999</v>
      </c>
      <c r="V152" s="71">
        <v>9.8000000000000004E-2</v>
      </c>
      <c r="W152" s="72">
        <v>2.8448754448398578E-2</v>
      </c>
      <c r="Y152" s="69">
        <v>1990</v>
      </c>
      <c r="Z152" s="70">
        <v>0.32640000000000002</v>
      </c>
      <c r="AA152" s="71">
        <v>8.2299999999999998E-2</v>
      </c>
      <c r="AB152" s="71">
        <v>2.2000000000000002E-2</v>
      </c>
      <c r="AC152" s="76">
        <v>0.26245092381306784</v>
      </c>
      <c r="AD152" s="77">
        <v>5.783611991886508E-2</v>
      </c>
      <c r="AG152" s="69">
        <v>1990</v>
      </c>
      <c r="AH152" s="70">
        <v>0.39979999999999999</v>
      </c>
      <c r="AI152" s="71">
        <v>0.11569999999999997</v>
      </c>
      <c r="AJ152" s="71">
        <v>0.14080000000000001</v>
      </c>
      <c r="AK152" s="78">
        <v>0.14330000000000001</v>
      </c>
      <c r="AL152" s="78">
        <v>5.8200000000000002E-2</v>
      </c>
      <c r="AM152" s="70">
        <v>0.38840000000000002</v>
      </c>
      <c r="AN152" s="71">
        <v>0.1298</v>
      </c>
      <c r="AO152" s="72">
        <v>4.9000000000000002E-2</v>
      </c>
      <c r="AP152" s="71">
        <v>0.31794</v>
      </c>
      <c r="AQ152" s="72">
        <v>8.993000000000001E-2</v>
      </c>
    </row>
    <row r="153" spans="1:43" ht="15" thickBot="1">
      <c r="T153" s="69">
        <v>1991</v>
      </c>
      <c r="U153" s="70">
        <v>0.3765</v>
      </c>
      <c r="V153" s="71">
        <v>0.1032</v>
      </c>
      <c r="W153" s="72">
        <v>3.0724911032028467E-2</v>
      </c>
      <c r="Y153" s="69">
        <v>1991</v>
      </c>
      <c r="Z153" s="70">
        <v>0.32439999999999997</v>
      </c>
      <c r="AA153" s="71">
        <v>7.9699999999999993E-2</v>
      </c>
      <c r="AB153" s="71">
        <v>2.07E-2</v>
      </c>
      <c r="AC153" s="76">
        <v>0.25933877810245015</v>
      </c>
      <c r="AD153" s="77">
        <v>5.6645391914985008E-2</v>
      </c>
      <c r="AG153" s="69">
        <v>1991</v>
      </c>
      <c r="AH153" s="70">
        <v>0.39549999999999996</v>
      </c>
      <c r="AI153" s="71">
        <v>0.11829999999999999</v>
      </c>
      <c r="AJ153" s="71">
        <v>0.14360000000000001</v>
      </c>
      <c r="AK153" s="78">
        <v>0.1336</v>
      </c>
      <c r="AL153" s="78">
        <v>5.1200000000000002E-2</v>
      </c>
      <c r="AM153" s="70">
        <v>0.38380000000000003</v>
      </c>
      <c r="AN153" s="71">
        <v>0.1217</v>
      </c>
      <c r="AO153" s="72">
        <v>4.36E-2</v>
      </c>
      <c r="AP153" s="71">
        <v>0.31431000000000003</v>
      </c>
      <c r="AQ153" s="72">
        <v>8.5610000000000006E-2</v>
      </c>
    </row>
    <row r="154" spans="1:43">
      <c r="A154" s="104" t="s">
        <v>135</v>
      </c>
      <c r="B154" s="40" t="s">
        <v>189</v>
      </c>
      <c r="T154" s="69">
        <v>1992</v>
      </c>
      <c r="U154" s="70">
        <v>0.37640000000000001</v>
      </c>
      <c r="V154" s="71">
        <v>9.8599999999999993E-2</v>
      </c>
      <c r="W154" s="72">
        <v>2.8711387900355868E-2</v>
      </c>
      <c r="Y154" s="69">
        <v>1992</v>
      </c>
      <c r="Z154" s="70">
        <v>0.32229999999999998</v>
      </c>
      <c r="AA154" s="71">
        <v>7.7499999999999999E-2</v>
      </c>
      <c r="AB154" s="71">
        <v>1.9699999999999999E-2</v>
      </c>
      <c r="AC154" s="76">
        <v>0.2623607256829722</v>
      </c>
      <c r="AD154" s="77">
        <v>6.0444302227101773E-2</v>
      </c>
      <c r="AG154" s="69">
        <v>1992</v>
      </c>
      <c r="AH154" s="70">
        <v>0.40820000000000001</v>
      </c>
      <c r="AI154" s="71">
        <v>0.11760000000000001</v>
      </c>
      <c r="AJ154" s="71">
        <v>0.1439</v>
      </c>
      <c r="AK154" s="78">
        <v>0.1467</v>
      </c>
      <c r="AL154" s="78">
        <v>6.0299999999999999E-2</v>
      </c>
      <c r="AM154" s="70">
        <v>0.3982</v>
      </c>
      <c r="AN154" s="71">
        <v>0.1348</v>
      </c>
      <c r="AO154" s="72">
        <v>5.21E-2</v>
      </c>
      <c r="AP154" s="71">
        <v>0.32450000000000001</v>
      </c>
      <c r="AQ154" s="72">
        <v>9.6259999999999998E-2</v>
      </c>
    </row>
    <row r="155" spans="1:43" ht="15" thickBot="1">
      <c r="A155" s="105" t="s">
        <v>65</v>
      </c>
      <c r="B155" s="40" t="s">
        <v>190</v>
      </c>
      <c r="T155" s="69">
        <v>1993</v>
      </c>
      <c r="U155" s="70">
        <v>0.38340000000000002</v>
      </c>
      <c r="V155" s="71">
        <v>0.1036</v>
      </c>
      <c r="W155" s="72">
        <v>3.0899999999999997E-2</v>
      </c>
      <c r="Y155" s="69">
        <v>1993</v>
      </c>
      <c r="Z155" s="70">
        <v>0.32219999999999999</v>
      </c>
      <c r="AA155" s="71">
        <v>7.6499999999999999E-2</v>
      </c>
      <c r="AB155" s="71">
        <v>1.9400000000000001E-2</v>
      </c>
      <c r="AC155" s="76">
        <v>0.25795974078675088</v>
      </c>
      <c r="AD155" s="77">
        <v>5.8615012428815685E-2</v>
      </c>
      <c r="AG155" s="69">
        <v>1993</v>
      </c>
      <c r="AH155" s="70">
        <v>0.40679999999999999</v>
      </c>
      <c r="AI155" s="71">
        <v>0.11850000000000001</v>
      </c>
      <c r="AJ155" s="71">
        <v>0.14589999999999997</v>
      </c>
      <c r="AK155" s="78">
        <v>0.1424</v>
      </c>
      <c r="AL155" s="78">
        <v>5.7300000000000004E-2</v>
      </c>
      <c r="AM155" s="70">
        <v>0.39479999999999998</v>
      </c>
      <c r="AN155" s="71">
        <v>0.12820000000000001</v>
      </c>
      <c r="AO155" s="72">
        <v>4.7199999999999999E-2</v>
      </c>
      <c r="AP155" s="71">
        <v>0.31849</v>
      </c>
      <c r="AQ155" s="72">
        <v>9.0540000000000009E-2</v>
      </c>
    </row>
    <row r="156" spans="1:43" ht="15" thickBot="1">
      <c r="T156" s="69">
        <v>1994</v>
      </c>
      <c r="U156" s="70">
        <v>0.38329999999999997</v>
      </c>
      <c r="V156" s="71">
        <v>0.106</v>
      </c>
      <c r="W156" s="72">
        <v>3.1E-2</v>
      </c>
      <c r="Y156" s="69">
        <v>1994</v>
      </c>
      <c r="Z156" s="70">
        <v>0.32369999999999999</v>
      </c>
      <c r="AA156" s="71">
        <v>7.7100000000000002E-2</v>
      </c>
      <c r="AB156" s="71">
        <v>1.9799999999999998E-2</v>
      </c>
      <c r="AC156" s="76">
        <v>0.25669827177453114</v>
      </c>
      <c r="AD156" s="77">
        <v>5.7534732465627236E-2</v>
      </c>
      <c r="AG156" s="69">
        <v>1994</v>
      </c>
      <c r="AH156" s="70">
        <v>0.4078</v>
      </c>
      <c r="AI156" s="71">
        <v>0.11890000000000001</v>
      </c>
      <c r="AJ156" s="71">
        <v>0.14660000000000001</v>
      </c>
      <c r="AK156" s="78">
        <v>0.14230000000000001</v>
      </c>
      <c r="AL156" s="78">
        <v>5.7000000000000002E-2</v>
      </c>
      <c r="AM156" s="70">
        <v>0.39600000000000002</v>
      </c>
      <c r="AN156" s="71">
        <v>0.1285</v>
      </c>
      <c r="AO156" s="72">
        <v>4.7E-2</v>
      </c>
      <c r="AP156" s="71">
        <v>0.31535000000000002</v>
      </c>
      <c r="AQ156" s="72">
        <v>8.72E-2</v>
      </c>
    </row>
    <row r="157" spans="1:43">
      <c r="A157" s="104" t="s">
        <v>134</v>
      </c>
      <c r="B157" s="40" t="s">
        <v>191</v>
      </c>
      <c r="T157" s="69">
        <v>1995</v>
      </c>
      <c r="U157" s="70">
        <v>0.3851</v>
      </c>
      <c r="V157" s="71">
        <v>0.1075</v>
      </c>
      <c r="W157" s="72">
        <v>3.2400000000000005E-2</v>
      </c>
      <c r="Y157" s="69">
        <v>1995</v>
      </c>
      <c r="Z157" s="70">
        <v>0.32409999999999994</v>
      </c>
      <c r="AA157" s="71">
        <v>7.6999999999999999E-2</v>
      </c>
      <c r="AB157" s="71">
        <v>1.9599999999999999E-2</v>
      </c>
      <c r="AC157" s="76">
        <v>0.25378984135827864</v>
      </c>
      <c r="AD157" s="77">
        <v>5.615605327789927E-2</v>
      </c>
      <c r="AG157" s="69">
        <v>1995</v>
      </c>
      <c r="AH157" s="70">
        <v>0.42109999999999997</v>
      </c>
      <c r="AI157" s="71">
        <v>0.11890000000000001</v>
      </c>
      <c r="AJ157" s="71">
        <v>0.14989999999999998</v>
      </c>
      <c r="AK157" s="78">
        <v>0.15229999999999999</v>
      </c>
      <c r="AL157" s="78">
        <v>6.2100000000000002E-2</v>
      </c>
      <c r="AM157" s="70">
        <v>0.40539999999999998</v>
      </c>
      <c r="AN157" s="71">
        <v>0.1353</v>
      </c>
      <c r="AO157" s="72">
        <v>4.9800000000000004E-2</v>
      </c>
      <c r="AP157" s="71">
        <v>0.32490999999999998</v>
      </c>
      <c r="AQ157" s="72">
        <v>9.2719999999999997E-2</v>
      </c>
    </row>
    <row r="158" spans="1:43" ht="15" thickBot="1">
      <c r="A158" s="105" t="s">
        <v>138</v>
      </c>
      <c r="B158" s="40" t="s">
        <v>192</v>
      </c>
      <c r="T158" s="69">
        <v>1996</v>
      </c>
      <c r="U158" s="70">
        <v>0.39299999999999996</v>
      </c>
      <c r="V158" s="71">
        <v>0.11900000000000001</v>
      </c>
      <c r="W158" s="72">
        <v>4.1299999999999996E-2</v>
      </c>
      <c r="Y158" s="69">
        <v>1996</v>
      </c>
      <c r="Z158" s="70">
        <v>0.32040000000000002</v>
      </c>
      <c r="AA158" s="71">
        <v>7.7300000000000008E-2</v>
      </c>
      <c r="AB158" s="71">
        <v>2.0099999999999996E-2</v>
      </c>
      <c r="AC158" s="76">
        <v>0.25445937317605727</v>
      </c>
      <c r="AD158" s="77">
        <v>5.6304200517478281E-2</v>
      </c>
      <c r="AG158" s="69">
        <v>1996</v>
      </c>
      <c r="AH158" s="70">
        <v>0.43479999999999996</v>
      </c>
      <c r="AI158" s="71">
        <v>0.11719999999999996</v>
      </c>
      <c r="AJ158" s="71">
        <v>0.1507</v>
      </c>
      <c r="AK158" s="78">
        <v>0.16690000000000002</v>
      </c>
      <c r="AL158" s="78">
        <v>7.2400000000000006E-2</v>
      </c>
      <c r="AM158" s="70">
        <v>0.41159999999999997</v>
      </c>
      <c r="AN158" s="71">
        <v>0.1411</v>
      </c>
      <c r="AO158" s="72">
        <v>5.33E-2</v>
      </c>
      <c r="AP158" s="71">
        <v>0.33244000000000001</v>
      </c>
      <c r="AQ158" s="72">
        <v>9.8269999999999996E-2</v>
      </c>
    </row>
    <row r="159" spans="1:43">
      <c r="B159" s="40" t="s">
        <v>193</v>
      </c>
      <c r="T159" s="69">
        <v>1997</v>
      </c>
      <c r="U159" s="70">
        <v>0.38939999999999997</v>
      </c>
      <c r="V159" s="71">
        <v>0.1207</v>
      </c>
      <c r="W159" s="72">
        <v>4.1500000000000002E-2</v>
      </c>
      <c r="Y159" s="69">
        <v>1997</v>
      </c>
      <c r="Z159" s="70">
        <v>0.32170000000000004</v>
      </c>
      <c r="AA159" s="71">
        <v>7.7699999999999991E-2</v>
      </c>
      <c r="AB159" s="71">
        <v>2.0099999999999996E-2</v>
      </c>
      <c r="AC159" s="76">
        <v>0.25727665890372192</v>
      </c>
      <c r="AD159" s="77">
        <v>5.6927581053811335E-2</v>
      </c>
      <c r="AG159" s="69">
        <v>1997</v>
      </c>
      <c r="AH159" s="70">
        <v>0.44640000000000002</v>
      </c>
      <c r="AI159" s="71">
        <v>0.115</v>
      </c>
      <c r="AJ159" s="71">
        <v>0.1512</v>
      </c>
      <c r="AK159" s="78">
        <v>0.1802</v>
      </c>
      <c r="AL159" s="78">
        <v>8.1799999999999998E-2</v>
      </c>
      <c r="AM159" s="70">
        <v>0.41729999999999995</v>
      </c>
      <c r="AN159" s="71">
        <v>0.1477</v>
      </c>
      <c r="AO159" s="72">
        <v>5.8099999999999999E-2</v>
      </c>
      <c r="AP159" s="71">
        <v>0.33972000000000002</v>
      </c>
      <c r="AQ159" s="72">
        <v>0.10461000000000001</v>
      </c>
    </row>
    <row r="160" spans="1:43">
      <c r="T160" s="69">
        <v>1998</v>
      </c>
      <c r="U160" s="70">
        <v>0.3947</v>
      </c>
      <c r="V160" s="71">
        <v>0.12529999999999999</v>
      </c>
      <c r="W160" s="72">
        <v>4.4400000000000002E-2</v>
      </c>
      <c r="Y160" s="69">
        <v>1998</v>
      </c>
      <c r="Z160" s="70">
        <v>0.32590000000000002</v>
      </c>
      <c r="AA160" s="71">
        <v>7.9399999999999998E-2</v>
      </c>
      <c r="AB160" s="71">
        <v>2.0899999999999998E-2</v>
      </c>
      <c r="AC160" s="71">
        <v>0.26063557083221311</v>
      </c>
      <c r="AD160" s="72">
        <v>5.8173100845207472E-2</v>
      </c>
      <c r="AG160" s="69">
        <v>1998</v>
      </c>
      <c r="AH160" s="70">
        <v>0.45390000000000003</v>
      </c>
      <c r="AI160" s="71">
        <v>0.11289999999999999</v>
      </c>
      <c r="AJ160" s="71">
        <v>0.15010000000000001</v>
      </c>
      <c r="AK160" s="78">
        <v>0.19089999999999999</v>
      </c>
      <c r="AL160" s="78">
        <v>0.09</v>
      </c>
      <c r="AM160" s="70">
        <v>0.42119999999999996</v>
      </c>
      <c r="AN160" s="71">
        <v>0.15289999999999998</v>
      </c>
      <c r="AO160" s="72">
        <v>6.2E-2</v>
      </c>
      <c r="AP160" s="71">
        <v>0.34433000000000002</v>
      </c>
      <c r="AQ160" s="72">
        <v>0.11005000000000001</v>
      </c>
    </row>
    <row r="161" spans="1:43">
      <c r="B161" s="40" t="s">
        <v>194</v>
      </c>
      <c r="T161" s="69">
        <v>1999</v>
      </c>
      <c r="U161" s="70">
        <v>0.38969999999999999</v>
      </c>
      <c r="V161" s="71">
        <v>0.12509999999999999</v>
      </c>
      <c r="W161" s="72">
        <v>4.5400000000000003E-2</v>
      </c>
      <c r="Y161" s="69">
        <v>1999</v>
      </c>
      <c r="Z161" s="70">
        <v>0.33</v>
      </c>
      <c r="AA161" s="71">
        <v>8.1500000000000003E-2</v>
      </c>
      <c r="AB161" s="71">
        <v>2.18E-2</v>
      </c>
      <c r="AC161" s="71">
        <v>0.26391450866716887</v>
      </c>
      <c r="AD161" s="72">
        <v>5.9711684116932104E-2</v>
      </c>
      <c r="AG161" s="69">
        <v>1999</v>
      </c>
      <c r="AH161" s="70">
        <v>0.4647</v>
      </c>
      <c r="AI161" s="71">
        <v>0.1125</v>
      </c>
      <c r="AJ161" s="71">
        <v>0.15179999999999999</v>
      </c>
      <c r="AK161" s="78">
        <v>0.20039999999999999</v>
      </c>
      <c r="AL161" s="78">
        <v>9.6199999999999994E-2</v>
      </c>
      <c r="AM161" s="70">
        <v>0.42670000000000002</v>
      </c>
      <c r="AN161" s="71">
        <v>0.15869999999999998</v>
      </c>
      <c r="AO161" s="72">
        <v>6.6400000000000001E-2</v>
      </c>
      <c r="AP161" s="71">
        <v>0.35183999999999999</v>
      </c>
      <c r="AQ161" s="72">
        <v>0.1167</v>
      </c>
    </row>
    <row r="162" spans="1:43">
      <c r="T162" s="69">
        <v>2000</v>
      </c>
      <c r="U162" s="70">
        <v>0.38429999999999997</v>
      </c>
      <c r="V162" s="71">
        <v>0.12670000000000001</v>
      </c>
      <c r="W162" s="72">
        <v>4.6399999999999997E-2</v>
      </c>
      <c r="Y162" s="69">
        <v>2000</v>
      </c>
      <c r="Z162" s="70">
        <v>0.33049999999999996</v>
      </c>
      <c r="AA162" s="71">
        <v>8.2899999999999988E-2</v>
      </c>
      <c r="AB162" s="71">
        <v>2.2499999999999999E-2</v>
      </c>
      <c r="AC162" s="71">
        <v>0.26431437913484634</v>
      </c>
      <c r="AD162" s="72">
        <v>6.0737406298081852E-2</v>
      </c>
      <c r="AG162" s="69">
        <v>2000</v>
      </c>
      <c r="AH162" s="70">
        <v>0.47609999999999997</v>
      </c>
      <c r="AI162" s="71">
        <v>0.11</v>
      </c>
      <c r="AJ162" s="71">
        <v>0.15090000000000001</v>
      </c>
      <c r="AK162" s="78">
        <v>0.2152</v>
      </c>
      <c r="AL162" s="78">
        <v>0.10880000000000001</v>
      </c>
      <c r="AM162" s="70">
        <v>0.43109999999999998</v>
      </c>
      <c r="AN162" s="71">
        <v>0.16489999999999999</v>
      </c>
      <c r="AO162" s="72">
        <v>7.1300000000000002E-2</v>
      </c>
      <c r="AP162" s="71">
        <v>0.35460999999999998</v>
      </c>
      <c r="AQ162" s="72">
        <v>0.1226</v>
      </c>
    </row>
    <row r="163" spans="1:43">
      <c r="B163" s="40" t="s">
        <v>201</v>
      </c>
      <c r="T163" s="69">
        <v>2001</v>
      </c>
      <c r="U163" s="70">
        <v>0.39329999999999998</v>
      </c>
      <c r="V163" s="71">
        <v>0.12710000000000002</v>
      </c>
      <c r="W163" s="72">
        <v>4.5100000000000001E-2</v>
      </c>
      <c r="Y163" s="69">
        <v>2001</v>
      </c>
      <c r="Z163" s="70">
        <v>0.33090000000000003</v>
      </c>
      <c r="AA163" s="71">
        <v>8.43E-2</v>
      </c>
      <c r="AB163" s="71">
        <v>2.3300000000000001E-2</v>
      </c>
      <c r="AC163" s="71">
        <v>0.26463427550898844</v>
      </c>
      <c r="AD163" s="72">
        <v>6.1763128479231606E-2</v>
      </c>
      <c r="AG163" s="69">
        <v>2001</v>
      </c>
      <c r="AH163" s="70">
        <v>0.44819999999999999</v>
      </c>
      <c r="AI163" s="71">
        <v>0.11469999999999998</v>
      </c>
      <c r="AJ163" s="71">
        <v>0.15130000000000002</v>
      </c>
      <c r="AK163" s="78">
        <v>0.1822</v>
      </c>
      <c r="AL163" s="78">
        <v>8.3699999999999997E-2</v>
      </c>
      <c r="AM163" s="70">
        <v>0.42229999999999995</v>
      </c>
      <c r="AN163" s="71">
        <v>0.1537</v>
      </c>
      <c r="AO163" s="72">
        <v>6.2600000000000003E-2</v>
      </c>
      <c r="AP163" s="71">
        <v>0.3422</v>
      </c>
      <c r="AQ163" s="72">
        <v>0.10876</v>
      </c>
    </row>
    <row r="164" spans="1:43">
      <c r="B164" s="40" t="s">
        <v>195</v>
      </c>
      <c r="T164" s="69">
        <v>2002</v>
      </c>
      <c r="U164" s="70">
        <v>0.38689999999999997</v>
      </c>
      <c r="V164" s="71">
        <v>0.12269999999999999</v>
      </c>
      <c r="W164" s="72">
        <v>4.2199999999999994E-2</v>
      </c>
      <c r="Y164" s="69">
        <v>2002</v>
      </c>
      <c r="Z164" s="70">
        <v>0.33030000000000004</v>
      </c>
      <c r="AA164" s="71">
        <v>8.4600000000000009E-2</v>
      </c>
      <c r="AB164" s="71">
        <v>2.35E-2</v>
      </c>
      <c r="AC164" s="71">
        <v>0.26415443094777541</v>
      </c>
      <c r="AD164" s="72">
        <v>6.1982926089477988E-2</v>
      </c>
      <c r="AG164" s="69">
        <v>2002</v>
      </c>
      <c r="AH164" s="70">
        <v>0.43819999999999998</v>
      </c>
      <c r="AI164" s="71">
        <v>0.11749999999999999</v>
      </c>
      <c r="AJ164" s="71">
        <v>0.15210000000000001</v>
      </c>
      <c r="AK164" s="78">
        <v>0.1686</v>
      </c>
      <c r="AL164" s="78">
        <v>7.3399999999999993E-2</v>
      </c>
      <c r="AM164" s="70">
        <v>0.42359999999999998</v>
      </c>
      <c r="AN164" s="71">
        <v>0.14990000000000001</v>
      </c>
      <c r="AO164" s="72">
        <v>5.9400000000000001E-2</v>
      </c>
      <c r="AP164" s="71">
        <v>0.33378999999999998</v>
      </c>
      <c r="AQ164" s="72">
        <v>0.10317999999999999</v>
      </c>
    </row>
    <row r="165" spans="1:43">
      <c r="T165" s="69">
        <v>2003</v>
      </c>
      <c r="U165" s="70">
        <v>0.3775</v>
      </c>
      <c r="V165" s="71">
        <v>0.12119999999999999</v>
      </c>
      <c r="W165" s="72">
        <v>4.2300000000000004E-2</v>
      </c>
      <c r="Y165" s="69">
        <v>2003</v>
      </c>
      <c r="Z165" s="70">
        <v>0.33110000000000001</v>
      </c>
      <c r="AA165" s="71">
        <v>8.5500000000000007E-2</v>
      </c>
      <c r="AB165" s="71">
        <v>2.3700000000000002E-2</v>
      </c>
      <c r="AC165" s="71">
        <v>0.26479422369605943</v>
      </c>
      <c r="AD165" s="72">
        <v>6.2642318920217127E-2</v>
      </c>
      <c r="AG165" s="69">
        <v>2003</v>
      </c>
      <c r="AH165" s="70">
        <v>0.44530000000000003</v>
      </c>
      <c r="AI165" s="71">
        <v>0.11770000000000003</v>
      </c>
      <c r="AJ165" s="71">
        <v>0.15229999999999996</v>
      </c>
      <c r="AK165" s="78">
        <v>0.17530000000000001</v>
      </c>
      <c r="AL165" s="78">
        <v>7.8700000000000006E-2</v>
      </c>
      <c r="AM165" s="70">
        <v>0.42759999999999998</v>
      </c>
      <c r="AN165" s="71">
        <v>0.15210000000000001</v>
      </c>
      <c r="AO165" s="72">
        <v>6.1100000000000002E-2</v>
      </c>
      <c r="AP165" s="71">
        <v>0.33109</v>
      </c>
      <c r="AQ165" s="72">
        <v>0.10215</v>
      </c>
    </row>
    <row r="166" spans="1:43">
      <c r="B166" s="40" t="s">
        <v>196</v>
      </c>
      <c r="T166" s="69">
        <v>2004</v>
      </c>
      <c r="U166" s="70">
        <v>0.39539999999999997</v>
      </c>
      <c r="V166" s="71">
        <v>0.12890000000000001</v>
      </c>
      <c r="W166" s="72">
        <v>4.5700000000000005E-2</v>
      </c>
      <c r="Y166" s="69">
        <v>2004</v>
      </c>
      <c r="Z166" s="70">
        <v>0.33450000000000002</v>
      </c>
      <c r="AA166" s="71">
        <v>8.7300000000000003E-2</v>
      </c>
      <c r="AB166" s="71">
        <v>2.4500000000000001E-2</v>
      </c>
      <c r="AC166" s="71">
        <v>0.2675133428762666</v>
      </c>
      <c r="AD166" s="72">
        <v>6.3961104581695363E-2</v>
      </c>
      <c r="AG166" s="69">
        <v>2004</v>
      </c>
      <c r="AH166" s="70">
        <v>0.46399999999999997</v>
      </c>
      <c r="AI166" s="71">
        <v>0.11449999999999996</v>
      </c>
      <c r="AJ166" s="71">
        <v>0.15200000000000002</v>
      </c>
      <c r="AK166" s="78">
        <v>0.19750000000000001</v>
      </c>
      <c r="AL166" s="78">
        <v>9.4600000000000004E-2</v>
      </c>
      <c r="AM166" s="70">
        <v>0.43640000000000001</v>
      </c>
      <c r="AN166" s="71">
        <v>0.16339999999999999</v>
      </c>
      <c r="AO166" s="72">
        <v>6.9000000000000006E-2</v>
      </c>
      <c r="AP166" s="71">
        <v>0.34183999999999998</v>
      </c>
      <c r="AQ166" s="72">
        <v>0.11044999999999999</v>
      </c>
    </row>
    <row r="167" spans="1:43">
      <c r="B167" s="40" t="s">
        <v>197</v>
      </c>
      <c r="T167" s="69">
        <v>2005</v>
      </c>
      <c r="U167" s="70">
        <v>0.41619999999999996</v>
      </c>
      <c r="V167" s="71">
        <v>0.14249999999999999</v>
      </c>
      <c r="W167" s="72">
        <v>5.1900000000000002E-2</v>
      </c>
      <c r="Y167" s="69">
        <v>2005</v>
      </c>
      <c r="Z167" s="70">
        <v>0.32890000000000003</v>
      </c>
      <c r="AA167" s="71">
        <v>8.7300000000000003E-2</v>
      </c>
      <c r="AB167" s="71">
        <v>2.4799999999999999E-2</v>
      </c>
      <c r="AC167" s="71">
        <v>0.26803479363827831</v>
      </c>
      <c r="AD167" s="72">
        <v>6.6961104581695366E-2</v>
      </c>
      <c r="AG167" s="69">
        <v>2005</v>
      </c>
      <c r="AH167" s="70">
        <v>0.48330000000000001</v>
      </c>
      <c r="AI167" s="71">
        <v>0.11170000000000002</v>
      </c>
      <c r="AJ167" s="71">
        <v>0.15239999999999995</v>
      </c>
      <c r="AK167" s="78">
        <v>0.21920000000000001</v>
      </c>
      <c r="AL167" s="78">
        <v>0.10980000000000001</v>
      </c>
      <c r="AM167" s="70">
        <v>0.44939999999999997</v>
      </c>
      <c r="AN167" s="71">
        <v>0.17679999999999998</v>
      </c>
      <c r="AO167" s="72">
        <v>7.7600000000000002E-2</v>
      </c>
      <c r="AP167" s="71">
        <v>0.34651999999999999</v>
      </c>
      <c r="AQ167" s="72">
        <v>0.11434</v>
      </c>
    </row>
    <row r="168" spans="1:43">
      <c r="B168" s="40" t="s">
        <v>198</v>
      </c>
      <c r="T168" s="69">
        <v>2006</v>
      </c>
      <c r="U168" s="70">
        <v>0.4199</v>
      </c>
      <c r="V168" s="71">
        <v>0.1482</v>
      </c>
      <c r="W168" s="72">
        <v>5.5500000000000001E-2</v>
      </c>
      <c r="Y168" s="69">
        <v>2006</v>
      </c>
      <c r="Z168" s="70">
        <v>0.3281</v>
      </c>
      <c r="AA168" s="71">
        <v>8.9399999999999993E-2</v>
      </c>
      <c r="AB168" s="71">
        <v>2.6499999999999999E-2</v>
      </c>
      <c r="AC168" s="71">
        <v>0.26839500088999424</v>
      </c>
      <c r="AD168" s="72">
        <v>6.9499687853420006E-2</v>
      </c>
      <c r="AG168" s="69">
        <v>2006</v>
      </c>
      <c r="AH168" s="70">
        <v>0.49320000000000003</v>
      </c>
      <c r="AI168" s="71">
        <v>0.11240000000000001</v>
      </c>
      <c r="AJ168" s="71">
        <v>0.15259999999999999</v>
      </c>
      <c r="AK168" s="78">
        <v>0.22820000000000001</v>
      </c>
      <c r="AL168" s="78">
        <v>0.1159</v>
      </c>
      <c r="AM168" s="70">
        <v>0.45500000000000002</v>
      </c>
      <c r="AN168" s="71">
        <v>0.18059999999999998</v>
      </c>
      <c r="AO168" s="72">
        <v>7.9199999999999993E-2</v>
      </c>
      <c r="AP168" s="71">
        <v>0.35058999999999996</v>
      </c>
      <c r="AQ168" s="72">
        <v>0.11724999999999999</v>
      </c>
    </row>
    <row r="169" spans="1:43">
      <c r="T169" s="69">
        <v>2007</v>
      </c>
      <c r="U169" s="70">
        <v>0.42609999999999998</v>
      </c>
      <c r="V169" s="71">
        <v>0.15439999999999998</v>
      </c>
      <c r="W169" s="72">
        <v>6.0499999999999998E-2</v>
      </c>
      <c r="Y169" s="69">
        <v>2007</v>
      </c>
      <c r="Z169" s="70">
        <v>0.33149999999999996</v>
      </c>
      <c r="AA169" s="71">
        <v>9.2499999999999999E-2</v>
      </c>
      <c r="AB169" s="71">
        <v>2.7418903803131993E-2</v>
      </c>
      <c r="AC169" s="71">
        <v>0.27211412007020142</v>
      </c>
      <c r="AD169" s="72">
        <v>7.177092982596589E-2</v>
      </c>
      <c r="AG169" s="69">
        <v>2007</v>
      </c>
      <c r="AH169" s="70">
        <v>0.49740000000000001</v>
      </c>
      <c r="AI169" s="71">
        <v>0.11070000000000001</v>
      </c>
      <c r="AJ169" s="71">
        <v>0.15170000000000003</v>
      </c>
      <c r="AK169" s="78">
        <v>0.23499999999999999</v>
      </c>
      <c r="AL169" s="78">
        <v>0.12279999999999999</v>
      </c>
      <c r="AM169" s="70">
        <v>0.45669999999999999</v>
      </c>
      <c r="AN169" s="71">
        <v>0.18329999999999999</v>
      </c>
      <c r="AO169" s="72">
        <v>8.1600000000000006E-2</v>
      </c>
      <c r="AP169" s="71">
        <v>0.35703000000000001</v>
      </c>
      <c r="AQ169" s="72">
        <v>0.12226000000000001</v>
      </c>
    </row>
    <row r="170" spans="1:43">
      <c r="B170" s="40" t="s">
        <v>199</v>
      </c>
      <c r="T170" s="69">
        <v>2008</v>
      </c>
      <c r="U170" s="70">
        <v>0.41676666666666667</v>
      </c>
      <c r="V170" s="71">
        <v>0.14713333333333334</v>
      </c>
      <c r="W170" s="72">
        <v>5.57E-2</v>
      </c>
      <c r="Y170" s="69">
        <v>2008</v>
      </c>
      <c r="Z170" s="70">
        <v>0.33030000000000004</v>
      </c>
      <c r="AA170" s="71">
        <v>8.8000000000000009E-2</v>
      </c>
      <c r="AB170" s="71">
        <v>2.6085011185682329E-2</v>
      </c>
      <c r="AC170" s="71">
        <v>0.27215443094777542</v>
      </c>
      <c r="AD170" s="72">
        <v>6.9473965672270252E-2</v>
      </c>
      <c r="AG170" s="69">
        <v>2008</v>
      </c>
      <c r="AH170" s="70">
        <v>0.48229999999999995</v>
      </c>
      <c r="AI170" s="71">
        <v>0.11709999999999994</v>
      </c>
      <c r="AJ170" s="71">
        <v>0.15570000000000003</v>
      </c>
      <c r="AK170" s="78">
        <v>0.20949999999999999</v>
      </c>
      <c r="AL170" s="78">
        <v>0.10400000000000001</v>
      </c>
      <c r="AM170" s="70">
        <v>0.45960000000000001</v>
      </c>
      <c r="AN170" s="71">
        <v>0.1789</v>
      </c>
      <c r="AO170" s="72">
        <v>7.8200000000000006E-2</v>
      </c>
      <c r="AP170" s="71">
        <v>0.34856999999999999</v>
      </c>
      <c r="AQ170" s="72">
        <v>0.11376</v>
      </c>
    </row>
    <row r="171" spans="1:43">
      <c r="T171" s="69">
        <v>2009</v>
      </c>
      <c r="U171" s="70">
        <v>0.40429999999999999</v>
      </c>
      <c r="V171" s="71">
        <v>0.13880000000000001</v>
      </c>
      <c r="W171" s="72">
        <v>5.1100000000000007E-2</v>
      </c>
      <c r="Y171" s="69">
        <v>2009</v>
      </c>
      <c r="Z171" s="70">
        <v>0.32689999999999997</v>
      </c>
      <c r="AA171" s="71">
        <v>8.3800000000000013E-2</v>
      </c>
      <c r="AB171" s="71">
        <v>2.4840044742729307E-2</v>
      </c>
      <c r="AC171" s="71">
        <v>0.27043531176756819</v>
      </c>
      <c r="AD171" s="72">
        <v>6.8396799128821004E-2</v>
      </c>
      <c r="AG171" s="69">
        <v>2009</v>
      </c>
      <c r="AH171" s="70">
        <v>0.46500000000000002</v>
      </c>
      <c r="AI171" s="71">
        <v>0.12390000000000001</v>
      </c>
      <c r="AJ171" s="71">
        <v>0.15989999999999999</v>
      </c>
      <c r="AK171" s="78">
        <v>0.1812</v>
      </c>
      <c r="AL171" s="78">
        <v>8.3000000000000004E-2</v>
      </c>
      <c r="AM171" s="70">
        <v>0.45469999999999999</v>
      </c>
      <c r="AN171" s="71">
        <v>0.1668</v>
      </c>
      <c r="AO171" s="72">
        <v>7.0400000000000004E-2</v>
      </c>
      <c r="AP171" s="71">
        <v>0.33659</v>
      </c>
      <c r="AQ171" s="72">
        <v>0.10238</v>
      </c>
    </row>
    <row r="172" spans="1:43" ht="15" thickBot="1">
      <c r="A172" s="45" t="s">
        <v>85</v>
      </c>
      <c r="T172" s="79">
        <v>2010</v>
      </c>
      <c r="U172" s="80">
        <v>0.41572222222222227</v>
      </c>
      <c r="V172" s="81">
        <v>0.14677777777777778</v>
      </c>
      <c r="W172" s="82">
        <v>5.5766666666666666E-2</v>
      </c>
      <c r="Y172" s="79">
        <v>2010</v>
      </c>
      <c r="Z172" s="80">
        <v>0.32956666666666662</v>
      </c>
      <c r="AA172" s="81">
        <v>8.8099999999999998E-2</v>
      </c>
      <c r="AB172" s="81">
        <v>2.6114653243847874E-2</v>
      </c>
      <c r="AC172" s="81">
        <v>0.27356795426184832</v>
      </c>
      <c r="AD172" s="82">
        <v>7.1547231542352374E-2</v>
      </c>
      <c r="AG172" s="79">
        <v>2010</v>
      </c>
      <c r="AH172" s="80">
        <v>0.47899999999999998</v>
      </c>
      <c r="AI172" s="81">
        <v>0.12179999999999999</v>
      </c>
      <c r="AJ172" s="81">
        <v>0.1595</v>
      </c>
      <c r="AK172" s="83">
        <v>0.19769999999999999</v>
      </c>
      <c r="AL172" s="83">
        <v>9.5199999999999993E-2</v>
      </c>
      <c r="AM172" s="80">
        <v>0.46259999999999996</v>
      </c>
      <c r="AN172" s="81">
        <v>0.17420000000000002</v>
      </c>
      <c r="AO172" s="82">
        <v>7.4999999999999997E-2</v>
      </c>
      <c r="AP172" s="81">
        <v>0.34470000000000001</v>
      </c>
      <c r="AQ172" s="82">
        <v>0.10897999999999999</v>
      </c>
    </row>
    <row r="173" spans="1:43" ht="15" thickTop="1">
      <c r="T173" s="40" t="s">
        <v>109</v>
      </c>
      <c r="U173" s="43" t="s">
        <v>108</v>
      </c>
      <c r="V173" s="43"/>
      <c r="W173" s="43"/>
      <c r="X173" s="43"/>
    </row>
  </sheetData>
  <hyperlinks>
    <hyperlink ref="M39:P39" r:id="rId1" display="http://piketty.pse.ens.fr/en/capital21c2" xr:uid="{00000000-0004-0000-0300-000000000000}"/>
    <hyperlink ref="U57:X57" r:id="rId2" display="http://piketty.pse.ens.fr/en/capital21c2" xr:uid="{00000000-0004-0000-0300-000001000000}"/>
    <hyperlink ref="U173:X173" r:id="rId3" display="http://piketty.pse.ens.fr/en/capital21c2" xr:uid="{00000000-0004-0000-0300-000002000000}"/>
    <hyperlink ref="L67:M67" r:id="rId4" display="http://wid.world/" xr:uid="{00000000-0004-0000-0300-000003000000}"/>
    <hyperlink ref="K20" r:id="rId5" display="http://academic.depauw.edu/hbarreto_web/238959182.html" xr:uid="{2441A484-F587-401B-9426-CA11216CA8C0}"/>
    <hyperlink ref="K20:P20" r:id="rId6" display="https://player.vimeo.com/video/238959182" xr:uid="{E770177D-A5B6-41FC-B290-648DC8ADF8B0}"/>
    <hyperlink ref="E135:J135" r:id="rId7" display="https://player.vimeo.com/video/238606237" xr:uid="{C0CA2799-4F11-4BD9-A6E0-674EA5133B29}"/>
  </hyperlinks>
  <pageMargins left="0.7" right="0.7" top="0.75" bottom="0.75" header="0.3" footer="0.3"/>
  <pageSetup orientation="portrait" horizontalDpi="360" verticalDpi="360" r:id="rId8"/>
  <drawing r:id="rId9"/>
  <legacyDrawing r:id="rId10"/>
  <mc:AlternateContent xmlns:mc="http://schemas.openxmlformats.org/markup-compatibility/2006">
    <mc:Choice Requires="x14">
      <controls>
        <mc:AlternateContent xmlns:mc="http://schemas.openxmlformats.org/markup-compatibility/2006">
          <mc:Choice Requires="x14">
            <control shapeId="21505" r:id="rId11" name="Button 1">
              <controlPr defaultSize="0" print="0" autoFill="0" autoPict="0" macro="[0]!showCycle">
                <anchor moveWithCells="1" sizeWithCells="1">
                  <from>
                    <xdr:col>1</xdr:col>
                    <xdr:colOff>0</xdr:colOff>
                    <xdr:row>171</xdr:row>
                    <xdr:rowOff>0</xdr:rowOff>
                  </from>
                  <to>
                    <xdr:col>1</xdr:col>
                    <xdr:colOff>518160</xdr:colOff>
                    <xdr:row>172</xdr:row>
                    <xdr:rowOff>91440</xdr:rowOff>
                  </to>
                </anchor>
              </controlPr>
            </control>
          </mc:Choice>
        </mc:AlternateContent>
        <mc:AlternateContent xmlns:mc="http://schemas.openxmlformats.org/markup-compatibility/2006">
          <mc:Choice Requires="x14">
            <control shapeId="21506" r:id="rId12" name="Group Box 2">
              <controlPr defaultSize="0" autoFill="0" autoPict="0">
                <anchor moveWithCells="1">
                  <from>
                    <xdr:col>2</xdr:col>
                    <xdr:colOff>53340</xdr:colOff>
                    <xdr:row>14</xdr:row>
                    <xdr:rowOff>205740</xdr:rowOff>
                  </from>
                  <to>
                    <xdr:col>3</xdr:col>
                    <xdr:colOff>99060</xdr:colOff>
                    <xdr:row>19</xdr:row>
                    <xdr:rowOff>175260</xdr:rowOff>
                  </to>
                </anchor>
              </controlPr>
            </control>
          </mc:Choice>
        </mc:AlternateContent>
        <mc:AlternateContent xmlns:mc="http://schemas.openxmlformats.org/markup-compatibility/2006">
          <mc:Choice Requires="x14">
            <control shapeId="21507" r:id="rId13" name="Option Button 3">
              <controlPr defaultSize="0" autoFill="0" autoLine="0" autoPict="0" macro="[0]!showCountryonChart">
                <anchor moveWithCells="1">
                  <from>
                    <xdr:col>2</xdr:col>
                    <xdr:colOff>53340</xdr:colOff>
                    <xdr:row>15</xdr:row>
                    <xdr:rowOff>106680</xdr:rowOff>
                  </from>
                  <to>
                    <xdr:col>3</xdr:col>
                    <xdr:colOff>99060</xdr:colOff>
                    <xdr:row>16</xdr:row>
                    <xdr:rowOff>121920</xdr:rowOff>
                  </to>
                </anchor>
              </controlPr>
            </control>
          </mc:Choice>
        </mc:AlternateContent>
        <mc:AlternateContent xmlns:mc="http://schemas.openxmlformats.org/markup-compatibility/2006">
          <mc:Choice Requires="x14">
            <control shapeId="21508" r:id="rId14" name="Option Button 4">
              <controlPr defaultSize="0" autoFill="0" autoLine="0" autoPict="0" macro="[0]!showCountryonChart">
                <anchor moveWithCells="1">
                  <from>
                    <xdr:col>2</xdr:col>
                    <xdr:colOff>53340</xdr:colOff>
                    <xdr:row>16</xdr:row>
                    <xdr:rowOff>68580</xdr:rowOff>
                  </from>
                  <to>
                    <xdr:col>3</xdr:col>
                    <xdr:colOff>99060</xdr:colOff>
                    <xdr:row>17</xdr:row>
                    <xdr:rowOff>83820</xdr:rowOff>
                  </to>
                </anchor>
              </controlPr>
            </control>
          </mc:Choice>
        </mc:AlternateContent>
        <mc:AlternateContent xmlns:mc="http://schemas.openxmlformats.org/markup-compatibility/2006">
          <mc:Choice Requires="x14">
            <control shapeId="21509" r:id="rId15" name="Option Button 5">
              <controlPr defaultSize="0" autoFill="0" autoLine="0" autoPict="0" macro="[0]!showCountryonChart">
                <anchor moveWithCells="1">
                  <from>
                    <xdr:col>2</xdr:col>
                    <xdr:colOff>60960</xdr:colOff>
                    <xdr:row>17</xdr:row>
                    <xdr:rowOff>53340</xdr:rowOff>
                  </from>
                  <to>
                    <xdr:col>3</xdr:col>
                    <xdr:colOff>99060</xdr:colOff>
                    <xdr:row>18</xdr:row>
                    <xdr:rowOff>45720</xdr:rowOff>
                  </to>
                </anchor>
              </controlPr>
            </control>
          </mc:Choice>
        </mc:AlternateContent>
        <mc:AlternateContent xmlns:mc="http://schemas.openxmlformats.org/markup-compatibility/2006">
          <mc:Choice Requires="x14">
            <control shapeId="21510" r:id="rId16" name="Option Button 6">
              <controlPr defaultSize="0" autoFill="0" autoLine="0" autoPict="0" macro="[0]!showCountryonChart">
                <anchor moveWithCells="1">
                  <from>
                    <xdr:col>2</xdr:col>
                    <xdr:colOff>60960</xdr:colOff>
                    <xdr:row>18</xdr:row>
                    <xdr:rowOff>0</xdr:rowOff>
                  </from>
                  <to>
                    <xdr:col>3</xdr:col>
                    <xdr:colOff>99060</xdr:colOff>
                    <xdr:row>19</xdr:row>
                    <xdr:rowOff>15240</xdr:rowOff>
                  </to>
                </anchor>
              </controlPr>
            </control>
          </mc:Choice>
        </mc:AlternateContent>
        <mc:AlternateContent xmlns:mc="http://schemas.openxmlformats.org/markup-compatibility/2006">
          <mc:Choice Requires="x14">
            <control shapeId="21512" r:id="rId17" name="Button 8">
              <controlPr defaultSize="0" print="0" autoFill="0" autoPict="0" macro="[0]!showformbeta">
                <anchor moveWithCells="1" sizeWithCells="1">
                  <from>
                    <xdr:col>7</xdr:col>
                    <xdr:colOff>518160</xdr:colOff>
                    <xdr:row>19</xdr:row>
                    <xdr:rowOff>22860</xdr:rowOff>
                  </from>
                  <to>
                    <xdr:col>9</xdr:col>
                    <xdr:colOff>556260</xdr:colOff>
                    <xdr:row>20</xdr:row>
                    <xdr:rowOff>167640</xdr:rowOff>
                  </to>
                </anchor>
              </controlPr>
            </control>
          </mc:Choice>
        </mc:AlternateContent>
        <mc:AlternateContent xmlns:mc="http://schemas.openxmlformats.org/markup-compatibility/2006">
          <mc:Choice Requires="x14">
            <control shapeId="21514" r:id="rId18" name="Group Box 10">
              <controlPr defaultSize="0" autoFill="0" autoPict="0">
                <anchor moveWithCells="1">
                  <from>
                    <xdr:col>11</xdr:col>
                    <xdr:colOff>53340</xdr:colOff>
                    <xdr:row>59</xdr:row>
                    <xdr:rowOff>60960</xdr:rowOff>
                  </from>
                  <to>
                    <xdr:col>12</xdr:col>
                    <xdr:colOff>91440</xdr:colOff>
                    <xdr:row>60</xdr:row>
                    <xdr:rowOff>15240</xdr:rowOff>
                  </to>
                </anchor>
              </controlPr>
            </control>
          </mc:Choice>
        </mc:AlternateContent>
        <mc:AlternateContent xmlns:mc="http://schemas.openxmlformats.org/markup-compatibility/2006">
          <mc:Choice Requires="x14">
            <control shapeId="21515" r:id="rId19" name="Option Button 11">
              <controlPr defaultSize="0" autoFill="0" autoLine="0" autoPict="0" macro="[0]!showCountryPercentileonChart">
                <anchor moveWithCells="1">
                  <from>
                    <xdr:col>11</xdr:col>
                    <xdr:colOff>53340</xdr:colOff>
                    <xdr:row>59</xdr:row>
                    <xdr:rowOff>205740</xdr:rowOff>
                  </from>
                  <to>
                    <xdr:col>12</xdr:col>
                    <xdr:colOff>91440</xdr:colOff>
                    <xdr:row>59</xdr:row>
                    <xdr:rowOff>403860</xdr:rowOff>
                  </to>
                </anchor>
              </controlPr>
            </control>
          </mc:Choice>
        </mc:AlternateContent>
        <mc:AlternateContent xmlns:mc="http://schemas.openxmlformats.org/markup-compatibility/2006">
          <mc:Choice Requires="x14">
            <control shapeId="21517" r:id="rId20" name="Option Button 13">
              <controlPr defaultSize="0" autoFill="0" autoLine="0" autoPict="0" macro="[0]!showCountryPercentileonChart">
                <anchor moveWithCells="1">
                  <from>
                    <xdr:col>11</xdr:col>
                    <xdr:colOff>60960</xdr:colOff>
                    <xdr:row>59</xdr:row>
                    <xdr:rowOff>373380</xdr:rowOff>
                  </from>
                  <to>
                    <xdr:col>12</xdr:col>
                    <xdr:colOff>91440</xdr:colOff>
                    <xdr:row>59</xdr:row>
                    <xdr:rowOff>571500</xdr:rowOff>
                  </to>
                </anchor>
              </controlPr>
            </control>
          </mc:Choice>
        </mc:AlternateContent>
        <mc:AlternateContent xmlns:mc="http://schemas.openxmlformats.org/markup-compatibility/2006">
          <mc:Choice Requires="x14">
            <control shapeId="21518" r:id="rId21" name="Option Button 14">
              <controlPr defaultSize="0" autoFill="0" autoLine="0" autoPict="0" macro="[0]!showCountryPercentileonChart">
                <anchor moveWithCells="1">
                  <from>
                    <xdr:col>11</xdr:col>
                    <xdr:colOff>60960</xdr:colOff>
                    <xdr:row>59</xdr:row>
                    <xdr:rowOff>556260</xdr:rowOff>
                  </from>
                  <to>
                    <xdr:col>12</xdr:col>
                    <xdr:colOff>91440</xdr:colOff>
                    <xdr:row>60</xdr:row>
                    <xdr:rowOff>7620</xdr:rowOff>
                  </to>
                </anchor>
              </controlPr>
            </control>
          </mc:Choice>
        </mc:AlternateContent>
        <mc:AlternateContent xmlns:mc="http://schemas.openxmlformats.org/markup-compatibility/2006">
          <mc:Choice Requires="x14">
            <control shapeId="21520" r:id="rId22" name="Group Box 16">
              <controlPr defaultSize="0" autoFill="0" autoPict="0">
                <anchor moveWithCells="1">
                  <from>
                    <xdr:col>13</xdr:col>
                    <xdr:colOff>0</xdr:colOff>
                    <xdr:row>59</xdr:row>
                    <xdr:rowOff>53340</xdr:rowOff>
                  </from>
                  <to>
                    <xdr:col>14</xdr:col>
                    <xdr:colOff>38100</xdr:colOff>
                    <xdr:row>60</xdr:row>
                    <xdr:rowOff>0</xdr:rowOff>
                  </to>
                </anchor>
              </controlPr>
            </control>
          </mc:Choice>
        </mc:AlternateContent>
        <mc:AlternateContent xmlns:mc="http://schemas.openxmlformats.org/markup-compatibility/2006">
          <mc:Choice Requires="x14">
            <control shapeId="21521" r:id="rId23" name="Option Button 17">
              <controlPr defaultSize="0" autoFill="0" autoLine="0" autoPict="0" macro="[0]!showCountryPercentileonChart">
                <anchor moveWithCells="1">
                  <from>
                    <xdr:col>13</xdr:col>
                    <xdr:colOff>0</xdr:colOff>
                    <xdr:row>59</xdr:row>
                    <xdr:rowOff>190500</xdr:rowOff>
                  </from>
                  <to>
                    <xdr:col>14</xdr:col>
                    <xdr:colOff>38100</xdr:colOff>
                    <xdr:row>59</xdr:row>
                    <xdr:rowOff>388620</xdr:rowOff>
                  </to>
                </anchor>
              </controlPr>
            </control>
          </mc:Choice>
        </mc:AlternateContent>
        <mc:AlternateContent xmlns:mc="http://schemas.openxmlformats.org/markup-compatibility/2006">
          <mc:Choice Requires="x14">
            <control shapeId="21522" r:id="rId24" name="Option Button 18">
              <controlPr defaultSize="0" autoFill="0" autoLine="0" autoPict="0" macro="[0]!showCountryPercentileonChart">
                <anchor moveWithCells="1">
                  <from>
                    <xdr:col>13</xdr:col>
                    <xdr:colOff>7620</xdr:colOff>
                    <xdr:row>59</xdr:row>
                    <xdr:rowOff>365760</xdr:rowOff>
                  </from>
                  <to>
                    <xdr:col>14</xdr:col>
                    <xdr:colOff>38100</xdr:colOff>
                    <xdr:row>59</xdr:row>
                    <xdr:rowOff>563880</xdr:rowOff>
                  </to>
                </anchor>
              </controlPr>
            </control>
          </mc:Choice>
        </mc:AlternateContent>
        <mc:AlternateContent xmlns:mc="http://schemas.openxmlformats.org/markup-compatibility/2006">
          <mc:Choice Requires="x14">
            <control shapeId="21523" r:id="rId25" name="Option Button 19">
              <controlPr defaultSize="0" autoFill="0" autoLine="0" autoPict="0" macro="[0]!showCountryPercentileonChart">
                <anchor moveWithCells="1">
                  <from>
                    <xdr:col>13</xdr:col>
                    <xdr:colOff>7620</xdr:colOff>
                    <xdr:row>59</xdr:row>
                    <xdr:rowOff>541020</xdr:rowOff>
                  </from>
                  <to>
                    <xdr:col>14</xdr:col>
                    <xdr:colOff>38100</xdr:colOff>
                    <xdr:row>59</xdr:row>
                    <xdr:rowOff>739140</xdr:rowOff>
                  </to>
                </anchor>
              </controlPr>
            </control>
          </mc:Choice>
        </mc:AlternateContent>
        <mc:AlternateContent xmlns:mc="http://schemas.openxmlformats.org/markup-compatibility/2006">
          <mc:Choice Requires="x14">
            <control shapeId="21528" r:id="rId26" name="Group Box 24">
              <controlPr defaultSize="0" autoFill="0" autoPict="0">
                <anchor moveWithCells="1">
                  <from>
                    <xdr:col>10</xdr:col>
                    <xdr:colOff>0</xdr:colOff>
                    <xdr:row>106</xdr:row>
                    <xdr:rowOff>45720</xdr:rowOff>
                  </from>
                  <to>
                    <xdr:col>11</xdr:col>
                    <xdr:colOff>38100</xdr:colOff>
                    <xdr:row>110</xdr:row>
                    <xdr:rowOff>0</xdr:rowOff>
                  </to>
                </anchor>
              </controlPr>
            </control>
          </mc:Choice>
        </mc:AlternateContent>
        <mc:AlternateContent xmlns:mc="http://schemas.openxmlformats.org/markup-compatibility/2006">
          <mc:Choice Requires="x14">
            <control shapeId="21529" r:id="rId27" name="Option Button 25">
              <controlPr defaultSize="0" autoFill="0" autoLine="0" autoPict="0" macro="[0]!showCountryTopTenonChart">
                <anchor moveWithCells="1">
                  <from>
                    <xdr:col>10</xdr:col>
                    <xdr:colOff>0</xdr:colOff>
                    <xdr:row>107</xdr:row>
                    <xdr:rowOff>0</xdr:rowOff>
                  </from>
                  <to>
                    <xdr:col>11</xdr:col>
                    <xdr:colOff>38100</xdr:colOff>
                    <xdr:row>108</xdr:row>
                    <xdr:rowOff>15240</xdr:rowOff>
                  </to>
                </anchor>
              </controlPr>
            </control>
          </mc:Choice>
        </mc:AlternateContent>
        <mc:AlternateContent xmlns:mc="http://schemas.openxmlformats.org/markup-compatibility/2006">
          <mc:Choice Requires="x14">
            <control shapeId="21530" r:id="rId28" name="Option Button 26">
              <controlPr defaultSize="0" autoFill="0" autoLine="0" autoPict="0" macro="[0]!showCountryTopTenonChart">
                <anchor moveWithCells="1">
                  <from>
                    <xdr:col>10</xdr:col>
                    <xdr:colOff>7620</xdr:colOff>
                    <xdr:row>107</xdr:row>
                    <xdr:rowOff>175260</xdr:rowOff>
                  </from>
                  <to>
                    <xdr:col>11</xdr:col>
                    <xdr:colOff>38100</xdr:colOff>
                    <xdr:row>109</xdr:row>
                    <xdr:rowOff>0</xdr:rowOff>
                  </to>
                </anchor>
              </controlPr>
            </control>
          </mc:Choice>
        </mc:AlternateContent>
        <mc:AlternateContent xmlns:mc="http://schemas.openxmlformats.org/markup-compatibility/2006">
          <mc:Choice Requires="x14">
            <control shapeId="21531" r:id="rId29" name="Option Button 27">
              <controlPr defaultSize="0" autoFill="0" autoLine="0" autoPict="0" macro="[0]!showCountryTopTenonChart">
                <anchor moveWithCells="1">
                  <from>
                    <xdr:col>10</xdr:col>
                    <xdr:colOff>7620</xdr:colOff>
                    <xdr:row>108</xdr:row>
                    <xdr:rowOff>167640</xdr:rowOff>
                  </from>
                  <to>
                    <xdr:col>11</xdr:col>
                    <xdr:colOff>38100</xdr:colOff>
                    <xdr:row>109</xdr:row>
                    <xdr:rowOff>175260</xdr:rowOff>
                  </to>
                </anchor>
              </controlPr>
            </control>
          </mc:Choice>
        </mc:AlternateContent>
        <mc:AlternateContent xmlns:mc="http://schemas.openxmlformats.org/markup-compatibility/2006">
          <mc:Choice Requires="x14">
            <control shapeId="21532" r:id="rId30" name="Button 28">
              <controlPr defaultSize="0" print="0" autoFill="0" autoPict="0" macro="[0]!showformdownton">
                <anchor moveWithCells="1" sizeWithCells="1">
                  <from>
                    <xdr:col>2</xdr:col>
                    <xdr:colOff>0</xdr:colOff>
                    <xdr:row>134</xdr:row>
                    <xdr:rowOff>60960</xdr:rowOff>
                  </from>
                  <to>
                    <xdr:col>4</xdr:col>
                    <xdr:colOff>0</xdr:colOff>
                    <xdr:row>135</xdr:row>
                    <xdr:rowOff>152400</xdr:rowOff>
                  </to>
                </anchor>
              </controlPr>
            </control>
          </mc:Choice>
        </mc:AlternateContent>
        <mc:AlternateContent xmlns:mc="http://schemas.openxmlformats.org/markup-compatibility/2006">
          <mc:Choice Requires="x14">
            <control shapeId="21537" r:id="rId31" name="Option Button 33">
              <controlPr defaultSize="0" autoFill="0" autoLine="0" autoPict="0" macro="[0]!showCountryonChart">
                <anchor moveWithCells="1">
                  <from>
                    <xdr:col>2</xdr:col>
                    <xdr:colOff>60960</xdr:colOff>
                    <xdr:row>18</xdr:row>
                    <xdr:rowOff>160020</xdr:rowOff>
                  </from>
                  <to>
                    <xdr:col>3</xdr:col>
                    <xdr:colOff>99060</xdr:colOff>
                    <xdr:row>19</xdr:row>
                    <xdr:rowOff>175260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K155"/>
  <sheetViews>
    <sheetView showGridLines="0" workbookViewId="0">
      <selection activeCell="A3" sqref="A3"/>
    </sheetView>
  </sheetViews>
  <sheetFormatPr defaultColWidth="9.21875" defaultRowHeight="15.6"/>
  <cols>
    <col min="1" max="1" width="18.77734375" style="120" customWidth="1"/>
    <col min="2" max="2" width="17.77734375" style="120" customWidth="1"/>
    <col min="3" max="3" width="9.21875" style="120"/>
    <col min="4" max="4" width="17" style="120" customWidth="1"/>
    <col min="5" max="256" width="9.21875" style="120"/>
    <col min="257" max="257" width="18.77734375" style="120" customWidth="1"/>
    <col min="258" max="258" width="17.77734375" style="120" customWidth="1"/>
    <col min="259" max="259" width="9.21875" style="120"/>
    <col min="260" max="260" width="17" style="120" customWidth="1"/>
    <col min="261" max="512" width="9.21875" style="120"/>
    <col min="513" max="513" width="18.77734375" style="120" customWidth="1"/>
    <col min="514" max="514" width="17.77734375" style="120" customWidth="1"/>
    <col min="515" max="515" width="9.21875" style="120"/>
    <col min="516" max="516" width="17" style="120" customWidth="1"/>
    <col min="517" max="768" width="9.21875" style="120"/>
    <col min="769" max="769" width="18.77734375" style="120" customWidth="1"/>
    <col min="770" max="770" width="17.77734375" style="120" customWidth="1"/>
    <col min="771" max="771" width="9.21875" style="120"/>
    <col min="772" max="772" width="17" style="120" customWidth="1"/>
    <col min="773" max="1024" width="9.21875" style="120"/>
    <col min="1025" max="1025" width="18.77734375" style="120" customWidth="1"/>
    <col min="1026" max="1026" width="17.77734375" style="120" customWidth="1"/>
    <col min="1027" max="1027" width="9.21875" style="120"/>
    <col min="1028" max="1028" width="17" style="120" customWidth="1"/>
    <col min="1029" max="1280" width="9.21875" style="120"/>
    <col min="1281" max="1281" width="18.77734375" style="120" customWidth="1"/>
    <col min="1282" max="1282" width="17.77734375" style="120" customWidth="1"/>
    <col min="1283" max="1283" width="9.21875" style="120"/>
    <col min="1284" max="1284" width="17" style="120" customWidth="1"/>
    <col min="1285" max="1536" width="9.21875" style="120"/>
    <col min="1537" max="1537" width="18.77734375" style="120" customWidth="1"/>
    <col min="1538" max="1538" width="17.77734375" style="120" customWidth="1"/>
    <col min="1539" max="1539" width="9.21875" style="120"/>
    <col min="1540" max="1540" width="17" style="120" customWidth="1"/>
    <col min="1541" max="1792" width="9.21875" style="120"/>
    <col min="1793" max="1793" width="18.77734375" style="120" customWidth="1"/>
    <col min="1794" max="1794" width="17.77734375" style="120" customWidth="1"/>
    <col min="1795" max="1795" width="9.21875" style="120"/>
    <col min="1796" max="1796" width="17" style="120" customWidth="1"/>
    <col min="1797" max="2048" width="9.21875" style="120"/>
    <col min="2049" max="2049" width="18.77734375" style="120" customWidth="1"/>
    <col min="2050" max="2050" width="17.77734375" style="120" customWidth="1"/>
    <col min="2051" max="2051" width="9.21875" style="120"/>
    <col min="2052" max="2052" width="17" style="120" customWidth="1"/>
    <col min="2053" max="2304" width="9.21875" style="120"/>
    <col min="2305" max="2305" width="18.77734375" style="120" customWidth="1"/>
    <col min="2306" max="2306" width="17.77734375" style="120" customWidth="1"/>
    <col min="2307" max="2307" width="9.21875" style="120"/>
    <col min="2308" max="2308" width="17" style="120" customWidth="1"/>
    <col min="2309" max="2560" width="9.21875" style="120"/>
    <col min="2561" max="2561" width="18.77734375" style="120" customWidth="1"/>
    <col min="2562" max="2562" width="17.77734375" style="120" customWidth="1"/>
    <col min="2563" max="2563" width="9.21875" style="120"/>
    <col min="2564" max="2564" width="17" style="120" customWidth="1"/>
    <col min="2565" max="2816" width="9.21875" style="120"/>
    <col min="2817" max="2817" width="18.77734375" style="120" customWidth="1"/>
    <col min="2818" max="2818" width="17.77734375" style="120" customWidth="1"/>
    <col min="2819" max="2819" width="9.21875" style="120"/>
    <col min="2820" max="2820" width="17" style="120" customWidth="1"/>
    <col min="2821" max="3072" width="9.21875" style="120"/>
    <col min="3073" max="3073" width="18.77734375" style="120" customWidth="1"/>
    <col min="3074" max="3074" width="17.77734375" style="120" customWidth="1"/>
    <col min="3075" max="3075" width="9.21875" style="120"/>
    <col min="3076" max="3076" width="17" style="120" customWidth="1"/>
    <col min="3077" max="3328" width="9.21875" style="120"/>
    <col min="3329" max="3329" width="18.77734375" style="120" customWidth="1"/>
    <col min="3330" max="3330" width="17.77734375" style="120" customWidth="1"/>
    <col min="3331" max="3331" width="9.21875" style="120"/>
    <col min="3332" max="3332" width="17" style="120" customWidth="1"/>
    <col min="3333" max="3584" width="9.21875" style="120"/>
    <col min="3585" max="3585" width="18.77734375" style="120" customWidth="1"/>
    <col min="3586" max="3586" width="17.77734375" style="120" customWidth="1"/>
    <col min="3587" max="3587" width="9.21875" style="120"/>
    <col min="3588" max="3588" width="17" style="120" customWidth="1"/>
    <col min="3589" max="3840" width="9.21875" style="120"/>
    <col min="3841" max="3841" width="18.77734375" style="120" customWidth="1"/>
    <col min="3842" max="3842" width="17.77734375" style="120" customWidth="1"/>
    <col min="3843" max="3843" width="9.21875" style="120"/>
    <col min="3844" max="3844" width="17" style="120" customWidth="1"/>
    <col min="3845" max="4096" width="9.21875" style="120"/>
    <col min="4097" max="4097" width="18.77734375" style="120" customWidth="1"/>
    <col min="4098" max="4098" width="17.77734375" style="120" customWidth="1"/>
    <col min="4099" max="4099" width="9.21875" style="120"/>
    <col min="4100" max="4100" width="17" style="120" customWidth="1"/>
    <col min="4101" max="4352" width="9.21875" style="120"/>
    <col min="4353" max="4353" width="18.77734375" style="120" customWidth="1"/>
    <col min="4354" max="4354" width="17.77734375" style="120" customWidth="1"/>
    <col min="4355" max="4355" width="9.21875" style="120"/>
    <col min="4356" max="4356" width="17" style="120" customWidth="1"/>
    <col min="4357" max="4608" width="9.21875" style="120"/>
    <col min="4609" max="4609" width="18.77734375" style="120" customWidth="1"/>
    <col min="4610" max="4610" width="17.77734375" style="120" customWidth="1"/>
    <col min="4611" max="4611" width="9.21875" style="120"/>
    <col min="4612" max="4612" width="17" style="120" customWidth="1"/>
    <col min="4613" max="4864" width="9.21875" style="120"/>
    <col min="4865" max="4865" width="18.77734375" style="120" customWidth="1"/>
    <col min="4866" max="4866" width="17.77734375" style="120" customWidth="1"/>
    <col min="4867" max="4867" width="9.21875" style="120"/>
    <col min="4868" max="4868" width="17" style="120" customWidth="1"/>
    <col min="4869" max="5120" width="9.21875" style="120"/>
    <col min="5121" max="5121" width="18.77734375" style="120" customWidth="1"/>
    <col min="5122" max="5122" width="17.77734375" style="120" customWidth="1"/>
    <col min="5123" max="5123" width="9.21875" style="120"/>
    <col min="5124" max="5124" width="17" style="120" customWidth="1"/>
    <col min="5125" max="5376" width="9.21875" style="120"/>
    <col min="5377" max="5377" width="18.77734375" style="120" customWidth="1"/>
    <col min="5378" max="5378" width="17.77734375" style="120" customWidth="1"/>
    <col min="5379" max="5379" width="9.21875" style="120"/>
    <col min="5380" max="5380" width="17" style="120" customWidth="1"/>
    <col min="5381" max="5632" width="9.21875" style="120"/>
    <col min="5633" max="5633" width="18.77734375" style="120" customWidth="1"/>
    <col min="5634" max="5634" width="17.77734375" style="120" customWidth="1"/>
    <col min="5635" max="5635" width="9.21875" style="120"/>
    <col min="5636" max="5636" width="17" style="120" customWidth="1"/>
    <col min="5637" max="5888" width="9.21875" style="120"/>
    <col min="5889" max="5889" width="18.77734375" style="120" customWidth="1"/>
    <col min="5890" max="5890" width="17.77734375" style="120" customWidth="1"/>
    <col min="5891" max="5891" width="9.21875" style="120"/>
    <col min="5892" max="5892" width="17" style="120" customWidth="1"/>
    <col min="5893" max="6144" width="9.21875" style="120"/>
    <col min="6145" max="6145" width="18.77734375" style="120" customWidth="1"/>
    <col min="6146" max="6146" width="17.77734375" style="120" customWidth="1"/>
    <col min="6147" max="6147" width="9.21875" style="120"/>
    <col min="6148" max="6148" width="17" style="120" customWidth="1"/>
    <col min="6149" max="6400" width="9.21875" style="120"/>
    <col min="6401" max="6401" width="18.77734375" style="120" customWidth="1"/>
    <col min="6402" max="6402" width="17.77734375" style="120" customWidth="1"/>
    <col min="6403" max="6403" width="9.21875" style="120"/>
    <col min="6404" max="6404" width="17" style="120" customWidth="1"/>
    <col min="6405" max="6656" width="9.21875" style="120"/>
    <col min="6657" max="6657" width="18.77734375" style="120" customWidth="1"/>
    <col min="6658" max="6658" width="17.77734375" style="120" customWidth="1"/>
    <col min="6659" max="6659" width="9.21875" style="120"/>
    <col min="6660" max="6660" width="17" style="120" customWidth="1"/>
    <col min="6661" max="6912" width="9.21875" style="120"/>
    <col min="6913" max="6913" width="18.77734375" style="120" customWidth="1"/>
    <col min="6914" max="6914" width="17.77734375" style="120" customWidth="1"/>
    <col min="6915" max="6915" width="9.21875" style="120"/>
    <col min="6916" max="6916" width="17" style="120" customWidth="1"/>
    <col min="6917" max="7168" width="9.21875" style="120"/>
    <col min="7169" max="7169" width="18.77734375" style="120" customWidth="1"/>
    <col min="7170" max="7170" width="17.77734375" style="120" customWidth="1"/>
    <col min="7171" max="7171" width="9.21875" style="120"/>
    <col min="7172" max="7172" width="17" style="120" customWidth="1"/>
    <col min="7173" max="7424" width="9.21875" style="120"/>
    <col min="7425" max="7425" width="18.77734375" style="120" customWidth="1"/>
    <col min="7426" max="7426" width="17.77734375" style="120" customWidth="1"/>
    <col min="7427" max="7427" width="9.21875" style="120"/>
    <col min="7428" max="7428" width="17" style="120" customWidth="1"/>
    <col min="7429" max="7680" width="9.21875" style="120"/>
    <col min="7681" max="7681" width="18.77734375" style="120" customWidth="1"/>
    <col min="7682" max="7682" width="17.77734375" style="120" customWidth="1"/>
    <col min="7683" max="7683" width="9.21875" style="120"/>
    <col min="7684" max="7684" width="17" style="120" customWidth="1"/>
    <col min="7685" max="7936" width="9.21875" style="120"/>
    <col min="7937" max="7937" width="18.77734375" style="120" customWidth="1"/>
    <col min="7938" max="7938" width="17.77734375" style="120" customWidth="1"/>
    <col min="7939" max="7939" width="9.21875" style="120"/>
    <col min="7940" max="7940" width="17" style="120" customWidth="1"/>
    <col min="7941" max="8192" width="9.21875" style="120"/>
    <col min="8193" max="8193" width="18.77734375" style="120" customWidth="1"/>
    <col min="8194" max="8194" width="17.77734375" style="120" customWidth="1"/>
    <col min="8195" max="8195" width="9.21875" style="120"/>
    <col min="8196" max="8196" width="17" style="120" customWidth="1"/>
    <col min="8197" max="8448" width="9.21875" style="120"/>
    <col min="8449" max="8449" width="18.77734375" style="120" customWidth="1"/>
    <col min="8450" max="8450" width="17.77734375" style="120" customWidth="1"/>
    <col min="8451" max="8451" width="9.21875" style="120"/>
    <col min="8452" max="8452" width="17" style="120" customWidth="1"/>
    <col min="8453" max="8704" width="9.21875" style="120"/>
    <col min="8705" max="8705" width="18.77734375" style="120" customWidth="1"/>
    <col min="8706" max="8706" width="17.77734375" style="120" customWidth="1"/>
    <col min="8707" max="8707" width="9.21875" style="120"/>
    <col min="8708" max="8708" width="17" style="120" customWidth="1"/>
    <col min="8709" max="8960" width="9.21875" style="120"/>
    <col min="8961" max="8961" width="18.77734375" style="120" customWidth="1"/>
    <col min="8962" max="8962" width="17.77734375" style="120" customWidth="1"/>
    <col min="8963" max="8963" width="9.21875" style="120"/>
    <col min="8964" max="8964" width="17" style="120" customWidth="1"/>
    <col min="8965" max="9216" width="9.21875" style="120"/>
    <col min="9217" max="9217" width="18.77734375" style="120" customWidth="1"/>
    <col min="9218" max="9218" width="17.77734375" style="120" customWidth="1"/>
    <col min="9219" max="9219" width="9.21875" style="120"/>
    <col min="9220" max="9220" width="17" style="120" customWidth="1"/>
    <col min="9221" max="9472" width="9.21875" style="120"/>
    <col min="9473" max="9473" width="18.77734375" style="120" customWidth="1"/>
    <col min="9474" max="9474" width="17.77734375" style="120" customWidth="1"/>
    <col min="9475" max="9475" width="9.21875" style="120"/>
    <col min="9476" max="9476" width="17" style="120" customWidth="1"/>
    <col min="9477" max="9728" width="9.21875" style="120"/>
    <col min="9729" max="9729" width="18.77734375" style="120" customWidth="1"/>
    <col min="9730" max="9730" width="17.77734375" style="120" customWidth="1"/>
    <col min="9731" max="9731" width="9.21875" style="120"/>
    <col min="9732" max="9732" width="17" style="120" customWidth="1"/>
    <col min="9733" max="9984" width="9.21875" style="120"/>
    <col min="9985" max="9985" width="18.77734375" style="120" customWidth="1"/>
    <col min="9986" max="9986" width="17.77734375" style="120" customWidth="1"/>
    <col min="9987" max="9987" width="9.21875" style="120"/>
    <col min="9988" max="9988" width="17" style="120" customWidth="1"/>
    <col min="9989" max="10240" width="9.21875" style="120"/>
    <col min="10241" max="10241" width="18.77734375" style="120" customWidth="1"/>
    <col min="10242" max="10242" width="17.77734375" style="120" customWidth="1"/>
    <col min="10243" max="10243" width="9.21875" style="120"/>
    <col min="10244" max="10244" width="17" style="120" customWidth="1"/>
    <col min="10245" max="10496" width="9.21875" style="120"/>
    <col min="10497" max="10497" width="18.77734375" style="120" customWidth="1"/>
    <col min="10498" max="10498" width="17.77734375" style="120" customWidth="1"/>
    <col min="10499" max="10499" width="9.21875" style="120"/>
    <col min="10500" max="10500" width="17" style="120" customWidth="1"/>
    <col min="10501" max="10752" width="9.21875" style="120"/>
    <col min="10753" max="10753" width="18.77734375" style="120" customWidth="1"/>
    <col min="10754" max="10754" width="17.77734375" style="120" customWidth="1"/>
    <col min="10755" max="10755" width="9.21875" style="120"/>
    <col min="10756" max="10756" width="17" style="120" customWidth="1"/>
    <col min="10757" max="11008" width="9.21875" style="120"/>
    <col min="11009" max="11009" width="18.77734375" style="120" customWidth="1"/>
    <col min="11010" max="11010" width="17.77734375" style="120" customWidth="1"/>
    <col min="11011" max="11011" width="9.21875" style="120"/>
    <col min="11012" max="11012" width="17" style="120" customWidth="1"/>
    <col min="11013" max="11264" width="9.21875" style="120"/>
    <col min="11265" max="11265" width="18.77734375" style="120" customWidth="1"/>
    <col min="11266" max="11266" width="17.77734375" style="120" customWidth="1"/>
    <col min="11267" max="11267" width="9.21875" style="120"/>
    <col min="11268" max="11268" width="17" style="120" customWidth="1"/>
    <col min="11269" max="11520" width="9.21875" style="120"/>
    <col min="11521" max="11521" width="18.77734375" style="120" customWidth="1"/>
    <col min="11522" max="11522" width="17.77734375" style="120" customWidth="1"/>
    <col min="11523" max="11523" width="9.21875" style="120"/>
    <col min="11524" max="11524" width="17" style="120" customWidth="1"/>
    <col min="11525" max="11776" width="9.21875" style="120"/>
    <col min="11777" max="11777" width="18.77734375" style="120" customWidth="1"/>
    <col min="11778" max="11778" width="17.77734375" style="120" customWidth="1"/>
    <col min="11779" max="11779" width="9.21875" style="120"/>
    <col min="11780" max="11780" width="17" style="120" customWidth="1"/>
    <col min="11781" max="12032" width="9.21875" style="120"/>
    <col min="12033" max="12033" width="18.77734375" style="120" customWidth="1"/>
    <col min="12034" max="12034" width="17.77734375" style="120" customWidth="1"/>
    <col min="12035" max="12035" width="9.21875" style="120"/>
    <col min="12036" max="12036" width="17" style="120" customWidth="1"/>
    <col min="12037" max="12288" width="9.21875" style="120"/>
    <col min="12289" max="12289" width="18.77734375" style="120" customWidth="1"/>
    <col min="12290" max="12290" width="17.77734375" style="120" customWidth="1"/>
    <col min="12291" max="12291" width="9.21875" style="120"/>
    <col min="12292" max="12292" width="17" style="120" customWidth="1"/>
    <col min="12293" max="12544" width="9.21875" style="120"/>
    <col min="12545" max="12545" width="18.77734375" style="120" customWidth="1"/>
    <col min="12546" max="12546" width="17.77734375" style="120" customWidth="1"/>
    <col min="12547" max="12547" width="9.21875" style="120"/>
    <col min="12548" max="12548" width="17" style="120" customWidth="1"/>
    <col min="12549" max="12800" width="9.21875" style="120"/>
    <col min="12801" max="12801" width="18.77734375" style="120" customWidth="1"/>
    <col min="12802" max="12802" width="17.77734375" style="120" customWidth="1"/>
    <col min="12803" max="12803" width="9.21875" style="120"/>
    <col min="12804" max="12804" width="17" style="120" customWidth="1"/>
    <col min="12805" max="13056" width="9.21875" style="120"/>
    <col min="13057" max="13057" width="18.77734375" style="120" customWidth="1"/>
    <col min="13058" max="13058" width="17.77734375" style="120" customWidth="1"/>
    <col min="13059" max="13059" width="9.21875" style="120"/>
    <col min="13060" max="13060" width="17" style="120" customWidth="1"/>
    <col min="13061" max="13312" width="9.21875" style="120"/>
    <col min="13313" max="13313" width="18.77734375" style="120" customWidth="1"/>
    <col min="13314" max="13314" width="17.77734375" style="120" customWidth="1"/>
    <col min="13315" max="13315" width="9.21875" style="120"/>
    <col min="13316" max="13316" width="17" style="120" customWidth="1"/>
    <col min="13317" max="13568" width="9.21875" style="120"/>
    <col min="13569" max="13569" width="18.77734375" style="120" customWidth="1"/>
    <col min="13570" max="13570" width="17.77734375" style="120" customWidth="1"/>
    <col min="13571" max="13571" width="9.21875" style="120"/>
    <col min="13572" max="13572" width="17" style="120" customWidth="1"/>
    <col min="13573" max="13824" width="9.21875" style="120"/>
    <col min="13825" max="13825" width="18.77734375" style="120" customWidth="1"/>
    <col min="13826" max="13826" width="17.77734375" style="120" customWidth="1"/>
    <col min="13827" max="13827" width="9.21875" style="120"/>
    <col min="13828" max="13828" width="17" style="120" customWidth="1"/>
    <col min="13829" max="14080" width="9.21875" style="120"/>
    <col min="14081" max="14081" width="18.77734375" style="120" customWidth="1"/>
    <col min="14082" max="14082" width="17.77734375" style="120" customWidth="1"/>
    <col min="14083" max="14083" width="9.21875" style="120"/>
    <col min="14084" max="14084" width="17" style="120" customWidth="1"/>
    <col min="14085" max="14336" width="9.21875" style="120"/>
    <col min="14337" max="14337" width="18.77734375" style="120" customWidth="1"/>
    <col min="14338" max="14338" width="17.77734375" style="120" customWidth="1"/>
    <col min="14339" max="14339" width="9.21875" style="120"/>
    <col min="14340" max="14340" width="17" style="120" customWidth="1"/>
    <col min="14341" max="14592" width="9.21875" style="120"/>
    <col min="14593" max="14593" width="18.77734375" style="120" customWidth="1"/>
    <col min="14594" max="14594" width="17.77734375" style="120" customWidth="1"/>
    <col min="14595" max="14595" width="9.21875" style="120"/>
    <col min="14596" max="14596" width="17" style="120" customWidth="1"/>
    <col min="14597" max="14848" width="9.21875" style="120"/>
    <col min="14849" max="14849" width="18.77734375" style="120" customWidth="1"/>
    <col min="14850" max="14850" width="17.77734375" style="120" customWidth="1"/>
    <col min="14851" max="14851" width="9.21875" style="120"/>
    <col min="14852" max="14852" width="17" style="120" customWidth="1"/>
    <col min="14853" max="15104" width="9.21875" style="120"/>
    <col min="15105" max="15105" width="18.77734375" style="120" customWidth="1"/>
    <col min="15106" max="15106" width="17.77734375" style="120" customWidth="1"/>
    <col min="15107" max="15107" width="9.21875" style="120"/>
    <col min="15108" max="15108" width="17" style="120" customWidth="1"/>
    <col min="15109" max="15360" width="9.21875" style="120"/>
    <col min="15361" max="15361" width="18.77734375" style="120" customWidth="1"/>
    <col min="15362" max="15362" width="17.77734375" style="120" customWidth="1"/>
    <col min="15363" max="15363" width="9.21875" style="120"/>
    <col min="15364" max="15364" width="17" style="120" customWidth="1"/>
    <col min="15365" max="15616" width="9.21875" style="120"/>
    <col min="15617" max="15617" width="18.77734375" style="120" customWidth="1"/>
    <col min="15618" max="15618" width="17.77734375" style="120" customWidth="1"/>
    <col min="15619" max="15619" width="9.21875" style="120"/>
    <col min="15620" max="15620" width="17" style="120" customWidth="1"/>
    <col min="15621" max="15872" width="9.21875" style="120"/>
    <col min="15873" max="15873" width="18.77734375" style="120" customWidth="1"/>
    <col min="15874" max="15874" width="17.77734375" style="120" customWidth="1"/>
    <col min="15875" max="15875" width="9.21875" style="120"/>
    <col min="15876" max="15876" width="17" style="120" customWidth="1"/>
    <col min="15877" max="16128" width="9.21875" style="120"/>
    <col min="16129" max="16129" width="18.77734375" style="120" customWidth="1"/>
    <col min="16130" max="16130" width="17.77734375" style="120" customWidth="1"/>
    <col min="16131" max="16131" width="9.21875" style="120"/>
    <col min="16132" max="16132" width="17" style="120" customWidth="1"/>
    <col min="16133" max="16384" width="9.21875" style="120"/>
  </cols>
  <sheetData>
    <row r="1" spans="1:11">
      <c r="A1" s="153" t="s">
        <v>289</v>
      </c>
      <c r="B1" s="153"/>
      <c r="C1" s="153"/>
      <c r="D1" s="153"/>
      <c r="E1" s="153"/>
      <c r="F1" s="153"/>
      <c r="G1" s="153"/>
      <c r="H1" s="153"/>
      <c r="I1" s="153"/>
      <c r="J1" s="153"/>
      <c r="K1" s="153"/>
    </row>
    <row r="2" spans="1:11">
      <c r="A2" s="190" t="s">
        <v>344</v>
      </c>
      <c r="B2" s="190"/>
      <c r="C2" s="154"/>
      <c r="D2" s="153" t="s">
        <v>290</v>
      </c>
      <c r="E2" s="154"/>
      <c r="F2" s="153"/>
      <c r="G2" s="153"/>
      <c r="H2" s="153"/>
      <c r="I2" s="153"/>
      <c r="J2" s="153"/>
      <c r="K2" s="153"/>
    </row>
    <row r="4" spans="1:11">
      <c r="A4" s="155" t="s">
        <v>85</v>
      </c>
    </row>
    <row r="6" spans="1:11">
      <c r="A6" s="120" t="s">
        <v>352</v>
      </c>
    </row>
    <row r="8" spans="1:11">
      <c r="A8" s="120" t="s">
        <v>353</v>
      </c>
    </row>
    <row r="10" spans="1:11" s="157" customFormat="1"/>
    <row r="12" spans="1:11">
      <c r="A12" s="119" t="s">
        <v>217</v>
      </c>
    </row>
    <row r="14" spans="1:11">
      <c r="A14" s="120" t="s">
        <v>218</v>
      </c>
    </row>
    <row r="15" spans="1:11">
      <c r="A15" s="120" t="s">
        <v>219</v>
      </c>
    </row>
    <row r="17" spans="1:2">
      <c r="A17" s="120" t="s">
        <v>220</v>
      </c>
    </row>
    <row r="19" spans="1:2">
      <c r="A19" s="120" t="s">
        <v>221</v>
      </c>
    </row>
    <row r="20" spans="1:2">
      <c r="A20" s="120" t="s">
        <v>222</v>
      </c>
    </row>
    <row r="22" spans="1:2">
      <c r="A22" s="121" t="s">
        <v>223</v>
      </c>
    </row>
    <row r="23" spans="1:2">
      <c r="A23" s="120" t="s">
        <v>224</v>
      </c>
    </row>
    <row r="25" spans="1:2">
      <c r="A25" s="120" t="s">
        <v>225</v>
      </c>
    </row>
    <row r="27" spans="1:2">
      <c r="B27" s="120" t="s">
        <v>226</v>
      </c>
    </row>
    <row r="29" spans="1:2">
      <c r="B29" s="120" t="s">
        <v>227</v>
      </c>
    </row>
    <row r="31" spans="1:2">
      <c r="B31" s="120" t="s">
        <v>228</v>
      </c>
    </row>
    <row r="33" spans="1:5">
      <c r="B33" s="120" t="s">
        <v>229</v>
      </c>
    </row>
    <row r="34" spans="1:5">
      <c r="B34" s="120" t="s">
        <v>230</v>
      </c>
    </row>
    <row r="35" spans="1:5">
      <c r="B35" s="120" t="s">
        <v>231</v>
      </c>
    </row>
    <row r="37" spans="1:5">
      <c r="A37" s="120" t="s">
        <v>232</v>
      </c>
    </row>
    <row r="39" spans="1:5">
      <c r="E39" s="122" t="s">
        <v>233</v>
      </c>
    </row>
    <row r="41" spans="1:5">
      <c r="A41" s="120" t="s">
        <v>234</v>
      </c>
    </row>
    <row r="43" spans="1:5">
      <c r="A43" s="120" t="s">
        <v>235</v>
      </c>
    </row>
    <row r="45" spans="1:5">
      <c r="A45" s="121" t="s">
        <v>236</v>
      </c>
    </row>
    <row r="47" spans="1:5">
      <c r="A47" s="120" t="s">
        <v>237</v>
      </c>
    </row>
    <row r="49" spans="1:1">
      <c r="A49" s="120" t="s">
        <v>238</v>
      </c>
    </row>
    <row r="52" spans="1:1">
      <c r="A52" s="120" t="s">
        <v>239</v>
      </c>
    </row>
    <row r="56" spans="1:1" ht="18">
      <c r="A56" s="120" t="s">
        <v>240</v>
      </c>
    </row>
    <row r="58" spans="1:1" ht="18">
      <c r="A58" s="120" t="s">
        <v>241</v>
      </c>
    </row>
    <row r="60" spans="1:1" ht="18">
      <c r="A60" s="120" t="s">
        <v>242</v>
      </c>
    </row>
    <row r="64" spans="1:1">
      <c r="A64" s="120" t="s">
        <v>243</v>
      </c>
    </row>
    <row r="66" spans="1:8">
      <c r="H66" s="122" t="s">
        <v>244</v>
      </c>
    </row>
    <row r="68" spans="1:8" ht="18">
      <c r="A68" s="120" t="s">
        <v>245</v>
      </c>
    </row>
    <row r="70" spans="1:8" ht="18">
      <c r="A70" s="120" t="s">
        <v>246</v>
      </c>
    </row>
    <row r="74" spans="1:8" ht="18">
      <c r="A74" s="120" t="s">
        <v>247</v>
      </c>
    </row>
    <row r="78" spans="1:8">
      <c r="A78" s="120" t="s">
        <v>248</v>
      </c>
    </row>
    <row r="82" spans="1:9" ht="18">
      <c r="A82" s="120" t="s">
        <v>249</v>
      </c>
    </row>
    <row r="85" spans="1:9">
      <c r="I85" s="120" t="s">
        <v>250</v>
      </c>
    </row>
    <row r="87" spans="1:9" ht="18">
      <c r="A87" s="120" t="s">
        <v>251</v>
      </c>
    </row>
    <row r="89" spans="1:9">
      <c r="I89" s="120" t="s">
        <v>252</v>
      </c>
    </row>
    <row r="91" spans="1:9" ht="18">
      <c r="A91" s="120" t="s">
        <v>253</v>
      </c>
    </row>
    <row r="95" spans="1:9">
      <c r="A95" s="120" t="s">
        <v>254</v>
      </c>
    </row>
    <row r="97" spans="1:9">
      <c r="I97" s="120" t="s">
        <v>255</v>
      </c>
    </row>
    <row r="99" spans="1:9">
      <c r="A99" s="120" t="s">
        <v>256</v>
      </c>
    </row>
    <row r="103" spans="1:9">
      <c r="A103" s="120" t="s">
        <v>257</v>
      </c>
    </row>
    <row r="105" spans="1:9" ht="16.2">
      <c r="F105" s="121" t="s">
        <v>258</v>
      </c>
    </row>
    <row r="107" spans="1:9" ht="18">
      <c r="A107" s="123" t="s">
        <v>259</v>
      </c>
    </row>
    <row r="109" spans="1:9">
      <c r="A109" s="120" t="s">
        <v>260</v>
      </c>
    </row>
    <row r="111" spans="1:9">
      <c r="A111" s="120" t="s">
        <v>261</v>
      </c>
    </row>
    <row r="113" spans="1:6">
      <c r="A113" s="120" t="s">
        <v>262</v>
      </c>
    </row>
    <row r="115" spans="1:6">
      <c r="A115" s="120" t="s">
        <v>263</v>
      </c>
    </row>
    <row r="117" spans="1:6" ht="18">
      <c r="A117" s="120" t="s">
        <v>264</v>
      </c>
    </row>
    <row r="119" spans="1:6">
      <c r="A119" s="120" t="s">
        <v>265</v>
      </c>
    </row>
    <row r="121" spans="1:6">
      <c r="A121" s="120" t="s">
        <v>266</v>
      </c>
    </row>
    <row r="123" spans="1:6">
      <c r="A123" s="120" t="s">
        <v>267</v>
      </c>
    </row>
    <row r="124" spans="1:6" ht="16.2" thickBot="1"/>
    <row r="125" spans="1:6">
      <c r="A125" s="124" t="s">
        <v>9</v>
      </c>
      <c r="B125" s="125"/>
      <c r="C125" s="125"/>
      <c r="D125" s="126"/>
      <c r="E125" s="127"/>
      <c r="F125" s="120" t="s">
        <v>268</v>
      </c>
    </row>
    <row r="126" spans="1:6">
      <c r="A126" s="128" t="s">
        <v>2</v>
      </c>
      <c r="B126" s="129">
        <v>0.02</v>
      </c>
      <c r="C126" s="130" t="s">
        <v>269</v>
      </c>
      <c r="D126" s="131"/>
      <c r="E126" s="127"/>
    </row>
    <row r="127" spans="1:6">
      <c r="A127" s="128" t="s">
        <v>3</v>
      </c>
      <c r="B127" s="129">
        <v>0.01</v>
      </c>
      <c r="C127" s="4" t="s">
        <v>8</v>
      </c>
      <c r="D127" s="131"/>
      <c r="E127" s="127"/>
    </row>
    <row r="128" spans="1:6">
      <c r="A128" s="175" t="s">
        <v>270</v>
      </c>
      <c r="B128" s="176"/>
      <c r="C128" s="176"/>
      <c r="D128" s="177"/>
      <c r="E128" s="127"/>
    </row>
    <row r="129" spans="1:5">
      <c r="A129" s="132" t="s">
        <v>7</v>
      </c>
      <c r="B129" s="129">
        <v>0.5</v>
      </c>
      <c r="C129" s="3" t="s">
        <v>6</v>
      </c>
      <c r="D129" s="131"/>
      <c r="E129" s="127"/>
    </row>
    <row r="130" spans="1:5">
      <c r="A130" s="128" t="s">
        <v>5</v>
      </c>
      <c r="B130" s="129">
        <v>0.3</v>
      </c>
      <c r="C130" s="3" t="s">
        <v>271</v>
      </c>
      <c r="D130" s="131"/>
      <c r="E130" s="127"/>
    </row>
    <row r="131" spans="1:5" ht="16.2" thickBot="1">
      <c r="A131" s="133" t="s">
        <v>4</v>
      </c>
      <c r="B131" s="134">
        <v>0.1</v>
      </c>
      <c r="C131" s="2" t="s">
        <v>272</v>
      </c>
      <c r="D131" s="135"/>
      <c r="E131" s="127"/>
    </row>
    <row r="132" spans="1:5">
      <c r="A132" s="136"/>
      <c r="B132" s="137"/>
      <c r="C132" s="136"/>
      <c r="D132" s="138"/>
      <c r="E132" s="136"/>
    </row>
    <row r="133" spans="1:5">
      <c r="A133" s="139" t="s">
        <v>273</v>
      </c>
      <c r="B133" s="140"/>
      <c r="C133" s="136"/>
      <c r="D133" s="141"/>
      <c r="E133" s="136"/>
    </row>
    <row r="134" spans="1:5">
      <c r="A134" s="142" t="s">
        <v>274</v>
      </c>
      <c r="B134" s="143"/>
      <c r="C134" s="144"/>
      <c r="D134" s="145"/>
      <c r="E134" s="136"/>
    </row>
    <row r="135" spans="1:5" ht="18">
      <c r="A135" s="144"/>
      <c r="B135" s="146" t="s">
        <v>275</v>
      </c>
      <c r="C135" s="147"/>
      <c r="D135" s="145"/>
    </row>
    <row r="136" spans="1:5">
      <c r="A136" s="148" t="s">
        <v>276</v>
      </c>
      <c r="B136" s="149">
        <f>(B130/(B131+B127+B126+B127*B126))^(1/(1-B129))</f>
        <v>5.3090955424833819</v>
      </c>
      <c r="C136" s="150" t="s">
        <v>277</v>
      </c>
    </row>
    <row r="137" spans="1:5">
      <c r="A137" s="144" t="s">
        <v>278</v>
      </c>
      <c r="B137" s="149">
        <f>(B130/(B131+B127+B126))^(1/(1-B129))</f>
        <v>5.3254437869822473</v>
      </c>
      <c r="C137" s="150" t="s">
        <v>279</v>
      </c>
      <c r="E137" s="149"/>
    </row>
    <row r="138" spans="1:5">
      <c r="A138" s="144"/>
      <c r="B138" s="149"/>
      <c r="C138" s="145"/>
      <c r="E138" s="149"/>
    </row>
    <row r="139" spans="1:5">
      <c r="A139" s="148" t="s">
        <v>280</v>
      </c>
      <c r="B139" s="149">
        <f>B136-B137</f>
        <v>-1.6348244498865405E-2</v>
      </c>
    </row>
    <row r="140" spans="1:5">
      <c r="A140" s="148" t="s">
        <v>281</v>
      </c>
      <c r="B140" s="151">
        <f>B139/B137</f>
        <v>-3.0698370225647267E-3</v>
      </c>
      <c r="C140" s="152" t="s">
        <v>282</v>
      </c>
    </row>
    <row r="141" spans="1:5">
      <c r="A141" s="148"/>
      <c r="B141" s="149"/>
      <c r="C141" s="152" t="s">
        <v>283</v>
      </c>
    </row>
    <row r="142" spans="1:5">
      <c r="A142" s="148"/>
      <c r="B142" s="149"/>
      <c r="C142" s="152"/>
    </row>
    <row r="144" spans="1:5">
      <c r="A144" s="120" t="s">
        <v>284</v>
      </c>
    </row>
    <row r="148" spans="1:1" ht="18">
      <c r="A148" s="120" t="s">
        <v>285</v>
      </c>
    </row>
    <row r="150" spans="1:1">
      <c r="A150" s="123" t="s">
        <v>286</v>
      </c>
    </row>
    <row r="152" spans="1:1">
      <c r="A152" s="122" t="s">
        <v>287</v>
      </c>
    </row>
    <row r="153" spans="1:1">
      <c r="A153" s="122" t="s">
        <v>288</v>
      </c>
    </row>
    <row r="154" spans="1:1" s="157" customFormat="1"/>
    <row r="155" spans="1:1">
      <c r="A155" s="155" t="s">
        <v>85</v>
      </c>
    </row>
  </sheetData>
  <mergeCells count="1">
    <mergeCell ref="A2:B2"/>
  </mergeCells>
  <hyperlinks>
    <hyperlink ref="A2" r:id="rId1" xr:uid="{00000000-0004-0000-0400-000000000000}"/>
  </hyperlinks>
  <pageMargins left="0.7" right="0.7" top="0.75" bottom="0.75" header="0.3" footer="0.3"/>
  <pageSetup orientation="portrait" verticalDpi="1200" r:id="rId2"/>
  <drawing r:id="rId3"/>
  <legacyDrawing r:id="rId4"/>
  <oleObjects>
    <mc:AlternateContent xmlns:mc="http://schemas.openxmlformats.org/markup-compatibility/2006">
      <mc:Choice Requires="x14">
        <oleObject progId="Equation.3" shapeId="26625" r:id="rId5">
          <objectPr defaultSize="0" autoPict="0" r:id="rId6">
            <anchor moveWithCells="1">
              <from>
                <xdr:col>1</xdr:col>
                <xdr:colOff>15240</xdr:colOff>
                <xdr:row>38</xdr:row>
                <xdr:rowOff>0</xdr:rowOff>
              </from>
              <to>
                <xdr:col>2</xdr:col>
                <xdr:colOff>541020</xdr:colOff>
                <xdr:row>38</xdr:row>
                <xdr:rowOff>190500</xdr:rowOff>
              </to>
            </anchor>
          </objectPr>
        </oleObject>
      </mc:Choice>
      <mc:Fallback>
        <oleObject progId="Equation.3" shapeId="26625" r:id="rId5"/>
      </mc:Fallback>
    </mc:AlternateContent>
    <mc:AlternateContent xmlns:mc="http://schemas.openxmlformats.org/markup-compatibility/2006">
      <mc:Choice Requires="x14">
        <oleObject progId="Equation.3" shapeId="26626" r:id="rId7">
          <objectPr defaultSize="0" autoPict="0" r:id="rId8">
            <anchor moveWithCells="1">
              <from>
                <xdr:col>1</xdr:col>
                <xdr:colOff>0</xdr:colOff>
                <xdr:row>49</xdr:row>
                <xdr:rowOff>99060</xdr:rowOff>
              </from>
              <to>
                <xdr:col>2</xdr:col>
                <xdr:colOff>160020</xdr:colOff>
                <xdr:row>50</xdr:row>
                <xdr:rowOff>137160</xdr:rowOff>
              </to>
            </anchor>
          </objectPr>
        </oleObject>
      </mc:Choice>
      <mc:Fallback>
        <oleObject progId="Equation.3" shapeId="26626" r:id="rId7"/>
      </mc:Fallback>
    </mc:AlternateContent>
    <mc:AlternateContent xmlns:mc="http://schemas.openxmlformats.org/markup-compatibility/2006">
      <mc:Choice Requires="x14">
        <oleObject progId="Equation.3" shapeId="26627" r:id="rId9">
          <objectPr defaultSize="0" autoPict="0" r:id="rId10">
            <anchor moveWithCells="1">
              <from>
                <xdr:col>0</xdr:col>
                <xdr:colOff>609600</xdr:colOff>
                <xdr:row>52</xdr:row>
                <xdr:rowOff>60960</xdr:rowOff>
              </from>
              <to>
                <xdr:col>2</xdr:col>
                <xdr:colOff>541020</xdr:colOff>
                <xdr:row>54</xdr:row>
                <xdr:rowOff>152400</xdr:rowOff>
              </to>
            </anchor>
          </objectPr>
        </oleObject>
      </mc:Choice>
      <mc:Fallback>
        <oleObject progId="Equation.3" shapeId="26627" r:id="rId9"/>
      </mc:Fallback>
    </mc:AlternateContent>
    <mc:AlternateContent xmlns:mc="http://schemas.openxmlformats.org/markup-compatibility/2006">
      <mc:Choice Requires="x14">
        <oleObject progId="Equation.3" shapeId="26628" r:id="rId11">
          <objectPr defaultSize="0" autoPict="0" r:id="rId12">
            <anchor moveWithCells="1">
              <from>
                <xdr:col>0</xdr:col>
                <xdr:colOff>579120</xdr:colOff>
                <xdr:row>60</xdr:row>
                <xdr:rowOff>76200</xdr:rowOff>
              </from>
              <to>
                <xdr:col>4</xdr:col>
                <xdr:colOff>0</xdr:colOff>
                <xdr:row>62</xdr:row>
                <xdr:rowOff>137160</xdr:rowOff>
              </to>
            </anchor>
          </objectPr>
        </oleObject>
      </mc:Choice>
      <mc:Fallback>
        <oleObject progId="Equation.3" shapeId="26628" r:id="rId11"/>
      </mc:Fallback>
    </mc:AlternateContent>
    <mc:AlternateContent xmlns:mc="http://schemas.openxmlformats.org/markup-compatibility/2006">
      <mc:Choice Requires="x14">
        <oleObject progId="Equation.3" shapeId="26629" r:id="rId13">
          <objectPr defaultSize="0" autoPict="0" r:id="rId14">
            <anchor moveWithCells="1">
              <from>
                <xdr:col>0</xdr:col>
                <xdr:colOff>609600</xdr:colOff>
                <xdr:row>64</xdr:row>
                <xdr:rowOff>60960</xdr:rowOff>
              </from>
              <to>
                <xdr:col>3</xdr:col>
                <xdr:colOff>716280</xdr:colOff>
                <xdr:row>66</xdr:row>
                <xdr:rowOff>121920</xdr:rowOff>
              </to>
            </anchor>
          </objectPr>
        </oleObject>
      </mc:Choice>
      <mc:Fallback>
        <oleObject progId="Equation.3" shapeId="26629" r:id="rId13"/>
      </mc:Fallback>
    </mc:AlternateContent>
    <mc:AlternateContent xmlns:mc="http://schemas.openxmlformats.org/markup-compatibility/2006">
      <mc:Choice Requires="x14">
        <oleObject progId="Equation.3" shapeId="26630" r:id="rId15">
          <objectPr defaultSize="0" autoPict="0" r:id="rId16">
            <anchor moveWithCells="1">
              <from>
                <xdr:col>0</xdr:col>
                <xdr:colOff>624840</xdr:colOff>
                <xdr:row>70</xdr:row>
                <xdr:rowOff>76200</xdr:rowOff>
              </from>
              <to>
                <xdr:col>3</xdr:col>
                <xdr:colOff>624840</xdr:colOff>
                <xdr:row>72</xdr:row>
                <xdr:rowOff>137160</xdr:rowOff>
              </to>
            </anchor>
          </objectPr>
        </oleObject>
      </mc:Choice>
      <mc:Fallback>
        <oleObject progId="Equation.3" shapeId="26630" r:id="rId15"/>
      </mc:Fallback>
    </mc:AlternateContent>
    <mc:AlternateContent xmlns:mc="http://schemas.openxmlformats.org/markup-compatibility/2006">
      <mc:Choice Requires="x14">
        <oleObject progId="Equation.3" shapeId="26631" r:id="rId17">
          <objectPr defaultSize="0" autoPict="0" r:id="rId18">
            <anchor moveWithCells="1">
              <from>
                <xdr:col>0</xdr:col>
                <xdr:colOff>594360</xdr:colOff>
                <xdr:row>74</xdr:row>
                <xdr:rowOff>60960</xdr:rowOff>
              </from>
              <to>
                <xdr:col>3</xdr:col>
                <xdr:colOff>1127760</xdr:colOff>
                <xdr:row>76</xdr:row>
                <xdr:rowOff>137160</xdr:rowOff>
              </to>
            </anchor>
          </objectPr>
        </oleObject>
      </mc:Choice>
      <mc:Fallback>
        <oleObject progId="Equation.3" shapeId="26631" r:id="rId17"/>
      </mc:Fallback>
    </mc:AlternateContent>
    <mc:AlternateContent xmlns:mc="http://schemas.openxmlformats.org/markup-compatibility/2006">
      <mc:Choice Requires="x14">
        <oleObject progId="Equation.3" shapeId="26632" r:id="rId19">
          <objectPr defaultSize="0" autoPict="0" r:id="rId20">
            <anchor moveWithCells="1">
              <from>
                <xdr:col>0</xdr:col>
                <xdr:colOff>632460</xdr:colOff>
                <xdr:row>78</xdr:row>
                <xdr:rowOff>99060</xdr:rowOff>
              </from>
              <to>
                <xdr:col>3</xdr:col>
                <xdr:colOff>83820</xdr:colOff>
                <xdr:row>81</xdr:row>
                <xdr:rowOff>0</xdr:rowOff>
              </to>
            </anchor>
          </objectPr>
        </oleObject>
      </mc:Choice>
      <mc:Fallback>
        <oleObject progId="Equation.3" shapeId="26632" r:id="rId19"/>
      </mc:Fallback>
    </mc:AlternateContent>
    <mc:AlternateContent xmlns:mc="http://schemas.openxmlformats.org/markup-compatibility/2006">
      <mc:Choice Requires="x14">
        <oleObject progId="Equation.3" shapeId="26633" r:id="rId21">
          <objectPr defaultSize="0" autoPict="0" r:id="rId22">
            <anchor moveWithCells="1">
              <from>
                <xdr:col>1</xdr:col>
                <xdr:colOff>0</xdr:colOff>
                <xdr:row>82</xdr:row>
                <xdr:rowOff>152400</xdr:rowOff>
              </from>
              <to>
                <xdr:col>5</xdr:col>
                <xdr:colOff>281940</xdr:colOff>
                <xdr:row>85</xdr:row>
                <xdr:rowOff>45720</xdr:rowOff>
              </to>
            </anchor>
          </objectPr>
        </oleObject>
      </mc:Choice>
      <mc:Fallback>
        <oleObject progId="Equation.3" shapeId="26633" r:id="rId21"/>
      </mc:Fallback>
    </mc:AlternateContent>
    <mc:AlternateContent xmlns:mc="http://schemas.openxmlformats.org/markup-compatibility/2006">
      <mc:Choice Requires="x14">
        <oleObject progId="Equation.3" shapeId="26634" r:id="rId23">
          <objectPr defaultSize="0" autoPict="0" r:id="rId24">
            <anchor moveWithCells="1">
              <from>
                <xdr:col>1</xdr:col>
                <xdr:colOff>15240</xdr:colOff>
                <xdr:row>87</xdr:row>
                <xdr:rowOff>76200</xdr:rowOff>
              </from>
              <to>
                <xdr:col>5</xdr:col>
                <xdr:colOff>220980</xdr:colOff>
                <xdr:row>89</xdr:row>
                <xdr:rowOff>137160</xdr:rowOff>
              </to>
            </anchor>
          </objectPr>
        </oleObject>
      </mc:Choice>
      <mc:Fallback>
        <oleObject progId="Equation.3" shapeId="26634" r:id="rId23"/>
      </mc:Fallback>
    </mc:AlternateContent>
    <mc:AlternateContent xmlns:mc="http://schemas.openxmlformats.org/markup-compatibility/2006">
      <mc:Choice Requires="x14">
        <oleObject progId="Equation.3" shapeId="26635" r:id="rId25">
          <objectPr defaultSize="0" autoPict="0" r:id="rId26">
            <anchor moveWithCells="1">
              <from>
                <xdr:col>1</xdr:col>
                <xdr:colOff>60960</xdr:colOff>
                <xdr:row>91</xdr:row>
                <xdr:rowOff>38100</xdr:rowOff>
              </from>
              <to>
                <xdr:col>4</xdr:col>
                <xdr:colOff>556260</xdr:colOff>
                <xdr:row>93</xdr:row>
                <xdr:rowOff>99060</xdr:rowOff>
              </to>
            </anchor>
          </objectPr>
        </oleObject>
      </mc:Choice>
      <mc:Fallback>
        <oleObject progId="Equation.3" shapeId="26635" r:id="rId25"/>
      </mc:Fallback>
    </mc:AlternateContent>
    <mc:AlternateContent xmlns:mc="http://schemas.openxmlformats.org/markup-compatibility/2006">
      <mc:Choice Requires="x14">
        <oleObject progId="Equation.3" shapeId="26636" r:id="rId27">
          <objectPr defaultSize="0" autoPict="0" r:id="rId28">
            <anchor moveWithCells="1">
              <from>
                <xdr:col>1</xdr:col>
                <xdr:colOff>30480</xdr:colOff>
                <xdr:row>95</xdr:row>
                <xdr:rowOff>45720</xdr:rowOff>
              </from>
              <to>
                <xdr:col>3</xdr:col>
                <xdr:colOff>1165860</xdr:colOff>
                <xdr:row>97</xdr:row>
                <xdr:rowOff>160020</xdr:rowOff>
              </to>
            </anchor>
          </objectPr>
        </oleObject>
      </mc:Choice>
      <mc:Fallback>
        <oleObject progId="Equation.3" shapeId="26636" r:id="rId27"/>
      </mc:Fallback>
    </mc:AlternateContent>
    <mc:AlternateContent xmlns:mc="http://schemas.openxmlformats.org/markup-compatibility/2006">
      <mc:Choice Requires="x14">
        <oleObject progId="Equation.3" shapeId="26637" r:id="rId29">
          <objectPr defaultSize="0" autoPict="0" r:id="rId30">
            <anchor moveWithCells="1">
              <from>
                <xdr:col>1</xdr:col>
                <xdr:colOff>30480</xdr:colOff>
                <xdr:row>99</xdr:row>
                <xdr:rowOff>38100</xdr:rowOff>
              </from>
              <to>
                <xdr:col>3</xdr:col>
                <xdr:colOff>876300</xdr:colOff>
                <xdr:row>101</xdr:row>
                <xdr:rowOff>137160</xdr:rowOff>
              </to>
            </anchor>
          </objectPr>
        </oleObject>
      </mc:Choice>
      <mc:Fallback>
        <oleObject progId="Equation.3" shapeId="26637" r:id="rId29"/>
      </mc:Fallback>
    </mc:AlternateContent>
    <mc:AlternateContent xmlns:mc="http://schemas.openxmlformats.org/markup-compatibility/2006">
      <mc:Choice Requires="x14">
        <oleObject progId="Equation.3" shapeId="26638" r:id="rId31">
          <objectPr defaultSize="0" autoPict="0" r:id="rId32">
            <anchor moveWithCells="1">
              <from>
                <xdr:col>1</xdr:col>
                <xdr:colOff>68580</xdr:colOff>
                <xdr:row>103</xdr:row>
                <xdr:rowOff>83820</xdr:rowOff>
              </from>
              <to>
                <xdr:col>3</xdr:col>
                <xdr:colOff>152400</xdr:colOff>
                <xdr:row>105</xdr:row>
                <xdr:rowOff>137160</xdr:rowOff>
              </to>
            </anchor>
          </objectPr>
        </oleObject>
      </mc:Choice>
      <mc:Fallback>
        <oleObject progId="Equation.3" shapeId="26638" r:id="rId31"/>
      </mc:Fallback>
    </mc:AlternateContent>
    <mc:AlternateContent xmlns:mc="http://schemas.openxmlformats.org/markup-compatibility/2006">
      <mc:Choice Requires="x14">
        <oleObject progId="Equation.3" shapeId="26639" r:id="rId33">
          <objectPr defaultSize="0" autoPict="0" r:id="rId34">
            <anchor moveWithCells="1">
              <from>
                <xdr:col>0</xdr:col>
                <xdr:colOff>640080</xdr:colOff>
                <xdr:row>144</xdr:row>
                <xdr:rowOff>175260</xdr:rowOff>
              </from>
              <to>
                <xdr:col>3</xdr:col>
                <xdr:colOff>365760</xdr:colOff>
                <xdr:row>146</xdr:row>
                <xdr:rowOff>83820</xdr:rowOff>
              </to>
            </anchor>
          </objectPr>
        </oleObject>
      </mc:Choice>
      <mc:Fallback>
        <oleObject progId="Equation.3" shapeId="26639" r:id="rId33"/>
      </mc:Fallback>
    </mc:AlternateContent>
    <mc:AlternateContent xmlns:mc="http://schemas.openxmlformats.org/markup-compatibility/2006">
      <mc:Choice Requires="x14">
        <oleObject progId="Equation.3" shapeId="26640" r:id="rId35">
          <objectPr defaultSize="0" autoPict="0" r:id="rId36">
            <anchor moveWithCells="1">
              <from>
                <xdr:col>9</xdr:col>
                <xdr:colOff>586740</xdr:colOff>
                <xdr:row>123</xdr:row>
                <xdr:rowOff>60960</xdr:rowOff>
              </from>
              <to>
                <xdr:col>14</xdr:col>
                <xdr:colOff>213360</xdr:colOff>
                <xdr:row>138</xdr:row>
                <xdr:rowOff>22860</xdr:rowOff>
              </to>
            </anchor>
          </objectPr>
        </oleObject>
      </mc:Choice>
      <mc:Fallback>
        <oleObject progId="Equation.3" shapeId="26640" r:id="rId35"/>
      </mc:Fallback>
    </mc:AlternateContent>
  </oleObjects>
  <mc:AlternateContent xmlns:mc="http://schemas.openxmlformats.org/markup-compatibility/2006">
    <mc:Choice Requires="x14">
      <controls>
        <mc:AlternateContent xmlns:mc="http://schemas.openxmlformats.org/markup-compatibility/2006">
          <mc:Choice Requires="x14">
            <control shapeId="26641" r:id="rId37" name="Button 17">
              <controlPr defaultSize="0" print="0" autoFill="0" autoPict="0" macro="[0]!showReturnCycle">
                <anchor moveWithCells="1" sizeWithCells="1">
                  <from>
                    <xdr:col>0</xdr:col>
                    <xdr:colOff>563880</xdr:colOff>
                    <xdr:row>3</xdr:row>
                    <xdr:rowOff>45720</xdr:rowOff>
                  </from>
                  <to>
                    <xdr:col>0</xdr:col>
                    <xdr:colOff>1082040</xdr:colOff>
                    <xdr:row>4</xdr:row>
                    <xdr:rowOff>137160</xdr:rowOff>
                  </to>
                </anchor>
              </controlPr>
            </control>
          </mc:Choice>
        </mc:AlternateContent>
        <mc:AlternateContent xmlns:mc="http://schemas.openxmlformats.org/markup-compatibility/2006">
          <mc:Choice Requires="x14">
            <control shapeId="26642" r:id="rId38" name="Button 18">
              <controlPr defaultSize="0" print="0" autoFill="0" autoPict="0" macro="[0]!showReturnCycle">
                <anchor moveWithCells="1" sizeWithCells="1">
                  <from>
                    <xdr:col>0</xdr:col>
                    <xdr:colOff>586740</xdr:colOff>
                    <xdr:row>154</xdr:row>
                    <xdr:rowOff>45720</xdr:rowOff>
                  </from>
                  <to>
                    <xdr:col>0</xdr:col>
                    <xdr:colOff>1097280</xdr:colOff>
                    <xdr:row>156</xdr:row>
                    <xdr:rowOff>22860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U102"/>
  <sheetViews>
    <sheetView showGridLines="0" topLeftCell="A76" workbookViewId="0">
      <selection activeCell="A3" sqref="A3"/>
    </sheetView>
  </sheetViews>
  <sheetFormatPr defaultColWidth="8.109375" defaultRowHeight="14.4"/>
  <cols>
    <col min="1" max="1" width="15.21875" style="116" customWidth="1"/>
    <col min="2" max="13" width="8.109375" style="116" customWidth="1"/>
    <col min="14" max="14" width="13.33203125" style="116" customWidth="1"/>
    <col min="15" max="20" width="8.109375" style="116" customWidth="1"/>
    <col min="21" max="16384" width="8.109375" style="116"/>
  </cols>
  <sheetData>
    <row r="1" spans="1:21">
      <c r="A1" s="104" t="s">
        <v>158</v>
      </c>
    </row>
    <row r="2" spans="1:21" ht="15" thickBot="1">
      <c r="A2" s="105" t="s">
        <v>212</v>
      </c>
    </row>
    <row r="3" spans="1:21">
      <c r="A3" s="117"/>
    </row>
    <row r="4" spans="1:21">
      <c r="A4"/>
      <c r="B4"/>
      <c r="C4"/>
      <c r="D4"/>
      <c r="N4" s="118"/>
    </row>
    <row r="5" spans="1:21">
      <c r="A5"/>
      <c r="B5"/>
      <c r="C5"/>
      <c r="D5"/>
    </row>
    <row r="6" spans="1:21">
      <c r="A6"/>
      <c r="B6"/>
      <c r="C6"/>
      <c r="D6"/>
    </row>
    <row r="7" spans="1:21">
      <c r="A7"/>
      <c r="B7" s="116" t="s">
        <v>162</v>
      </c>
      <c r="C7"/>
      <c r="D7"/>
    </row>
    <row r="8" spans="1:21">
      <c r="A8"/>
      <c r="C8"/>
      <c r="D8"/>
      <c r="N8" s="118"/>
      <c r="O8" s="118" t="s">
        <v>164</v>
      </c>
      <c r="P8" s="118"/>
      <c r="Q8" s="118"/>
      <c r="R8" s="118"/>
    </row>
    <row r="9" spans="1:21">
      <c r="B9" s="116" t="s">
        <v>213</v>
      </c>
      <c r="J9" s="42"/>
      <c r="N9"/>
      <c r="O9"/>
      <c r="P9"/>
      <c r="Q9"/>
      <c r="R9"/>
      <c r="S9"/>
      <c r="T9"/>
      <c r="U9"/>
    </row>
    <row r="10" spans="1:21">
      <c r="A10" s="117"/>
      <c r="B10" s="116" t="s">
        <v>204</v>
      </c>
      <c r="N10"/>
      <c r="O10"/>
      <c r="P10"/>
      <c r="Q10"/>
      <c r="R10"/>
      <c r="S10"/>
      <c r="T10"/>
      <c r="U10"/>
    </row>
    <row r="11" spans="1:21">
      <c r="A11" s="117"/>
      <c r="B11" s="116" t="s">
        <v>210</v>
      </c>
      <c r="N11"/>
      <c r="O11"/>
      <c r="P11"/>
      <c r="Q11"/>
      <c r="R11"/>
      <c r="S11"/>
      <c r="T11"/>
      <c r="U11"/>
    </row>
    <row r="12" spans="1:21">
      <c r="A12" s="112" t="s">
        <v>179</v>
      </c>
      <c r="B12" s="116" t="s">
        <v>214</v>
      </c>
      <c r="N12"/>
      <c r="O12"/>
      <c r="P12"/>
      <c r="Q12"/>
      <c r="R12"/>
      <c r="S12"/>
      <c r="T12"/>
      <c r="U12"/>
    </row>
    <row r="13" spans="1:21" ht="15" thickBot="1">
      <c r="N13"/>
      <c r="O13"/>
      <c r="P13"/>
      <c r="Q13"/>
      <c r="R13"/>
      <c r="S13"/>
      <c r="T13"/>
      <c r="U13"/>
    </row>
    <row r="14" spans="1:21" ht="15" thickBot="1">
      <c r="A14" s="111" t="s">
        <v>211</v>
      </c>
      <c r="B14" s="116" t="s">
        <v>205</v>
      </c>
      <c r="N14"/>
      <c r="O14"/>
      <c r="P14"/>
      <c r="Q14"/>
      <c r="R14"/>
      <c r="S14"/>
      <c r="T14"/>
      <c r="U14"/>
    </row>
    <row r="15" spans="1:21">
      <c r="B15" s="43" t="s">
        <v>209</v>
      </c>
      <c r="C15" s="110"/>
      <c r="D15" s="110"/>
      <c r="E15" s="110"/>
      <c r="F15" s="110"/>
      <c r="G15" s="110"/>
      <c r="H15" s="110"/>
      <c r="I15" s="110"/>
      <c r="J15" s="110"/>
      <c r="K15" s="110"/>
      <c r="N15"/>
      <c r="O15"/>
      <c r="P15"/>
      <c r="Q15"/>
      <c r="R15"/>
      <c r="S15"/>
      <c r="T15"/>
      <c r="U15"/>
    </row>
    <row r="16" spans="1:21">
      <c r="B16" s="116" t="s">
        <v>206</v>
      </c>
      <c r="N16"/>
      <c r="O16"/>
      <c r="P16"/>
      <c r="Q16"/>
      <c r="R16"/>
      <c r="S16"/>
      <c r="T16"/>
      <c r="U16"/>
    </row>
    <row r="17" spans="1:21">
      <c r="B17" s="116" t="s">
        <v>163</v>
      </c>
      <c r="N17"/>
      <c r="O17"/>
      <c r="P17"/>
      <c r="Q17"/>
      <c r="R17"/>
      <c r="S17"/>
      <c r="T17"/>
      <c r="U17"/>
    </row>
    <row r="18" spans="1:21">
      <c r="B18" s="116" t="s">
        <v>207</v>
      </c>
      <c r="N18"/>
      <c r="O18"/>
      <c r="P18"/>
      <c r="Q18"/>
      <c r="R18"/>
      <c r="S18"/>
      <c r="T18"/>
      <c r="U18"/>
    </row>
    <row r="19" spans="1:21">
      <c r="B19" s="116" t="s">
        <v>208</v>
      </c>
      <c r="N19"/>
      <c r="O19"/>
      <c r="P19"/>
      <c r="Q19"/>
      <c r="R19"/>
      <c r="S19"/>
      <c r="T19"/>
      <c r="U19"/>
    </row>
    <row r="20" spans="1:21">
      <c r="N20"/>
      <c r="O20"/>
      <c r="P20"/>
      <c r="Q20"/>
      <c r="R20"/>
      <c r="S20"/>
      <c r="T20"/>
      <c r="U20"/>
    </row>
    <row r="21" spans="1:21">
      <c r="B21" s="116" t="s">
        <v>215</v>
      </c>
      <c r="N21" s="118"/>
      <c r="O21" s="118"/>
      <c r="P21" s="118"/>
      <c r="Q21" s="118"/>
      <c r="R21" s="118"/>
    </row>
    <row r="22" spans="1:21">
      <c r="B22" s="116" t="s">
        <v>216</v>
      </c>
      <c r="N22" s="118"/>
      <c r="O22" s="118"/>
      <c r="P22" s="118"/>
      <c r="Q22" s="118"/>
      <c r="R22" s="118"/>
    </row>
    <row r="23" spans="1:21">
      <c r="B23" s="156" t="s">
        <v>85</v>
      </c>
      <c r="N23" s="118"/>
      <c r="O23" s="118"/>
      <c r="P23" s="118"/>
      <c r="Q23" s="118"/>
      <c r="R23" s="118"/>
    </row>
    <row r="24" spans="1:21">
      <c r="B24" s="156"/>
      <c r="D24" s="116" t="s">
        <v>291</v>
      </c>
      <c r="N24" s="118"/>
      <c r="O24" s="118"/>
      <c r="P24" s="118"/>
      <c r="Q24" s="118"/>
      <c r="R24" s="118"/>
    </row>
    <row r="25" spans="1:21">
      <c r="B25" s="156"/>
      <c r="N25" s="118"/>
      <c r="O25" s="118"/>
      <c r="P25" s="118"/>
      <c r="Q25" s="118"/>
      <c r="R25" s="118"/>
    </row>
    <row r="26" spans="1:21">
      <c r="B26" s="116" t="s">
        <v>338</v>
      </c>
    </row>
    <row r="27" spans="1:21">
      <c r="B27" s="116" t="s">
        <v>339</v>
      </c>
    </row>
    <row r="28" spans="1:21">
      <c r="B28" s="116" t="s">
        <v>292</v>
      </c>
    </row>
    <row r="29" spans="1:21" ht="15" thickBot="1"/>
    <row r="30" spans="1:21">
      <c r="A30" s="104" t="s">
        <v>303</v>
      </c>
      <c r="B30" s="116" t="s">
        <v>299</v>
      </c>
    </row>
    <row r="31" spans="1:21" ht="15" thickBot="1">
      <c r="A31" s="105" t="s">
        <v>294</v>
      </c>
      <c r="B31" s="116" t="s">
        <v>300</v>
      </c>
    </row>
    <row r="32" spans="1:21">
      <c r="B32" s="116" t="s">
        <v>295</v>
      </c>
    </row>
    <row r="39" spans="1:12">
      <c r="B39" s="116" t="s">
        <v>202</v>
      </c>
    </row>
    <row r="40" spans="1:12">
      <c r="B40" s="116" t="s">
        <v>301</v>
      </c>
    </row>
    <row r="41" spans="1:12">
      <c r="B41" s="116" t="s">
        <v>203</v>
      </c>
    </row>
    <row r="42" spans="1:12">
      <c r="C42" s="116" t="s">
        <v>296</v>
      </c>
    </row>
    <row r="43" spans="1:12" customFormat="1">
      <c r="A43" s="116"/>
      <c r="B43" s="116"/>
      <c r="C43" s="116"/>
      <c r="D43" s="116"/>
      <c r="E43" s="116"/>
      <c r="F43" s="116"/>
      <c r="G43" s="116"/>
      <c r="H43" s="116"/>
      <c r="I43" s="116"/>
      <c r="J43" s="116"/>
      <c r="K43" s="116"/>
      <c r="L43" s="116"/>
    </row>
    <row r="44" spans="1:12" customFormat="1">
      <c r="A44" s="116"/>
      <c r="B44" s="116" t="s">
        <v>302</v>
      </c>
      <c r="C44" s="116"/>
      <c r="D44" s="116"/>
      <c r="E44" s="116"/>
      <c r="F44" s="116"/>
      <c r="G44" s="116"/>
      <c r="H44" s="116"/>
      <c r="I44" s="116"/>
      <c r="J44" s="116"/>
      <c r="K44" s="116"/>
      <c r="L44" s="116"/>
    </row>
    <row r="45" spans="1:12" customFormat="1">
      <c r="A45" s="112" t="s">
        <v>298</v>
      </c>
      <c r="B45" s="116" t="s">
        <v>423</v>
      </c>
      <c r="C45" s="116"/>
      <c r="D45" s="116"/>
      <c r="E45" s="116"/>
      <c r="F45" s="116"/>
      <c r="G45" s="116"/>
      <c r="H45" s="116"/>
      <c r="I45" s="116"/>
      <c r="J45" s="116"/>
      <c r="K45" s="116"/>
      <c r="L45" s="116"/>
    </row>
    <row r="46" spans="1:12" customFormat="1">
      <c r="A46" s="116"/>
      <c r="B46" s="116" t="s">
        <v>312</v>
      </c>
      <c r="C46" s="116"/>
      <c r="D46" s="116"/>
      <c r="E46" s="116"/>
      <c r="F46" s="116"/>
      <c r="G46" s="116"/>
      <c r="H46" s="116"/>
      <c r="I46" s="116"/>
      <c r="J46" s="116"/>
      <c r="K46" s="116"/>
      <c r="L46" s="116"/>
    </row>
    <row r="47" spans="1:12" customFormat="1">
      <c r="A47" s="116"/>
      <c r="B47" s="116" t="s">
        <v>297</v>
      </c>
      <c r="C47" s="116"/>
      <c r="D47" s="116"/>
      <c r="E47" s="116"/>
      <c r="F47" s="116"/>
      <c r="G47" s="116"/>
      <c r="H47" s="116"/>
      <c r="I47" s="116"/>
      <c r="J47" s="116"/>
      <c r="K47" s="116"/>
      <c r="L47" s="116"/>
    </row>
    <row r="48" spans="1:12" customFormat="1">
      <c r="A48" s="116"/>
      <c r="B48" s="116" t="s">
        <v>161</v>
      </c>
      <c r="C48" s="116"/>
      <c r="D48" s="116"/>
      <c r="E48" s="116"/>
      <c r="F48" s="116"/>
      <c r="G48" s="116"/>
      <c r="H48" s="116"/>
      <c r="I48" s="116"/>
      <c r="J48" s="116"/>
      <c r="K48" s="116"/>
    </row>
    <row r="49" spans="1:12">
      <c r="B49" s="116" t="s">
        <v>160</v>
      </c>
      <c r="L49"/>
    </row>
    <row r="50" spans="1:12">
      <c r="B50" s="116" t="s">
        <v>159</v>
      </c>
      <c r="L50"/>
    </row>
    <row r="51" spans="1:12">
      <c r="B51" s="116" t="s">
        <v>304</v>
      </c>
      <c r="L51"/>
    </row>
    <row r="52" spans="1:12" ht="15" thickBot="1">
      <c r="L52"/>
    </row>
    <row r="53" spans="1:12">
      <c r="A53" s="104" t="s">
        <v>293</v>
      </c>
      <c r="B53" s="116" t="s">
        <v>305</v>
      </c>
      <c r="L53"/>
    </row>
    <row r="54" spans="1:12" ht="15" thickBot="1">
      <c r="A54" s="105" t="s">
        <v>294</v>
      </c>
      <c r="B54" s="116" t="s">
        <v>306</v>
      </c>
      <c r="H54"/>
      <c r="I54"/>
      <c r="J54"/>
      <c r="K54"/>
      <c r="L54"/>
    </row>
    <row r="55" spans="1:12">
      <c r="B55" s="116" t="s">
        <v>165</v>
      </c>
      <c r="G55" s="42"/>
      <c r="H55"/>
      <c r="I55"/>
      <c r="J55"/>
      <c r="K55"/>
      <c r="L55"/>
    </row>
    <row r="56" spans="1:12" ht="16.2">
      <c r="B56" s="117" t="s">
        <v>307</v>
      </c>
      <c r="G56"/>
      <c r="H56"/>
      <c r="I56"/>
      <c r="J56"/>
      <c r="K56"/>
    </row>
    <row r="57" spans="1:12">
      <c r="B57" s="116" t="s">
        <v>308</v>
      </c>
      <c r="F57" s="42"/>
      <c r="G57"/>
      <c r="H57"/>
      <c r="I57"/>
      <c r="J57"/>
      <c r="K57"/>
    </row>
    <row r="58" spans="1:12">
      <c r="B58" s="116" t="s">
        <v>309</v>
      </c>
      <c r="E58" s="42"/>
      <c r="F58"/>
      <c r="G58"/>
      <c r="H58"/>
      <c r="I58"/>
      <c r="J58"/>
      <c r="K58"/>
    </row>
    <row r="59" spans="1:12">
      <c r="B59" s="116" t="s">
        <v>311</v>
      </c>
      <c r="E59" s="42"/>
      <c r="F59"/>
      <c r="G59"/>
      <c r="H59"/>
      <c r="I59"/>
      <c r="J59"/>
      <c r="K59"/>
    </row>
    <row r="60" spans="1:12">
      <c r="A60"/>
      <c r="B60" s="42"/>
      <c r="C60" s="42"/>
      <c r="D60" s="42"/>
      <c r="E60"/>
      <c r="F60"/>
      <c r="G60"/>
      <c r="H60"/>
      <c r="I60"/>
      <c r="J60"/>
      <c r="K60"/>
    </row>
    <row r="61" spans="1:12">
      <c r="A61"/>
      <c r="B61" s="116" t="s">
        <v>313</v>
      </c>
      <c r="H61"/>
      <c r="I61"/>
      <c r="J61"/>
      <c r="K61"/>
    </row>
    <row r="62" spans="1:12">
      <c r="A62"/>
      <c r="B62" s="156" t="s">
        <v>85</v>
      </c>
      <c r="H62"/>
      <c r="I62"/>
      <c r="J62"/>
      <c r="K62"/>
    </row>
    <row r="63" spans="1:12">
      <c r="A63"/>
    </row>
    <row r="64" spans="1:12">
      <c r="A64"/>
      <c r="B64"/>
      <c r="C64"/>
      <c r="D64"/>
      <c r="E64"/>
      <c r="F64"/>
      <c r="G64"/>
    </row>
    <row r="65" spans="1:10">
      <c r="A65"/>
      <c r="B65"/>
      <c r="C65"/>
      <c r="D65"/>
      <c r="E65"/>
      <c r="F65"/>
    </row>
    <row r="66" spans="1:10">
      <c r="A66"/>
      <c r="B66" s="161" t="s">
        <v>310</v>
      </c>
      <c r="C66" s="162"/>
      <c r="D66" s="162"/>
      <c r="E66" s="162"/>
      <c r="F66" s="162"/>
      <c r="G66" s="162"/>
      <c r="H66" s="118"/>
      <c r="I66" s="118"/>
      <c r="J66" s="118"/>
    </row>
    <row r="67" spans="1:10" ht="15" thickBot="1">
      <c r="A67"/>
      <c r="B67" s="163" t="s">
        <v>1</v>
      </c>
      <c r="C67" s="163" t="s">
        <v>22</v>
      </c>
      <c r="D67" s="163" t="s">
        <v>10</v>
      </c>
      <c r="E67" s="163" t="s">
        <v>0</v>
      </c>
      <c r="F67" s="163" t="s">
        <v>12</v>
      </c>
      <c r="G67" s="163" t="s">
        <v>11</v>
      </c>
      <c r="H67" s="164" t="s">
        <v>316</v>
      </c>
      <c r="I67" s="164" t="s">
        <v>317</v>
      </c>
      <c r="J67" s="164" t="s">
        <v>20</v>
      </c>
    </row>
    <row r="68" spans="1:10">
      <c r="B68" s="165">
        <v>1</v>
      </c>
      <c r="C68" s="165">
        <v>25</v>
      </c>
      <c r="D68" s="165">
        <v>100</v>
      </c>
      <c r="E68" s="165">
        <f>(C68^0.5)*(D68^0.5)</f>
        <v>50</v>
      </c>
      <c r="F68" s="165">
        <f>(3/4)*E68</f>
        <v>37.5</v>
      </c>
      <c r="G68" s="165">
        <f>(1/4)*E68</f>
        <v>12.5</v>
      </c>
      <c r="H68" s="166"/>
      <c r="I68" s="166"/>
      <c r="J68" s="166">
        <f>D68/E68</f>
        <v>2</v>
      </c>
    </row>
    <row r="69" spans="1:10">
      <c r="B69" s="166">
        <v>2</v>
      </c>
      <c r="C69" s="165">
        <v>25</v>
      </c>
      <c r="D69" s="166">
        <f>D68+G68</f>
        <v>112.5</v>
      </c>
      <c r="E69" s="165">
        <f>(C69^0.5)*(D69^0.5)</f>
        <v>53.033008588991066</v>
      </c>
      <c r="F69" s="165">
        <f>(3/4)*E69</f>
        <v>39.7747564417433</v>
      </c>
      <c r="G69" s="165">
        <f>(1/4)*E69</f>
        <v>13.258252147247767</v>
      </c>
      <c r="H69" s="168">
        <f t="shared" ref="H69:I71" si="0">(D69-D68)/D68</f>
        <v>0.125</v>
      </c>
      <c r="I69" s="168">
        <f t="shared" si="0"/>
        <v>6.0660171779821324E-2</v>
      </c>
      <c r="J69" s="169">
        <f>D69/E69</f>
        <v>2.1213203435596424</v>
      </c>
    </row>
    <row r="70" spans="1:10">
      <c r="B70" s="166">
        <v>3</v>
      </c>
      <c r="C70" s="165">
        <v>25</v>
      </c>
      <c r="D70" s="166">
        <f>D69+G69</f>
        <v>125.75825214724776</v>
      </c>
      <c r="E70" s="165">
        <f>(C70^0.5)*(D70^0.5)</f>
        <v>56.070993425131981</v>
      </c>
      <c r="F70" s="165">
        <f>(3/4)*E70</f>
        <v>42.053245068848987</v>
      </c>
      <c r="G70" s="165">
        <f>(1/4)*E70</f>
        <v>14.017748356282995</v>
      </c>
      <c r="H70" s="168">
        <f t="shared" si="0"/>
        <v>0.11785113019775786</v>
      </c>
      <c r="I70" s="168">
        <f t="shared" si="0"/>
        <v>5.7284791434057146E-2</v>
      </c>
      <c r="J70" s="169">
        <f>D70/E70</f>
        <v>2.2428397370052795</v>
      </c>
    </row>
    <row r="71" spans="1:10">
      <c r="B71" s="166">
        <v>4</v>
      </c>
      <c r="C71" s="165">
        <v>25</v>
      </c>
      <c r="D71" s="166">
        <f>D70+G70</f>
        <v>139.77600050353075</v>
      </c>
      <c r="E71" s="165">
        <f>(C71^0.5)*(D71^0.5)</f>
        <v>59.113450352591236</v>
      </c>
      <c r="F71" s="165">
        <f>(3/4)*E71</f>
        <v>44.335087764443429</v>
      </c>
      <c r="G71" s="165">
        <f>(1/4)*E71</f>
        <v>14.778362588147809</v>
      </c>
      <c r="H71" s="168">
        <f t="shared" si="0"/>
        <v>0.11146583319136703</v>
      </c>
      <c r="I71" s="168">
        <f t="shared" si="0"/>
        <v>5.4260799418894799E-2</v>
      </c>
      <c r="J71" s="169">
        <f>D71/E71</f>
        <v>2.3645380141036494</v>
      </c>
    </row>
    <row r="72" spans="1:10">
      <c r="B72" s="160"/>
      <c r="C72" s="158"/>
      <c r="D72" s="160"/>
      <c r="E72" s="158"/>
      <c r="F72" s="158"/>
      <c r="G72" s="158"/>
      <c r="H72" s="100"/>
      <c r="I72" s="100"/>
      <c r="J72" s="167"/>
    </row>
    <row r="73" spans="1:10">
      <c r="B73" s="160"/>
      <c r="C73" s="158"/>
      <c r="D73" s="160"/>
      <c r="E73" s="158"/>
      <c r="F73" s="158"/>
      <c r="G73" s="158"/>
      <c r="H73" s="100"/>
      <c r="I73" s="100"/>
      <c r="J73" s="167"/>
    </row>
    <row r="74" spans="1:10">
      <c r="B74" s="159" t="s">
        <v>332</v>
      </c>
      <c r="C74" s="158"/>
      <c r="D74" s="160"/>
      <c r="E74" s="158"/>
      <c r="F74" s="158"/>
      <c r="G74" s="158"/>
      <c r="H74" s="100"/>
      <c r="I74" s="100"/>
      <c r="J74" s="167"/>
    </row>
    <row r="75" spans="1:10">
      <c r="B75" s="159" t="s">
        <v>333</v>
      </c>
      <c r="C75" s="158"/>
      <c r="D75" s="160"/>
      <c r="E75" s="158"/>
      <c r="F75" s="158"/>
      <c r="G75" s="158"/>
      <c r="H75" s="100"/>
      <c r="I75" s="100"/>
      <c r="J75" s="167"/>
    </row>
    <row r="77" spans="1:10">
      <c r="B77" s="116" t="s">
        <v>318</v>
      </c>
    </row>
    <row r="78" spans="1:10">
      <c r="B78" s="116" t="s">
        <v>345</v>
      </c>
    </row>
    <row r="79" spans="1:10">
      <c r="C79" s="116" t="s">
        <v>424</v>
      </c>
    </row>
    <row r="81" spans="1:3">
      <c r="B81" s="116" t="s">
        <v>322</v>
      </c>
    </row>
    <row r="82" spans="1:3">
      <c r="B82" s="116" t="s">
        <v>319</v>
      </c>
    </row>
    <row r="83" spans="1:3">
      <c r="B83" s="116" t="s">
        <v>323</v>
      </c>
    </row>
    <row r="85" spans="1:3">
      <c r="A85" s="112" t="s">
        <v>143</v>
      </c>
      <c r="B85" s="116" t="s">
        <v>324</v>
      </c>
    </row>
    <row r="86" spans="1:3">
      <c r="B86" s="116" t="s">
        <v>326</v>
      </c>
    </row>
    <row r="87" spans="1:3">
      <c r="C87" s="116" t="s">
        <v>327</v>
      </c>
    </row>
    <row r="88" spans="1:3">
      <c r="C88" s="116" t="s">
        <v>325</v>
      </c>
    </row>
    <row r="89" spans="1:3">
      <c r="B89" s="116" t="s">
        <v>328</v>
      </c>
    </row>
    <row r="90" spans="1:3">
      <c r="C90" s="116" t="s">
        <v>329</v>
      </c>
    </row>
    <row r="91" spans="1:3">
      <c r="C91" s="116" t="s">
        <v>330</v>
      </c>
    </row>
    <row r="92" spans="1:3">
      <c r="B92" s="116" t="s">
        <v>346</v>
      </c>
    </row>
    <row r="93" spans="1:3">
      <c r="B93" s="116" t="s">
        <v>347</v>
      </c>
    </row>
    <row r="94" spans="1:3">
      <c r="B94" s="116" t="s">
        <v>331</v>
      </c>
    </row>
    <row r="96" spans="1:3">
      <c r="B96" s="116" t="s">
        <v>428</v>
      </c>
    </row>
    <row r="97" spans="2:3">
      <c r="B97" s="116" t="s">
        <v>429</v>
      </c>
    </row>
    <row r="99" spans="2:3">
      <c r="B99" s="116" t="s">
        <v>430</v>
      </c>
    </row>
    <row r="100" spans="2:3">
      <c r="B100" s="116" t="s">
        <v>103</v>
      </c>
    </row>
    <row r="101" spans="2:3">
      <c r="B101" s="45" t="s">
        <v>85</v>
      </c>
      <c r="C101" s="40"/>
    </row>
    <row r="102" spans="2:3">
      <c r="B102" s="40"/>
      <c r="C102" s="40"/>
    </row>
  </sheetData>
  <hyperlinks>
    <hyperlink ref="B15:K15" r:id="rId1" display="https://www.nobelprize.org/nobel_prizes/economic-sciences/laureates/1987/solow-bio.html" xr:uid="{00000000-0004-0000-0500-000000000000}"/>
  </hyperlinks>
  <pageMargins left="0.75" right="0.75" top="1" bottom="1" header="0.5" footer="0.5"/>
  <pageSetup orientation="portrait" verticalDpi="36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25601" r:id="rId5" name="SetupButton">
              <controlPr defaultSize="0" print="0" autoFill="0" autoPict="0" macro="[0]!settingthingsup">
                <anchor moveWithCells="1" sizeWithCells="1">
                  <from>
                    <xdr:col>2</xdr:col>
                    <xdr:colOff>0</xdr:colOff>
                    <xdr:row>61</xdr:row>
                    <xdr:rowOff>0</xdr:rowOff>
                  </from>
                  <to>
                    <xdr:col>3</xdr:col>
                    <xdr:colOff>518160</xdr:colOff>
                    <xdr:row>64</xdr:row>
                    <xdr:rowOff>83820</xdr:rowOff>
                  </to>
                </anchor>
              </controlPr>
            </control>
          </mc:Choice>
        </mc:AlternateContent>
        <mc:AlternateContent xmlns:mc="http://schemas.openxmlformats.org/markup-compatibility/2006">
          <mc:Choice Requires="x14">
            <control shapeId="25602" r:id="rId6" name="Year1DistButton">
              <controlPr defaultSize="0" print="0" autoFill="0" autoPict="0" macro="[0]!Year1Distribution">
                <anchor moveWithCells="1" sizeWithCells="1">
                  <from>
                    <xdr:col>51</xdr:col>
                    <xdr:colOff>0</xdr:colOff>
                    <xdr:row>61</xdr:row>
                    <xdr:rowOff>0</xdr:rowOff>
                  </from>
                  <to>
                    <xdr:col>52</xdr:col>
                    <xdr:colOff>518160</xdr:colOff>
                    <xdr:row>64</xdr:row>
                    <xdr:rowOff>83820</xdr:rowOff>
                  </to>
                </anchor>
              </controlPr>
            </control>
          </mc:Choice>
        </mc:AlternateContent>
        <mc:AlternateContent xmlns:mc="http://schemas.openxmlformats.org/markup-compatibility/2006">
          <mc:Choice Requires="x14">
            <control shapeId="25603" r:id="rId7" name="resetButton">
              <controlPr defaultSize="0" print="0" autoFill="0" autoPict="0" macro="[0]!resetcycle">
                <anchor moveWithCells="1" sizeWithCells="1">
                  <from>
                    <xdr:col>52</xdr:col>
                    <xdr:colOff>0</xdr:colOff>
                    <xdr:row>61</xdr:row>
                    <xdr:rowOff>0</xdr:rowOff>
                  </from>
                  <to>
                    <xdr:col>53</xdr:col>
                    <xdr:colOff>518160</xdr:colOff>
                    <xdr:row>64</xdr:row>
                    <xdr:rowOff>83820</xdr:rowOff>
                  </to>
                </anchor>
              </controlPr>
            </control>
          </mc:Choice>
        </mc:AlternateContent>
        <mc:AlternateContent xmlns:mc="http://schemas.openxmlformats.org/markup-compatibility/2006">
          <mc:Choice Requires="x14">
            <control shapeId="25604" r:id="rId8" name="Year2YButton">
              <controlPr defaultSize="0" print="0" autoFill="0" autoPict="0" macro="[0]!Year2Output">
                <anchor moveWithCells="1" sizeWithCells="1">
                  <from>
                    <xdr:col>53</xdr:col>
                    <xdr:colOff>0</xdr:colOff>
                    <xdr:row>61</xdr:row>
                    <xdr:rowOff>0</xdr:rowOff>
                  </from>
                  <to>
                    <xdr:col>54</xdr:col>
                    <xdr:colOff>518160</xdr:colOff>
                    <xdr:row>64</xdr:row>
                    <xdr:rowOff>83820</xdr:rowOff>
                  </to>
                </anchor>
              </controlPr>
            </control>
          </mc:Choice>
        </mc:AlternateContent>
        <mc:AlternateContent xmlns:mc="http://schemas.openxmlformats.org/markup-compatibility/2006">
          <mc:Choice Requires="x14">
            <control shapeId="25605" r:id="rId9" name="Year2DistButton">
              <controlPr defaultSize="0" print="0" autoFill="0" autoPict="0" macro="[0]!Year2Distribution">
                <anchor moveWithCells="1" sizeWithCells="1">
                  <from>
                    <xdr:col>54</xdr:col>
                    <xdr:colOff>0</xdr:colOff>
                    <xdr:row>61</xdr:row>
                    <xdr:rowOff>0</xdr:rowOff>
                  </from>
                  <to>
                    <xdr:col>55</xdr:col>
                    <xdr:colOff>518160</xdr:colOff>
                    <xdr:row>64</xdr:row>
                    <xdr:rowOff>83820</xdr:rowOff>
                  </to>
                </anchor>
              </controlPr>
            </control>
          </mc:Choice>
        </mc:AlternateContent>
        <mc:AlternateContent xmlns:mc="http://schemas.openxmlformats.org/markup-compatibility/2006">
          <mc:Choice Requires="x14">
            <control shapeId="25606" r:id="rId10" name="Year3YButton">
              <controlPr defaultSize="0" print="0" autoFill="0" autoPict="0" macro="[0]!Year3Output">
                <anchor moveWithCells="1" sizeWithCells="1">
                  <from>
                    <xdr:col>55</xdr:col>
                    <xdr:colOff>0</xdr:colOff>
                    <xdr:row>61</xdr:row>
                    <xdr:rowOff>0</xdr:rowOff>
                  </from>
                  <to>
                    <xdr:col>56</xdr:col>
                    <xdr:colOff>518160</xdr:colOff>
                    <xdr:row>64</xdr:row>
                    <xdr:rowOff>83820</xdr:rowOff>
                  </to>
                </anchor>
              </controlPr>
            </control>
          </mc:Choice>
        </mc:AlternateContent>
        <mc:AlternateContent xmlns:mc="http://schemas.openxmlformats.org/markup-compatibility/2006">
          <mc:Choice Requires="x14">
            <control shapeId="25607" r:id="rId11" name="Year3DistButton">
              <controlPr defaultSize="0" print="0" autoFill="0" autoPict="0" macro="[0]!Year3Distribution">
                <anchor moveWithCells="1" sizeWithCells="1">
                  <from>
                    <xdr:col>56</xdr:col>
                    <xdr:colOff>0</xdr:colOff>
                    <xdr:row>61</xdr:row>
                    <xdr:rowOff>0</xdr:rowOff>
                  </from>
                  <to>
                    <xdr:col>57</xdr:col>
                    <xdr:colOff>518160</xdr:colOff>
                    <xdr:row>64</xdr:row>
                    <xdr:rowOff>83820</xdr:rowOff>
                  </to>
                </anchor>
              </controlPr>
            </control>
          </mc:Choice>
        </mc:AlternateContent>
        <mc:AlternateContent xmlns:mc="http://schemas.openxmlformats.org/markup-compatibility/2006">
          <mc:Choice Requires="x14">
            <control shapeId="25608" r:id="rId12" name="Year4YButton">
              <controlPr defaultSize="0" print="0" autoFill="0" autoPict="0" macro="[0]!Year4Output">
                <anchor moveWithCells="1" sizeWithCells="1">
                  <from>
                    <xdr:col>57</xdr:col>
                    <xdr:colOff>0</xdr:colOff>
                    <xdr:row>61</xdr:row>
                    <xdr:rowOff>0</xdr:rowOff>
                  </from>
                  <to>
                    <xdr:col>58</xdr:col>
                    <xdr:colOff>518160</xdr:colOff>
                    <xdr:row>64</xdr:row>
                    <xdr:rowOff>83820</xdr:rowOff>
                  </to>
                </anchor>
              </controlPr>
            </control>
          </mc:Choice>
        </mc:AlternateContent>
        <mc:AlternateContent xmlns:mc="http://schemas.openxmlformats.org/markup-compatibility/2006">
          <mc:Choice Requires="x14">
            <control shapeId="25609" r:id="rId13" name="Year4DistButton">
              <controlPr defaultSize="0" print="0" autoFill="0" autoPict="0" macro="[0]!Year4Distribution">
                <anchor moveWithCells="1" sizeWithCells="1">
                  <from>
                    <xdr:col>58</xdr:col>
                    <xdr:colOff>0</xdr:colOff>
                    <xdr:row>61</xdr:row>
                    <xdr:rowOff>0</xdr:rowOff>
                  </from>
                  <to>
                    <xdr:col>59</xdr:col>
                    <xdr:colOff>518160</xdr:colOff>
                    <xdr:row>64</xdr:row>
                    <xdr:rowOff>83820</xdr:rowOff>
                  </to>
                </anchor>
              </controlPr>
            </control>
          </mc:Choice>
        </mc:AlternateContent>
        <mc:AlternateContent xmlns:mc="http://schemas.openxmlformats.org/markup-compatibility/2006">
          <mc:Choice Requires="x14">
            <control shapeId="25610" r:id="rId14" name="EndButton">
              <controlPr defaultSize="0" print="0" autoFill="0" autoPict="0" macro="[0]!endbutton">
                <anchor moveWithCells="1" sizeWithCells="1">
                  <from>
                    <xdr:col>59</xdr:col>
                    <xdr:colOff>0</xdr:colOff>
                    <xdr:row>61</xdr:row>
                    <xdr:rowOff>0</xdr:rowOff>
                  </from>
                  <to>
                    <xdr:col>60</xdr:col>
                    <xdr:colOff>518160</xdr:colOff>
                    <xdr:row>64</xdr:row>
                    <xdr:rowOff>83820</xdr:rowOff>
                  </to>
                </anchor>
              </controlPr>
            </control>
          </mc:Choice>
        </mc:AlternateContent>
        <mc:AlternateContent xmlns:mc="http://schemas.openxmlformats.org/markup-compatibility/2006">
          <mc:Choice Requires="x14">
            <control shapeId="25611" r:id="rId15" name="Button 11">
              <controlPr defaultSize="0" print="0" autoFill="0" autoPict="0" macro="[0]!showMath">
                <anchor moveWithCells="1" sizeWithCells="1">
                  <from>
                    <xdr:col>2</xdr:col>
                    <xdr:colOff>0</xdr:colOff>
                    <xdr:row>22</xdr:row>
                    <xdr:rowOff>99060</xdr:rowOff>
                  </from>
                  <to>
                    <xdr:col>2</xdr:col>
                    <xdr:colOff>518160</xdr:colOff>
                    <xdr:row>24</xdr:row>
                    <xdr:rowOff>99060</xdr:rowOff>
                  </to>
                </anchor>
              </controlPr>
            </control>
          </mc:Choice>
        </mc:AlternateContent>
        <mc:AlternateContent xmlns:mc="http://schemas.openxmlformats.org/markup-compatibility/2006">
          <mc:Choice Requires="x14">
            <control shapeId="25613" r:id="rId16" name="Button 13">
              <controlPr defaultSize="0" print="0" autoFill="0" autoPict="0" macro="[0]!showModel">
                <anchor moveWithCells="1" sizeWithCells="1">
                  <from>
                    <xdr:col>2</xdr:col>
                    <xdr:colOff>0</xdr:colOff>
                    <xdr:row>100</xdr:row>
                    <xdr:rowOff>0</xdr:rowOff>
                  </from>
                  <to>
                    <xdr:col>2</xdr:col>
                    <xdr:colOff>518160</xdr:colOff>
                    <xdr:row>101</xdr:row>
                    <xdr:rowOff>91440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U513"/>
  <sheetViews>
    <sheetView showGridLines="0" tabSelected="1" zoomScaleNormal="100" workbookViewId="0">
      <pane ySplit="16" topLeftCell="A304" activePane="bottomLeft" state="frozen"/>
      <selection activeCell="A3" sqref="A3"/>
      <selection pane="bottomLeft" activeCell="K308" sqref="K308"/>
    </sheetView>
  </sheetViews>
  <sheetFormatPr defaultColWidth="8.77734375" defaultRowHeight="14.4"/>
  <cols>
    <col min="1" max="1" width="6.6640625" style="40" customWidth="1"/>
    <col min="2" max="5" width="8.21875" style="40" customWidth="1"/>
    <col min="6" max="6" width="8.77734375" style="40" customWidth="1"/>
    <col min="7" max="14" width="8.21875" style="40" customWidth="1"/>
    <col min="15" max="15" width="4.5546875" style="40" customWidth="1"/>
    <col min="16" max="17" width="8.21875" style="40" customWidth="1"/>
    <col min="18" max="18" width="8.21875" customWidth="1"/>
    <col min="19" max="16384" width="8.77734375" style="40"/>
  </cols>
  <sheetData>
    <row r="1" spans="1:21" ht="15" thickBot="1">
      <c r="A1" s="178" t="s">
        <v>334</v>
      </c>
      <c r="B1" s="178"/>
      <c r="C1" s="178"/>
      <c r="D1" s="178"/>
      <c r="E1" s="178"/>
      <c r="F1" s="106"/>
      <c r="I1" s="189" t="s">
        <v>439</v>
      </c>
    </row>
    <row r="2" spans="1:21">
      <c r="A2" s="181" t="s">
        <v>349</v>
      </c>
      <c r="B2" s="182"/>
      <c r="C2" s="182"/>
      <c r="D2" s="183"/>
      <c r="I2" s="189" t="s">
        <v>440</v>
      </c>
    </row>
    <row r="3" spans="1:21">
      <c r="A3" s="170" t="s">
        <v>7</v>
      </c>
      <c r="B3" s="85">
        <v>0.3</v>
      </c>
      <c r="C3" s="88" t="s">
        <v>348</v>
      </c>
      <c r="D3" s="89"/>
      <c r="F3" s="45" t="s">
        <v>85</v>
      </c>
    </row>
    <row r="4" spans="1:21">
      <c r="A4" s="84" t="s">
        <v>2</v>
      </c>
      <c r="B4" s="85">
        <v>0.02</v>
      </c>
      <c r="C4" s="88" t="s">
        <v>351</v>
      </c>
      <c r="D4" s="87"/>
      <c r="F4" s="41" t="s">
        <v>337</v>
      </c>
      <c r="G4" s="110" t="s">
        <v>436</v>
      </c>
      <c r="H4" s="110"/>
      <c r="I4" s="110"/>
      <c r="J4" s="110"/>
      <c r="K4" s="110"/>
      <c r="L4" s="110"/>
      <c r="M4" s="110"/>
      <c r="N4" s="110"/>
    </row>
    <row r="5" spans="1:21">
      <c r="A5" s="84" t="s">
        <v>3</v>
      </c>
      <c r="B5" s="85">
        <v>0.01</v>
      </c>
      <c r="C5" s="86" t="s">
        <v>350</v>
      </c>
      <c r="D5" s="179"/>
    </row>
    <row r="6" spans="1:21">
      <c r="A6" s="84" t="s">
        <v>5</v>
      </c>
      <c r="B6" s="85">
        <v>0.25</v>
      </c>
      <c r="C6" s="88" t="s">
        <v>18</v>
      </c>
      <c r="D6" s="180"/>
      <c r="E6"/>
      <c r="G6" s="110" t="s">
        <v>437</v>
      </c>
      <c r="H6" s="110"/>
      <c r="I6" s="110"/>
      <c r="J6" s="110"/>
      <c r="K6" s="110"/>
      <c r="L6" s="110"/>
      <c r="M6" s="110"/>
      <c r="N6" s="110"/>
    </row>
    <row r="7" spans="1:21" ht="15" thickBot="1">
      <c r="A7" s="171" t="s">
        <v>4</v>
      </c>
      <c r="B7" s="90">
        <v>0.02</v>
      </c>
      <c r="C7" s="91" t="s">
        <v>340</v>
      </c>
      <c r="D7" s="92"/>
    </row>
    <row r="8" spans="1:21">
      <c r="D8" s="88"/>
      <c r="G8" s="110" t="s">
        <v>438</v>
      </c>
      <c r="H8" s="110"/>
      <c r="I8" s="110"/>
      <c r="J8" s="110"/>
      <c r="K8" s="110"/>
      <c r="L8" s="110"/>
      <c r="M8" s="110"/>
      <c r="N8" s="110"/>
    </row>
    <row r="9" spans="1:21" ht="15" thickBot="1">
      <c r="D9" s="88"/>
      <c r="E9"/>
      <c r="F9" s="45"/>
    </row>
    <row r="10" spans="1:21">
      <c r="A10"/>
      <c r="B10"/>
      <c r="C10"/>
      <c r="D10"/>
      <c r="E10"/>
      <c r="L10" s="93" t="s">
        <v>95</v>
      </c>
      <c r="M10" s="94"/>
    </row>
    <row r="11" spans="1:21" ht="15" thickBot="1">
      <c r="L11" s="95">
        <f>s/(dep+n+g+n*g)</f>
        <v>4.9800796812749004</v>
      </c>
      <c r="M11" s="96">
        <f>alpha/L11</f>
        <v>6.0239999999999995E-2</v>
      </c>
    </row>
    <row r="12" spans="1:21">
      <c r="G12" s="44"/>
      <c r="H12" s="44"/>
      <c r="I12" s="44"/>
      <c r="L12" s="97" t="s">
        <v>20</v>
      </c>
      <c r="P12" s="40" t="s">
        <v>46</v>
      </c>
    </row>
    <row r="13" spans="1:21" s="44" customFormat="1" ht="15" thickBot="1">
      <c r="A13" s="98" t="s">
        <v>1</v>
      </c>
      <c r="B13" s="98" t="s">
        <v>16</v>
      </c>
      <c r="C13" s="99" t="s">
        <v>22</v>
      </c>
      <c r="D13" s="99" t="s">
        <v>10</v>
      </c>
      <c r="E13" s="99" t="s">
        <v>0</v>
      </c>
      <c r="F13" s="99" t="s">
        <v>12</v>
      </c>
      <c r="G13" s="99" t="s">
        <v>11</v>
      </c>
      <c r="H13" s="99" t="s">
        <v>27</v>
      </c>
      <c r="I13" s="99" t="s">
        <v>320</v>
      </c>
      <c r="J13" s="99" t="s">
        <v>314</v>
      </c>
      <c r="K13" s="99" t="s">
        <v>315</v>
      </c>
      <c r="L13" s="172" t="s">
        <v>44</v>
      </c>
      <c r="M13" s="99" t="s">
        <v>21</v>
      </c>
      <c r="P13" s="99" t="s">
        <v>45</v>
      </c>
      <c r="Q13" s="99" t="s">
        <v>321</v>
      </c>
      <c r="R13"/>
      <c r="T13" s="40"/>
      <c r="U13" s="40"/>
    </row>
    <row r="14" spans="1:21" s="44" customFormat="1">
      <c r="A14" s="44">
        <v>1</v>
      </c>
      <c r="B14" s="44">
        <v>1</v>
      </c>
      <c r="C14" s="44">
        <v>1</v>
      </c>
      <c r="D14" s="44">
        <v>1</v>
      </c>
      <c r="E14" s="44">
        <f t="shared" ref="E14:E77" si="0">(B14*C14)^(1-alpha)*(D14^alpha)</f>
        <v>1</v>
      </c>
      <c r="F14" s="44">
        <f t="shared" ref="F14:F77" si="1">(1-s)*E14</f>
        <v>0.75</v>
      </c>
      <c r="G14" s="44">
        <f t="shared" ref="G14:G77" si="2">s*E14</f>
        <v>0.25</v>
      </c>
      <c r="H14" s="44">
        <f t="shared" ref="H14:H77" si="3">dep*D14</f>
        <v>0.02</v>
      </c>
      <c r="I14" s="44">
        <f t="shared" ref="I14:I19" si="4">G14-H14</f>
        <v>0.23</v>
      </c>
      <c r="J14" s="100"/>
      <c r="K14" s="100"/>
      <c r="L14" s="44">
        <f t="shared" ref="L14:L15" si="5">D14/E14</f>
        <v>1</v>
      </c>
      <c r="M14" s="100">
        <f t="shared" ref="M14:M15" si="6">alpha/L14</f>
        <v>0.3</v>
      </c>
      <c r="P14" s="40">
        <f t="shared" ref="P14:P15" si="7">E14/C14</f>
        <v>1</v>
      </c>
      <c r="Q14" s="101"/>
      <c r="R14"/>
      <c r="T14" s="40"/>
      <c r="U14" s="40"/>
    </row>
    <row r="15" spans="1:21" s="44" customFormat="1">
      <c r="A15" s="44">
        <v>2</v>
      </c>
      <c r="B15" s="44">
        <f t="shared" ref="B15:B78" si="8">(1+g)*B14</f>
        <v>1.02</v>
      </c>
      <c r="C15" s="44">
        <f t="shared" ref="C15:C78" si="9">(1+n)*C14</f>
        <v>1.01</v>
      </c>
      <c r="D15" s="44">
        <f>D14+I14</f>
        <v>1.23</v>
      </c>
      <c r="E15" s="44">
        <f t="shared" si="0"/>
        <v>1.0864671890706035</v>
      </c>
      <c r="F15" s="44">
        <f t="shared" si="1"/>
        <v>0.8148503918029526</v>
      </c>
      <c r="G15" s="44">
        <f t="shared" si="2"/>
        <v>0.27161679726765087</v>
      </c>
      <c r="H15" s="44">
        <f t="shared" si="3"/>
        <v>2.46E-2</v>
      </c>
      <c r="I15" s="44">
        <f t="shared" si="4"/>
        <v>0.24701679726765086</v>
      </c>
      <c r="J15" s="100">
        <f t="shared" ref="J15" si="10">(D15-D14)/D14</f>
        <v>0.22999999999999998</v>
      </c>
      <c r="K15" s="100">
        <f t="shared" ref="K15" si="11">(E15-E14)/E14</f>
        <v>8.6467189070603467E-2</v>
      </c>
      <c r="L15" s="44">
        <f t="shared" si="5"/>
        <v>1.1321096599817053</v>
      </c>
      <c r="M15" s="100">
        <f t="shared" si="6"/>
        <v>0.26499199733429352</v>
      </c>
      <c r="P15" s="40">
        <f t="shared" si="7"/>
        <v>1.0757100881887163</v>
      </c>
      <c r="Q15" s="101">
        <f>(P15-P14)/P14</f>
        <v>7.5710088188716274E-2</v>
      </c>
      <c r="R15"/>
      <c r="T15" s="40"/>
      <c r="U15" s="40"/>
    </row>
    <row r="16" spans="1:21" s="44" customFormat="1">
      <c r="A16" s="44">
        <v>3</v>
      </c>
      <c r="B16" s="44">
        <f t="shared" si="8"/>
        <v>1.0404</v>
      </c>
      <c r="C16" s="44">
        <f t="shared" si="9"/>
        <v>1.0201</v>
      </c>
      <c r="D16" s="44">
        <f>D15+I15</f>
        <v>1.4770167972676509</v>
      </c>
      <c r="E16" s="44">
        <f t="shared" si="0"/>
        <v>1.1719411237933393</v>
      </c>
      <c r="F16" s="44">
        <f t="shared" si="1"/>
        <v>0.87895584284500439</v>
      </c>
      <c r="G16" s="44">
        <f t="shared" si="2"/>
        <v>0.29298528094833481</v>
      </c>
      <c r="H16" s="44">
        <f t="shared" si="3"/>
        <v>2.9540335945353019E-2</v>
      </c>
      <c r="I16" s="44">
        <f t="shared" si="4"/>
        <v>0.26344494500298177</v>
      </c>
      <c r="J16" s="100">
        <f t="shared" ref="J16:K19" si="12">(D16-D15)/D15</f>
        <v>0.20082666444524463</v>
      </c>
      <c r="K16" s="100">
        <f t="shared" si="12"/>
        <v>7.8671436728662517E-2</v>
      </c>
      <c r="L16" s="44">
        <f>D16/E16</f>
        <v>1.2603165528374349</v>
      </c>
      <c r="M16" s="100">
        <f>alpha/L16</f>
        <v>0.23803543587885911</v>
      </c>
      <c r="P16" s="40">
        <f>E16/C16</f>
        <v>1.1488492537921178</v>
      </c>
      <c r="Q16" s="101">
        <f t="shared" ref="Q16:Q79" si="13">(P16-P15)/P15</f>
        <v>6.7991521513527345E-2</v>
      </c>
      <c r="R16"/>
      <c r="T16" s="40"/>
      <c r="U16" s="40"/>
    </row>
    <row r="17" spans="1:21" s="44" customFormat="1">
      <c r="A17" s="44">
        <v>4</v>
      </c>
      <c r="B17" s="44">
        <f t="shared" si="8"/>
        <v>1.0612079999999999</v>
      </c>
      <c r="C17" s="44">
        <f t="shared" si="9"/>
        <v>1.0303009999999999</v>
      </c>
      <c r="D17" s="44">
        <f>D16+I16</f>
        <v>1.7404617422706328</v>
      </c>
      <c r="E17" s="44">
        <f t="shared" si="0"/>
        <v>1.2569980097287652</v>
      </c>
      <c r="F17" s="44">
        <f t="shared" si="1"/>
        <v>0.94274850729657389</v>
      </c>
      <c r="G17" s="44">
        <f t="shared" si="2"/>
        <v>0.3142495024321913</v>
      </c>
      <c r="H17" s="44">
        <f t="shared" si="3"/>
        <v>3.4809234845412658E-2</v>
      </c>
      <c r="I17" s="44">
        <f t="shared" si="4"/>
        <v>0.27944026758677865</v>
      </c>
      <c r="J17" s="100">
        <f t="shared" si="12"/>
        <v>0.17836286323238265</v>
      </c>
      <c r="K17" s="100">
        <f t="shared" si="12"/>
        <v>7.2577780750720466E-2</v>
      </c>
      <c r="L17" s="44">
        <f>D17/E17</f>
        <v>1.3846177390894909</v>
      </c>
      <c r="M17" s="100">
        <f>alpha/L17</f>
        <v>0.21666629823569689</v>
      </c>
      <c r="P17" s="40">
        <f>E17/C17</f>
        <v>1.2200298842073969</v>
      </c>
      <c r="Q17" s="101">
        <f t="shared" si="13"/>
        <v>6.1958198763089521E-2</v>
      </c>
      <c r="R17"/>
      <c r="T17" s="40"/>
      <c r="U17" s="40"/>
    </row>
    <row r="18" spans="1:21" s="44" customFormat="1">
      <c r="A18" s="44">
        <v>5</v>
      </c>
      <c r="B18" s="44">
        <f t="shared" si="8"/>
        <v>1.08243216</v>
      </c>
      <c r="C18" s="44">
        <f t="shared" si="9"/>
        <v>1.04060401</v>
      </c>
      <c r="D18" s="44">
        <f>D17+I17</f>
        <v>2.0199020098574114</v>
      </c>
      <c r="E18" s="44">
        <f t="shared" si="0"/>
        <v>1.3420831318899662</v>
      </c>
      <c r="F18" s="44">
        <f t="shared" si="1"/>
        <v>1.0065623489174746</v>
      </c>
      <c r="G18" s="44">
        <f t="shared" si="2"/>
        <v>0.33552078297249155</v>
      </c>
      <c r="H18" s="44">
        <f t="shared" si="3"/>
        <v>4.0398040197148231E-2</v>
      </c>
      <c r="I18" s="44">
        <f t="shared" si="4"/>
        <v>0.29512274277534334</v>
      </c>
      <c r="J18" s="100">
        <f t="shared" si="12"/>
        <v>0.16055524852974742</v>
      </c>
      <c r="K18" s="100">
        <f t="shared" si="12"/>
        <v>6.7689146285570226E-2</v>
      </c>
      <c r="L18" s="44">
        <f>D18/E18</f>
        <v>1.5050498451708563</v>
      </c>
      <c r="M18" s="100">
        <f>alpha/L18</f>
        <v>0.19932894645488861</v>
      </c>
      <c r="P18" s="40">
        <f>E18/C18</f>
        <v>1.2897155104081965</v>
      </c>
      <c r="Q18" s="101">
        <f t="shared" si="13"/>
        <v>5.711796661937632E-2</v>
      </c>
      <c r="R18"/>
      <c r="T18" s="40"/>
      <c r="U18" s="40"/>
    </row>
    <row r="19" spans="1:21">
      <c r="A19" s="44">
        <v>6</v>
      </c>
      <c r="B19" s="44">
        <f t="shared" si="8"/>
        <v>1.1040808032</v>
      </c>
      <c r="C19" s="44">
        <f t="shared" si="9"/>
        <v>1.0510100500999999</v>
      </c>
      <c r="D19" s="44">
        <f>D18+I18</f>
        <v>2.3150247526327545</v>
      </c>
      <c r="E19" s="44">
        <f t="shared" si="0"/>
        <v>1.4275525399667328</v>
      </c>
      <c r="F19" s="44">
        <f t="shared" si="1"/>
        <v>1.0706644049750496</v>
      </c>
      <c r="G19" s="44">
        <f t="shared" si="2"/>
        <v>0.3568881349916832</v>
      </c>
      <c r="H19" s="44">
        <f t="shared" si="3"/>
        <v>4.6300495052655093E-2</v>
      </c>
      <c r="I19" s="44">
        <f t="shared" si="4"/>
        <v>0.3105876399390281</v>
      </c>
      <c r="J19" s="100">
        <f t="shared" si="12"/>
        <v>0.14610745537907374</v>
      </c>
      <c r="K19" s="100">
        <f t="shared" si="12"/>
        <v>6.36841385200973E-2</v>
      </c>
      <c r="L19" s="44">
        <f>D19/E19</f>
        <v>1.6216739404118206</v>
      </c>
      <c r="M19" s="100">
        <f>alpha/L19</f>
        <v>0.18499403149058166</v>
      </c>
      <c r="N19" s="44"/>
      <c r="O19" s="44"/>
      <c r="P19" s="40">
        <f>E19/C19</f>
        <v>1.3582672590342082</v>
      </c>
      <c r="Q19" s="101">
        <f t="shared" si="13"/>
        <v>5.3152612396136063E-2</v>
      </c>
      <c r="S19" s="44"/>
    </row>
    <row r="20" spans="1:21">
      <c r="A20" s="44">
        <v>7</v>
      </c>
      <c r="B20" s="44">
        <f t="shared" si="8"/>
        <v>1.1261624192640001</v>
      </c>
      <c r="C20" s="44">
        <f t="shared" si="9"/>
        <v>1.0615201506009999</v>
      </c>
      <c r="D20" s="44">
        <f t="shared" ref="D20:D83" si="14">D19+I19</f>
        <v>2.6256123925717825</v>
      </c>
      <c r="E20" s="44">
        <f t="shared" si="0"/>
        <v>1.5136995274439911</v>
      </c>
      <c r="F20" s="44">
        <f t="shared" si="1"/>
        <v>1.1352746455829932</v>
      </c>
      <c r="G20" s="44">
        <f t="shared" si="2"/>
        <v>0.37842488186099776</v>
      </c>
      <c r="H20" s="44">
        <f t="shared" si="3"/>
        <v>5.2512247851435649E-2</v>
      </c>
      <c r="I20" s="44">
        <f t="shared" ref="I20:I83" si="15">G20-H20</f>
        <v>0.32591263400956211</v>
      </c>
      <c r="J20" s="100">
        <f t="shared" ref="J20:J83" si="16">(D20-D19)/D19</f>
        <v>0.13416169290881799</v>
      </c>
      <c r="K20" s="100">
        <f t="shared" ref="K20:K83" si="17">(E20-E19)/E19</f>
        <v>6.0345931281286347E-2</v>
      </c>
      <c r="L20" s="44">
        <f t="shared" ref="L20:L83" si="18">D20/E20</f>
        <v>1.7345664347305108</v>
      </c>
      <c r="M20" s="100">
        <f t="shared" ref="M20:M83" si="19">alpha/L20</f>
        <v>0.17295388288002311</v>
      </c>
      <c r="N20" s="44"/>
      <c r="O20" s="44"/>
      <c r="P20" s="40">
        <f t="shared" ref="P20:P83" si="20">E20/C20</f>
        <v>1.4259734274351563</v>
      </c>
      <c r="Q20" s="101">
        <f t="shared" si="13"/>
        <v>4.984745671414504E-2</v>
      </c>
      <c r="S20" s="44"/>
    </row>
    <row r="21" spans="1:21">
      <c r="A21" s="44">
        <v>8</v>
      </c>
      <c r="B21" s="44">
        <f t="shared" si="8"/>
        <v>1.14868566764928</v>
      </c>
      <c r="C21" s="44">
        <f t="shared" si="9"/>
        <v>1.0721353521070098</v>
      </c>
      <c r="D21" s="44">
        <f t="shared" si="14"/>
        <v>2.9515250265813444</v>
      </c>
      <c r="E21" s="44">
        <f t="shared" si="0"/>
        <v>1.6007721289152674</v>
      </c>
      <c r="F21" s="44">
        <f t="shared" si="1"/>
        <v>1.2005790966864507</v>
      </c>
      <c r="G21" s="44">
        <f t="shared" si="2"/>
        <v>0.40019303222881686</v>
      </c>
      <c r="H21" s="44">
        <f t="shared" si="3"/>
        <v>5.9030500531626888E-2</v>
      </c>
      <c r="I21" s="44">
        <f t="shared" si="15"/>
        <v>0.34116253169718996</v>
      </c>
      <c r="J21" s="100">
        <f t="shared" si="16"/>
        <v>0.12412823573335252</v>
      </c>
      <c r="K21" s="100">
        <f t="shared" si="17"/>
        <v>5.7523041985951984E-2</v>
      </c>
      <c r="L21" s="44">
        <f t="shared" si="18"/>
        <v>1.8438133531106571</v>
      </c>
      <c r="M21" s="100">
        <f t="shared" si="19"/>
        <v>0.16270627365501858</v>
      </c>
      <c r="N21" s="44"/>
      <c r="O21" s="44"/>
      <c r="P21" s="40">
        <f t="shared" si="20"/>
        <v>1.4930690661112482</v>
      </c>
      <c r="Q21" s="101">
        <f t="shared" si="13"/>
        <v>4.7052516817774274E-2</v>
      </c>
      <c r="S21" s="44"/>
    </row>
    <row r="22" spans="1:21">
      <c r="A22" s="44">
        <v>9</v>
      </c>
      <c r="B22" s="44">
        <f t="shared" si="8"/>
        <v>1.1716593810022657</v>
      </c>
      <c r="C22" s="44">
        <f t="shared" si="9"/>
        <v>1.08285670562808</v>
      </c>
      <c r="D22" s="44">
        <f t="shared" si="14"/>
        <v>3.2926875582785344</v>
      </c>
      <c r="E22" s="44">
        <f t="shared" si="0"/>
        <v>1.6889850748916584</v>
      </c>
      <c r="F22" s="44">
        <f t="shared" si="1"/>
        <v>1.2667388061687439</v>
      </c>
      <c r="G22" s="44">
        <f t="shared" si="2"/>
        <v>0.4222462687229146</v>
      </c>
      <c r="H22" s="44">
        <f t="shared" si="3"/>
        <v>6.5853751165570684E-2</v>
      </c>
      <c r="I22" s="44">
        <f t="shared" si="15"/>
        <v>0.35639251755734391</v>
      </c>
      <c r="J22" s="100">
        <f t="shared" si="16"/>
        <v>0.11558856137918218</v>
      </c>
      <c r="K22" s="100">
        <f t="shared" si="17"/>
        <v>5.5106497909959716E-2</v>
      </c>
      <c r="L22" s="44">
        <f t="shared" si="18"/>
        <v>1.9495066044261802</v>
      </c>
      <c r="M22" s="100">
        <f t="shared" si="19"/>
        <v>0.15388509037049522</v>
      </c>
      <c r="N22" s="44"/>
      <c r="O22" s="44"/>
      <c r="P22" s="40">
        <f t="shared" si="20"/>
        <v>1.5597493796854782</v>
      </c>
      <c r="Q22" s="101">
        <f t="shared" si="13"/>
        <v>4.4659898920752041E-2</v>
      </c>
      <c r="S22" s="44"/>
    </row>
    <row r="23" spans="1:21">
      <c r="A23" s="44">
        <v>10</v>
      </c>
      <c r="B23" s="44">
        <f t="shared" si="8"/>
        <v>1.1950925686223111</v>
      </c>
      <c r="C23" s="44">
        <f t="shared" si="9"/>
        <v>1.0936852726843609</v>
      </c>
      <c r="D23" s="44">
        <f t="shared" si="14"/>
        <v>3.6490800758358786</v>
      </c>
      <c r="E23" s="44">
        <f t="shared" si="0"/>
        <v>1.7785281974122853</v>
      </c>
      <c r="F23" s="44">
        <f t="shared" si="1"/>
        <v>1.333896148059214</v>
      </c>
      <c r="G23" s="44">
        <f t="shared" si="2"/>
        <v>0.44463204935307132</v>
      </c>
      <c r="H23" s="44">
        <f t="shared" si="3"/>
        <v>7.2981601516717579E-2</v>
      </c>
      <c r="I23" s="44">
        <f t="shared" si="15"/>
        <v>0.37165044783635376</v>
      </c>
      <c r="J23" s="100">
        <f t="shared" si="16"/>
        <v>0.10823757530874609</v>
      </c>
      <c r="K23" s="100">
        <f t="shared" si="17"/>
        <v>5.3015934747896301E-2</v>
      </c>
      <c r="L23" s="44">
        <f t="shared" si="18"/>
        <v>2.051741479918733</v>
      </c>
      <c r="M23" s="100">
        <f t="shared" si="19"/>
        <v>0.14621725150864651</v>
      </c>
      <c r="N23" s="44"/>
      <c r="O23" s="44"/>
      <c r="P23" s="40">
        <f t="shared" si="20"/>
        <v>1.6261791594276784</v>
      </c>
      <c r="Q23" s="101">
        <f t="shared" si="13"/>
        <v>4.2590034403857689E-2</v>
      </c>
      <c r="S23" s="44"/>
    </row>
    <row r="24" spans="1:21">
      <c r="A24" s="44">
        <v>11</v>
      </c>
      <c r="B24" s="44">
        <f t="shared" si="8"/>
        <v>1.2189944199947573</v>
      </c>
      <c r="C24" s="44">
        <f t="shared" si="9"/>
        <v>1.1046221254112045</v>
      </c>
      <c r="D24" s="44">
        <f t="shared" si="14"/>
        <v>4.0207305236722322</v>
      </c>
      <c r="E24" s="44">
        <f t="shared" si="0"/>
        <v>1.8695724896578214</v>
      </c>
      <c r="F24" s="44">
        <f t="shared" si="1"/>
        <v>1.402179367243366</v>
      </c>
      <c r="G24" s="44">
        <f t="shared" si="2"/>
        <v>0.46739312241445535</v>
      </c>
      <c r="H24" s="44">
        <f t="shared" si="3"/>
        <v>8.0414610473444642E-2</v>
      </c>
      <c r="I24" s="44">
        <f t="shared" si="15"/>
        <v>0.38697851194101074</v>
      </c>
      <c r="J24" s="100">
        <f t="shared" si="16"/>
        <v>0.10184770959053872</v>
      </c>
      <c r="K24" s="100">
        <f t="shared" si="17"/>
        <v>5.1190806183451752E-2</v>
      </c>
      <c r="L24" s="44">
        <f t="shared" si="18"/>
        <v>2.1506149378610755</v>
      </c>
      <c r="M24" s="100">
        <f t="shared" si="19"/>
        <v>0.1394949856985413</v>
      </c>
      <c r="N24" s="44"/>
      <c r="O24" s="44"/>
      <c r="P24" s="40">
        <f t="shared" si="20"/>
        <v>1.6924995857401082</v>
      </c>
      <c r="Q24" s="101">
        <f t="shared" si="13"/>
        <v>4.0782976419259188E-2</v>
      </c>
      <c r="S24" s="44"/>
    </row>
    <row r="25" spans="1:21">
      <c r="A25" s="44">
        <v>12</v>
      </c>
      <c r="B25" s="44">
        <f t="shared" si="8"/>
        <v>1.2433743083946525</v>
      </c>
      <c r="C25" s="44">
        <f t="shared" si="9"/>
        <v>1.1156683466653166</v>
      </c>
      <c r="D25" s="44">
        <f t="shared" si="14"/>
        <v>4.4077090356132427</v>
      </c>
      <c r="E25" s="44">
        <f t="shared" si="0"/>
        <v>1.9622745717434111</v>
      </c>
      <c r="F25" s="44">
        <f t="shared" si="1"/>
        <v>1.4717059288075585</v>
      </c>
      <c r="G25" s="44">
        <f t="shared" si="2"/>
        <v>0.49056864293585278</v>
      </c>
      <c r="H25" s="44">
        <f t="shared" si="3"/>
        <v>8.8154180712264857E-2</v>
      </c>
      <c r="I25" s="44">
        <f t="shared" si="15"/>
        <v>0.4024144622235879</v>
      </c>
      <c r="J25" s="100">
        <f t="shared" si="16"/>
        <v>9.6245821415451016E-2</v>
      </c>
      <c r="K25" s="100">
        <f t="shared" si="17"/>
        <v>4.9584641728739026E-2</v>
      </c>
      <c r="L25" s="44">
        <f t="shared" si="18"/>
        <v>2.2462244066573978</v>
      </c>
      <c r="M25" s="100">
        <f t="shared" si="19"/>
        <v>0.13355744827224517</v>
      </c>
      <c r="N25" s="44"/>
      <c r="O25" s="44"/>
      <c r="P25" s="40">
        <f t="shared" si="20"/>
        <v>1.7588332389357135</v>
      </c>
      <c r="Q25" s="101">
        <f t="shared" si="13"/>
        <v>3.9192714582909932E-2</v>
      </c>
      <c r="S25" s="44"/>
    </row>
    <row r="26" spans="1:21">
      <c r="A26" s="44">
        <v>13</v>
      </c>
      <c r="B26" s="44">
        <f t="shared" si="8"/>
        <v>1.2682417945625455</v>
      </c>
      <c r="C26" s="44">
        <f t="shared" si="9"/>
        <v>1.1268250301319698</v>
      </c>
      <c r="D26" s="44">
        <f t="shared" si="14"/>
        <v>4.8101234978368304</v>
      </c>
      <c r="E26" s="44">
        <f t="shared" si="0"/>
        <v>2.0567800474690929</v>
      </c>
      <c r="F26" s="44">
        <f t="shared" si="1"/>
        <v>1.5425850356018196</v>
      </c>
      <c r="G26" s="44">
        <f t="shared" si="2"/>
        <v>0.51419501186727323</v>
      </c>
      <c r="H26" s="44">
        <f t="shared" si="3"/>
        <v>9.6202469956736605E-2</v>
      </c>
      <c r="I26" s="44">
        <f t="shared" si="15"/>
        <v>0.41799254191053664</v>
      </c>
      <c r="J26" s="100">
        <f t="shared" si="16"/>
        <v>9.129787356020426E-2</v>
      </c>
      <c r="K26" s="100">
        <f t="shared" si="17"/>
        <v>4.8161188595394706E-2</v>
      </c>
      <c r="L26" s="44">
        <f t="shared" si="18"/>
        <v>2.3386669390126471</v>
      </c>
      <c r="M26" s="100">
        <f t="shared" si="19"/>
        <v>0.12827820627021641</v>
      </c>
      <c r="N26" s="44"/>
      <c r="O26" s="44"/>
      <c r="P26" s="40">
        <f t="shared" si="20"/>
        <v>1.8252878596672726</v>
      </c>
      <c r="Q26" s="101">
        <f t="shared" si="13"/>
        <v>3.7783355044945233E-2</v>
      </c>
      <c r="S26" s="101"/>
    </row>
    <row r="27" spans="1:21">
      <c r="A27" s="44">
        <v>14</v>
      </c>
      <c r="B27" s="44">
        <f t="shared" si="8"/>
        <v>1.2936066304537963</v>
      </c>
      <c r="C27" s="44">
        <f t="shared" si="9"/>
        <v>1.1380932804332895</v>
      </c>
      <c r="D27" s="44">
        <f t="shared" si="14"/>
        <v>5.2281160397473672</v>
      </c>
      <c r="E27" s="44">
        <f t="shared" si="0"/>
        <v>2.1532260729446984</v>
      </c>
      <c r="F27" s="44">
        <f t="shared" si="1"/>
        <v>1.6149195547085238</v>
      </c>
      <c r="G27" s="44">
        <f t="shared" si="2"/>
        <v>0.53830651823617459</v>
      </c>
      <c r="H27" s="44">
        <f t="shared" si="3"/>
        <v>0.10456232079494734</v>
      </c>
      <c r="I27" s="44">
        <f t="shared" si="15"/>
        <v>0.43374419744122727</v>
      </c>
      <c r="J27" s="100">
        <f t="shared" si="16"/>
        <v>8.6898505225180403E-2</v>
      </c>
      <c r="K27" s="100">
        <f t="shared" si="17"/>
        <v>4.6891754708669069E-2</v>
      </c>
      <c r="L27" s="44">
        <f t="shared" si="18"/>
        <v>2.4280386093400428</v>
      </c>
      <c r="M27" s="100">
        <f t="shared" si="19"/>
        <v>0.1235565195899179</v>
      </c>
      <c r="N27" s="44"/>
      <c r="O27" s="44"/>
      <c r="P27" s="40">
        <f t="shared" si="20"/>
        <v>1.8919592180747542</v>
      </c>
      <c r="Q27" s="101">
        <f t="shared" si="13"/>
        <v>3.6526489810563348E-2</v>
      </c>
      <c r="S27" s="101"/>
    </row>
    <row r="28" spans="1:21">
      <c r="A28" s="44">
        <v>15</v>
      </c>
      <c r="B28" s="44">
        <f t="shared" si="8"/>
        <v>1.3194787630628724</v>
      </c>
      <c r="C28" s="44">
        <f t="shared" si="9"/>
        <v>1.1494742132376223</v>
      </c>
      <c r="D28" s="44">
        <f t="shared" si="14"/>
        <v>5.6618602371885949</v>
      </c>
      <c r="E28" s="44">
        <f t="shared" si="0"/>
        <v>2.2517433546255181</v>
      </c>
      <c r="F28" s="44">
        <f t="shared" si="1"/>
        <v>1.6888075159691387</v>
      </c>
      <c r="G28" s="44">
        <f t="shared" si="2"/>
        <v>0.56293583865637953</v>
      </c>
      <c r="H28" s="44">
        <f t="shared" si="3"/>
        <v>0.1132372047437719</v>
      </c>
      <c r="I28" s="44">
        <f t="shared" si="15"/>
        <v>0.44969863391260761</v>
      </c>
      <c r="J28" s="100">
        <f t="shared" si="16"/>
        <v>8.2963766324931659E-2</v>
      </c>
      <c r="K28" s="100">
        <f t="shared" si="17"/>
        <v>4.5753338638561979E-2</v>
      </c>
      <c r="L28" s="44">
        <f t="shared" si="18"/>
        <v>2.514434083066365</v>
      </c>
      <c r="M28" s="100">
        <f t="shared" si="19"/>
        <v>0.11931114123069335</v>
      </c>
      <c r="N28" s="44"/>
      <c r="O28" s="44"/>
      <c r="P28" s="40">
        <f t="shared" si="20"/>
        <v>1.9589333355145322</v>
      </c>
      <c r="Q28" s="101">
        <f t="shared" si="13"/>
        <v>3.5399345186695109E-2</v>
      </c>
      <c r="S28" s="101"/>
    </row>
    <row r="29" spans="1:21">
      <c r="A29" s="44">
        <v>16</v>
      </c>
      <c r="B29" s="44">
        <f t="shared" si="8"/>
        <v>1.3458683383241299</v>
      </c>
      <c r="C29" s="44">
        <f t="shared" si="9"/>
        <v>1.1609689553699987</v>
      </c>
      <c r="D29" s="44">
        <f t="shared" si="14"/>
        <v>6.1115588711012023</v>
      </c>
      <c r="E29" s="44">
        <f t="shared" si="0"/>
        <v>2.3524577273648197</v>
      </c>
      <c r="F29" s="44">
        <f t="shared" si="1"/>
        <v>1.7643432955236147</v>
      </c>
      <c r="G29" s="44">
        <f t="shared" si="2"/>
        <v>0.58811443184120493</v>
      </c>
      <c r="H29" s="44">
        <f t="shared" si="3"/>
        <v>0.12223117742202405</v>
      </c>
      <c r="I29" s="44">
        <f t="shared" si="15"/>
        <v>0.46588325441918088</v>
      </c>
      <c r="J29" s="100">
        <f t="shared" si="16"/>
        <v>7.9425951025577771E-2</v>
      </c>
      <c r="K29" s="100">
        <f t="shared" si="17"/>
        <v>4.4727287651327906E-2</v>
      </c>
      <c r="L29" s="44">
        <f t="shared" si="18"/>
        <v>2.5979463095165833</v>
      </c>
      <c r="M29" s="100">
        <f t="shared" si="19"/>
        <v>0.11547582754157183</v>
      </c>
      <c r="N29" s="44"/>
      <c r="O29" s="44"/>
      <c r="P29" s="40">
        <f t="shared" si="20"/>
        <v>2.0262882280216492</v>
      </c>
      <c r="Q29" s="101">
        <f t="shared" si="13"/>
        <v>3.4383453120126528E-2</v>
      </c>
      <c r="S29" s="101"/>
    </row>
    <row r="30" spans="1:21">
      <c r="A30" s="44">
        <v>17</v>
      </c>
      <c r="B30" s="44">
        <f t="shared" si="8"/>
        <v>1.3727857050906125</v>
      </c>
      <c r="C30" s="44">
        <f t="shared" si="9"/>
        <v>1.1725786449236986</v>
      </c>
      <c r="D30" s="44">
        <f t="shared" si="14"/>
        <v>6.577442125520383</v>
      </c>
      <c r="E30" s="44">
        <f t="shared" si="0"/>
        <v>2.455491418746286</v>
      </c>
      <c r="F30" s="44">
        <f t="shared" si="1"/>
        <v>1.8416185640597145</v>
      </c>
      <c r="G30" s="44">
        <f t="shared" si="2"/>
        <v>0.61387285468657149</v>
      </c>
      <c r="H30" s="44">
        <f t="shared" si="3"/>
        <v>0.13154884251040766</v>
      </c>
      <c r="I30" s="44">
        <f t="shared" si="15"/>
        <v>0.48232401217616383</v>
      </c>
      <c r="J30" s="100">
        <f t="shared" si="16"/>
        <v>7.6229856284643169E-2</v>
      </c>
      <c r="K30" s="100">
        <f t="shared" si="17"/>
        <v>4.3798317896612191E-2</v>
      </c>
      <c r="L30" s="44">
        <f t="shared" si="18"/>
        <v>2.6786663049625581</v>
      </c>
      <c r="M30" s="100">
        <f t="shared" si="19"/>
        <v>0.11199603304234393</v>
      </c>
      <c r="N30" s="44"/>
      <c r="O30" s="44"/>
      <c r="P30" s="40">
        <f t="shared" si="20"/>
        <v>2.0940952910719846</v>
      </c>
      <c r="Q30" s="101">
        <f t="shared" si="13"/>
        <v>3.3463681085754642E-2</v>
      </c>
      <c r="S30" s="101"/>
    </row>
    <row r="31" spans="1:21">
      <c r="A31" s="44">
        <v>18</v>
      </c>
      <c r="B31" s="44">
        <f t="shared" si="8"/>
        <v>1.4002414191924248</v>
      </c>
      <c r="C31" s="44">
        <f t="shared" si="9"/>
        <v>1.1843044313729356</v>
      </c>
      <c r="D31" s="44">
        <f t="shared" si="14"/>
        <v>7.0597661376965473</v>
      </c>
      <c r="E31" s="44">
        <f t="shared" si="0"/>
        <v>2.5609640759657126</v>
      </c>
      <c r="F31" s="44">
        <f t="shared" si="1"/>
        <v>1.9207230569742846</v>
      </c>
      <c r="G31" s="44">
        <f t="shared" si="2"/>
        <v>0.64024101899142816</v>
      </c>
      <c r="H31" s="44">
        <f t="shared" si="3"/>
        <v>0.14119532275393096</v>
      </c>
      <c r="I31" s="44">
        <f t="shared" si="15"/>
        <v>0.49904569623749717</v>
      </c>
      <c r="J31" s="100">
        <f t="shared" si="16"/>
        <v>7.3330027535286682E-2</v>
      </c>
      <c r="K31" s="100">
        <f t="shared" si="17"/>
        <v>4.295378774863666E-2</v>
      </c>
      <c r="L31" s="44">
        <f t="shared" si="18"/>
        <v>2.7566830022925579</v>
      </c>
      <c r="M31" s="100">
        <f t="shared" si="19"/>
        <v>0.10882644096202178</v>
      </c>
      <c r="N31" s="44"/>
      <c r="O31" s="44"/>
      <c r="P31" s="40">
        <f t="shared" si="20"/>
        <v>2.1624204116139705</v>
      </c>
      <c r="Q31" s="101">
        <f t="shared" si="13"/>
        <v>3.2627512622412577E-2</v>
      </c>
      <c r="S31" s="101"/>
    </row>
    <row r="32" spans="1:21">
      <c r="A32" s="44">
        <v>19</v>
      </c>
      <c r="B32" s="44">
        <f t="shared" si="8"/>
        <v>1.4282462475762734</v>
      </c>
      <c r="C32" s="44">
        <f t="shared" si="9"/>
        <v>1.196147475686665</v>
      </c>
      <c r="D32" s="44">
        <f t="shared" si="14"/>
        <v>7.558811833934044</v>
      </c>
      <c r="E32" s="44">
        <f t="shared" si="0"/>
        <v>2.6689936108600589</v>
      </c>
      <c r="F32" s="44">
        <f t="shared" si="1"/>
        <v>2.001745208145044</v>
      </c>
      <c r="G32" s="44">
        <f t="shared" si="2"/>
        <v>0.66724840271501473</v>
      </c>
      <c r="H32" s="44">
        <f t="shared" si="3"/>
        <v>0.15117623667868088</v>
      </c>
      <c r="I32" s="44">
        <f t="shared" si="15"/>
        <v>0.51607216603633388</v>
      </c>
      <c r="J32" s="100">
        <f t="shared" si="16"/>
        <v>7.068870080168474E-2</v>
      </c>
      <c r="K32" s="100">
        <f t="shared" si="17"/>
        <v>4.2183151223474116E-2</v>
      </c>
      <c r="L32" s="44">
        <f t="shared" si="18"/>
        <v>2.8320831504344763</v>
      </c>
      <c r="M32" s="100">
        <f t="shared" si="19"/>
        <v>0.10592909320264</v>
      </c>
      <c r="N32" s="44"/>
      <c r="O32" s="44"/>
      <c r="P32" s="40">
        <f t="shared" si="20"/>
        <v>2.2313248701443658</v>
      </c>
      <c r="Q32" s="101">
        <f t="shared" si="13"/>
        <v>3.1864506161855412E-2</v>
      </c>
      <c r="S32" s="101"/>
    </row>
    <row r="33" spans="1:19">
      <c r="A33" s="44">
        <v>20</v>
      </c>
      <c r="B33" s="44">
        <f t="shared" si="8"/>
        <v>1.4568111725277988</v>
      </c>
      <c r="C33" s="44">
        <f t="shared" si="9"/>
        <v>1.2081089504435316</v>
      </c>
      <c r="D33" s="44">
        <f t="shared" si="14"/>
        <v>8.0748839999703783</v>
      </c>
      <c r="E33" s="44">
        <f t="shared" si="0"/>
        <v>2.7796969041914088</v>
      </c>
      <c r="F33" s="44">
        <f t="shared" si="1"/>
        <v>2.0847726781435565</v>
      </c>
      <c r="G33" s="44">
        <f t="shared" si="2"/>
        <v>0.6949242260478522</v>
      </c>
      <c r="H33" s="44">
        <f t="shared" si="3"/>
        <v>0.16149767999940756</v>
      </c>
      <c r="I33" s="44">
        <f t="shared" si="15"/>
        <v>0.53342654604844464</v>
      </c>
      <c r="J33" s="100">
        <f t="shared" si="16"/>
        <v>6.8274244335533418E-2</v>
      </c>
      <c r="K33" s="100">
        <f t="shared" si="17"/>
        <v>4.1477541527601011E-2</v>
      </c>
      <c r="L33" s="44">
        <f t="shared" si="18"/>
        <v>2.9049512512657549</v>
      </c>
      <c r="M33" s="100">
        <f t="shared" si="19"/>
        <v>0.10327195675634247</v>
      </c>
      <c r="N33" s="44"/>
      <c r="O33" s="44"/>
      <c r="P33" s="40">
        <f t="shared" si="20"/>
        <v>2.3008660793142059</v>
      </c>
      <c r="Q33" s="101">
        <f t="shared" si="13"/>
        <v>3.116588270059523E-2</v>
      </c>
      <c r="S33" s="101"/>
    </row>
    <row r="34" spans="1:19">
      <c r="A34" s="44">
        <v>21</v>
      </c>
      <c r="B34" s="44">
        <f t="shared" si="8"/>
        <v>1.4859473959783549</v>
      </c>
      <c r="C34" s="44">
        <f t="shared" si="9"/>
        <v>1.220190039947967</v>
      </c>
      <c r="D34" s="44">
        <f t="shared" si="14"/>
        <v>8.6083105460188225</v>
      </c>
      <c r="E34" s="44">
        <f t="shared" si="0"/>
        <v>2.8931903999770396</v>
      </c>
      <c r="F34" s="44">
        <f t="shared" si="1"/>
        <v>2.1698927999827795</v>
      </c>
      <c r="G34" s="44">
        <f t="shared" si="2"/>
        <v>0.72329759999425991</v>
      </c>
      <c r="H34" s="44">
        <f t="shared" si="3"/>
        <v>0.17216621092037646</v>
      </c>
      <c r="I34" s="44">
        <f t="shared" si="15"/>
        <v>0.55113138907388348</v>
      </c>
      <c r="J34" s="100">
        <f t="shared" si="16"/>
        <v>6.605996396361867E-2</v>
      </c>
      <c r="K34" s="100">
        <f t="shared" si="17"/>
        <v>4.0829450007480284E-2</v>
      </c>
      <c r="L34" s="44">
        <f t="shared" si="18"/>
        <v>2.9753695249670185</v>
      </c>
      <c r="M34" s="100">
        <f t="shared" si="19"/>
        <v>0.1008278123045323</v>
      </c>
      <c r="N34" s="44"/>
      <c r="O34" s="44"/>
      <c r="P34" s="40">
        <f t="shared" si="20"/>
        <v>2.3710981939341309</v>
      </c>
      <c r="Q34" s="101">
        <f t="shared" si="13"/>
        <v>3.0524207928198183E-2</v>
      </c>
      <c r="S34" s="101"/>
    </row>
    <row r="35" spans="1:19">
      <c r="A35" s="44">
        <v>22</v>
      </c>
      <c r="B35" s="44">
        <f t="shared" si="8"/>
        <v>1.5156663438979221</v>
      </c>
      <c r="C35" s="44">
        <f t="shared" si="9"/>
        <v>1.2323919403474468</v>
      </c>
      <c r="D35" s="44">
        <f t="shared" si="14"/>
        <v>9.1594419350927065</v>
      </c>
      <c r="E35" s="44">
        <f t="shared" si="0"/>
        <v>3.0095906132072372</v>
      </c>
      <c r="F35" s="44">
        <f t="shared" si="1"/>
        <v>2.2571929599054279</v>
      </c>
      <c r="G35" s="44">
        <f t="shared" si="2"/>
        <v>0.7523976533018093</v>
      </c>
      <c r="H35" s="44">
        <f t="shared" si="3"/>
        <v>0.18318883870185412</v>
      </c>
      <c r="I35" s="44">
        <f t="shared" si="15"/>
        <v>0.5692088145999552</v>
      </c>
      <c r="J35" s="100">
        <f t="shared" si="16"/>
        <v>6.4023176920443667E-2</v>
      </c>
      <c r="K35" s="100">
        <f t="shared" si="17"/>
        <v>4.0232475965329244E-2</v>
      </c>
      <c r="L35" s="44">
        <f t="shared" si="18"/>
        <v>3.0434178970713042</v>
      </c>
      <c r="M35" s="100">
        <f t="shared" si="19"/>
        <v>9.8573383658120517E-2</v>
      </c>
      <c r="N35" s="44"/>
      <c r="O35" s="44"/>
      <c r="P35" s="40">
        <f t="shared" si="20"/>
        <v>2.4420726188445756</v>
      </c>
      <c r="Q35" s="101">
        <f t="shared" si="13"/>
        <v>2.9933144520127946E-2</v>
      </c>
      <c r="S35" s="101"/>
    </row>
    <row r="36" spans="1:19">
      <c r="A36" s="44">
        <v>23</v>
      </c>
      <c r="B36" s="44">
        <f t="shared" si="8"/>
        <v>1.5459796707758806</v>
      </c>
      <c r="C36" s="44">
        <f t="shared" si="9"/>
        <v>1.2447158597509214</v>
      </c>
      <c r="D36" s="44">
        <f t="shared" si="14"/>
        <v>9.7286507496926617</v>
      </c>
      <c r="E36" s="44">
        <f t="shared" si="0"/>
        <v>3.129014568842686</v>
      </c>
      <c r="F36" s="44">
        <f t="shared" si="1"/>
        <v>2.3467609266320144</v>
      </c>
      <c r="G36" s="44">
        <f t="shared" si="2"/>
        <v>0.78225364221067151</v>
      </c>
      <c r="H36" s="44">
        <f t="shared" si="3"/>
        <v>0.19457301499385324</v>
      </c>
      <c r="I36" s="44">
        <f t="shared" si="15"/>
        <v>0.58768062721681824</v>
      </c>
      <c r="J36" s="100">
        <f t="shared" si="16"/>
        <v>6.2144486381767103E-2</v>
      </c>
      <c r="K36" s="100">
        <f t="shared" si="17"/>
        <v>3.9681129756110593E-2</v>
      </c>
      <c r="L36" s="44">
        <f t="shared" si="18"/>
        <v>3.1091740021175269</v>
      </c>
      <c r="M36" s="100">
        <f t="shared" si="19"/>
        <v>9.6488649331199439E-2</v>
      </c>
      <c r="N36" s="44"/>
      <c r="O36" s="44"/>
      <c r="P36" s="40">
        <f t="shared" si="20"/>
        <v>2.5138384349572194</v>
      </c>
      <c r="Q36" s="101">
        <f t="shared" si="13"/>
        <v>2.938725718426773E-2</v>
      </c>
      <c r="S36" s="101"/>
    </row>
    <row r="37" spans="1:19">
      <c r="A37" s="44">
        <v>24</v>
      </c>
      <c r="B37" s="44">
        <f t="shared" si="8"/>
        <v>1.5768992641913981</v>
      </c>
      <c r="C37" s="44">
        <f t="shared" si="9"/>
        <v>1.2571630183484306</v>
      </c>
      <c r="D37" s="44">
        <f t="shared" si="14"/>
        <v>10.31633137690948</v>
      </c>
      <c r="E37" s="44">
        <f t="shared" si="0"/>
        <v>3.2515801859482103</v>
      </c>
      <c r="F37" s="44">
        <f t="shared" si="1"/>
        <v>2.4386851394611577</v>
      </c>
      <c r="G37" s="44">
        <f t="shared" si="2"/>
        <v>0.81289504648705257</v>
      </c>
      <c r="H37" s="44">
        <f t="shared" si="3"/>
        <v>0.20632662753818959</v>
      </c>
      <c r="I37" s="44">
        <f t="shared" si="15"/>
        <v>0.60656841894886293</v>
      </c>
      <c r="J37" s="100">
        <f t="shared" si="16"/>
        <v>6.0407207775999484E-2</v>
      </c>
      <c r="K37" s="100">
        <f t="shared" si="17"/>
        <v>3.9170676393129433E-2</v>
      </c>
      <c r="L37" s="44">
        <f t="shared" si="18"/>
        <v>3.1727132000286438</v>
      </c>
      <c r="M37" s="100">
        <f t="shared" si="19"/>
        <v>9.4556293331931648E-2</v>
      </c>
      <c r="N37" s="44"/>
      <c r="O37" s="44"/>
      <c r="P37" s="40">
        <f t="shared" si="20"/>
        <v>2.5864427592054846</v>
      </c>
      <c r="Q37" s="101">
        <f t="shared" si="13"/>
        <v>2.8881857814979595E-2</v>
      </c>
      <c r="S37" s="101"/>
    </row>
    <row r="38" spans="1:19">
      <c r="A38" s="44">
        <v>25</v>
      </c>
      <c r="B38" s="44">
        <f t="shared" si="8"/>
        <v>1.6084372494752261</v>
      </c>
      <c r="C38" s="44">
        <f t="shared" si="9"/>
        <v>1.269734648531915</v>
      </c>
      <c r="D38" s="44">
        <f t="shared" si="14"/>
        <v>10.922899795858342</v>
      </c>
      <c r="E38" s="44">
        <f t="shared" si="0"/>
        <v>3.3774066177988118</v>
      </c>
      <c r="F38" s="44">
        <f t="shared" si="1"/>
        <v>2.5330549633491088</v>
      </c>
      <c r="G38" s="44">
        <f t="shared" si="2"/>
        <v>0.84435165444970295</v>
      </c>
      <c r="H38" s="44">
        <f t="shared" si="3"/>
        <v>0.21845799591716686</v>
      </c>
      <c r="I38" s="44">
        <f t="shared" si="15"/>
        <v>0.62589365853253609</v>
      </c>
      <c r="J38" s="100">
        <f t="shared" si="16"/>
        <v>5.8796911109942993E-2</v>
      </c>
      <c r="K38" s="100">
        <f t="shared" si="17"/>
        <v>3.869701027037984E-2</v>
      </c>
      <c r="L38" s="44">
        <f t="shared" si="18"/>
        <v>3.2341086022319763</v>
      </c>
      <c r="M38" s="100">
        <f t="shared" si="19"/>
        <v>9.2761263426020715E-2</v>
      </c>
      <c r="N38" s="44"/>
      <c r="O38" s="44"/>
      <c r="P38" s="40">
        <f t="shared" si="20"/>
        <v>2.6599310507150582</v>
      </c>
      <c r="Q38" s="101">
        <f t="shared" si="13"/>
        <v>2.8412881455821611E-2</v>
      </c>
      <c r="S38" s="101"/>
    </row>
    <row r="39" spans="1:19">
      <c r="A39" s="44">
        <v>26</v>
      </c>
      <c r="B39" s="44">
        <f t="shared" si="8"/>
        <v>1.6406059944647307</v>
      </c>
      <c r="C39" s="44">
        <f t="shared" si="9"/>
        <v>1.282431995017234</v>
      </c>
      <c r="D39" s="44">
        <f t="shared" si="14"/>
        <v>11.548793454390879</v>
      </c>
      <c r="E39" s="44">
        <f t="shared" si="0"/>
        <v>3.5066145565091209</v>
      </c>
      <c r="F39" s="44">
        <f t="shared" si="1"/>
        <v>2.6299609173818408</v>
      </c>
      <c r="G39" s="44">
        <f t="shared" si="2"/>
        <v>0.87665363912728023</v>
      </c>
      <c r="H39" s="44">
        <f t="shared" si="3"/>
        <v>0.23097586908781759</v>
      </c>
      <c r="I39" s="44">
        <f t="shared" si="15"/>
        <v>0.6456777700394627</v>
      </c>
      <c r="J39" s="100">
        <f t="shared" si="16"/>
        <v>5.7301052855017298E-2</v>
      </c>
      <c r="K39" s="100">
        <f t="shared" si="17"/>
        <v>3.8256554016738144E-2</v>
      </c>
      <c r="L39" s="44">
        <f t="shared" si="18"/>
        <v>3.2934311052104479</v>
      </c>
      <c r="M39" s="100">
        <f t="shared" si="19"/>
        <v>9.1090413133396997E-2</v>
      </c>
      <c r="N39" s="44"/>
      <c r="O39" s="44"/>
      <c r="P39" s="40">
        <f t="shared" si="20"/>
        <v>2.7343473729084535</v>
      </c>
      <c r="Q39" s="101">
        <f t="shared" si="13"/>
        <v>2.7976786155186353E-2</v>
      </c>
      <c r="S39" s="101"/>
    </row>
    <row r="40" spans="1:19">
      <c r="A40" s="44">
        <v>27</v>
      </c>
      <c r="B40" s="44">
        <f t="shared" si="8"/>
        <v>1.6734181143540252</v>
      </c>
      <c r="C40" s="44">
        <f t="shared" si="9"/>
        <v>1.2952563149674063</v>
      </c>
      <c r="D40" s="44">
        <f t="shared" si="14"/>
        <v>12.194471224430341</v>
      </c>
      <c r="E40" s="44">
        <f t="shared" si="0"/>
        <v>3.6393265089926032</v>
      </c>
      <c r="F40" s="44">
        <f t="shared" si="1"/>
        <v>2.7294948817444524</v>
      </c>
      <c r="G40" s="44">
        <f t="shared" si="2"/>
        <v>0.90983162724815081</v>
      </c>
      <c r="H40" s="44">
        <f t="shared" si="3"/>
        <v>0.24388942448860682</v>
      </c>
      <c r="I40" s="44">
        <f t="shared" si="15"/>
        <v>0.66594220275954397</v>
      </c>
      <c r="J40" s="100">
        <f t="shared" si="16"/>
        <v>5.5908677611164158E-2</v>
      </c>
      <c r="K40" s="100">
        <f t="shared" si="17"/>
        <v>3.7846176232040389E-2</v>
      </c>
      <c r="L40" s="44">
        <f t="shared" si="18"/>
        <v>3.3507494296811182</v>
      </c>
      <c r="M40" s="100">
        <f t="shared" si="19"/>
        <v>8.9532209523810968E-2</v>
      </c>
      <c r="N40" s="44"/>
      <c r="O40" s="44"/>
      <c r="P40" s="40">
        <f t="shared" si="20"/>
        <v>2.8097346192704591</v>
      </c>
      <c r="Q40" s="101">
        <f t="shared" si="13"/>
        <v>2.7570471516871729E-2</v>
      </c>
      <c r="S40" s="101"/>
    </row>
    <row r="41" spans="1:19">
      <c r="A41" s="44">
        <v>28</v>
      </c>
      <c r="B41" s="44">
        <f t="shared" si="8"/>
        <v>1.7068864766411058</v>
      </c>
      <c r="C41" s="44">
        <f t="shared" si="9"/>
        <v>1.3082088781170804</v>
      </c>
      <c r="D41" s="44">
        <f t="shared" si="14"/>
        <v>12.860413427189885</v>
      </c>
      <c r="E41" s="44">
        <f t="shared" si="0"/>
        <v>3.7756670497127351</v>
      </c>
      <c r="F41" s="44">
        <f t="shared" si="1"/>
        <v>2.8317502872845512</v>
      </c>
      <c r="G41" s="44">
        <f t="shared" si="2"/>
        <v>0.94391676242818379</v>
      </c>
      <c r="H41" s="44">
        <f t="shared" si="3"/>
        <v>0.25720826854379769</v>
      </c>
      <c r="I41" s="44">
        <f t="shared" si="15"/>
        <v>0.68670849388438615</v>
      </c>
      <c r="J41" s="100">
        <f t="shared" si="16"/>
        <v>5.4610174603175778E-2</v>
      </c>
      <c r="K41" s="100">
        <f t="shared" si="17"/>
        <v>3.7463124120147205E-2</v>
      </c>
      <c r="L41" s="44">
        <f t="shared" si="18"/>
        <v>3.4061301639847574</v>
      </c>
      <c r="M41" s="100">
        <f t="shared" si="19"/>
        <v>8.8076493133496844E-2</v>
      </c>
      <c r="N41" s="44"/>
      <c r="O41" s="44"/>
      <c r="P41" s="40">
        <f t="shared" si="20"/>
        <v>2.8861347089671909</v>
      </c>
      <c r="Q41" s="101">
        <f t="shared" si="13"/>
        <v>2.7191212000145744E-2</v>
      </c>
      <c r="S41" s="101"/>
    </row>
    <row r="42" spans="1:19">
      <c r="A42" s="44">
        <v>29</v>
      </c>
      <c r="B42" s="44">
        <f t="shared" si="8"/>
        <v>1.7410242061739281</v>
      </c>
      <c r="C42" s="44">
        <f t="shared" si="9"/>
        <v>1.3212909668982513</v>
      </c>
      <c r="D42" s="44">
        <f t="shared" si="14"/>
        <v>13.547121921074272</v>
      </c>
      <c r="E42" s="44">
        <f t="shared" si="0"/>
        <v>3.9157630546442324</v>
      </c>
      <c r="F42" s="44">
        <f t="shared" si="1"/>
        <v>2.9368222909831743</v>
      </c>
      <c r="G42" s="44">
        <f t="shared" si="2"/>
        <v>0.97894076366105809</v>
      </c>
      <c r="H42" s="44">
        <f t="shared" si="3"/>
        <v>0.27094243842148547</v>
      </c>
      <c r="I42" s="44">
        <f t="shared" si="15"/>
        <v>0.70799832523957262</v>
      </c>
      <c r="J42" s="100">
        <f t="shared" si="16"/>
        <v>5.339707761124745E-2</v>
      </c>
      <c r="K42" s="100">
        <f t="shared" si="17"/>
        <v>3.7104967966430237E-2</v>
      </c>
      <c r="L42" s="44">
        <f t="shared" si="18"/>
        <v>3.4596378105684686</v>
      </c>
      <c r="M42" s="100">
        <f t="shared" si="19"/>
        <v>8.6714279478494208E-2</v>
      </c>
      <c r="N42" s="44"/>
      <c r="O42" s="44"/>
      <c r="P42" s="40">
        <f t="shared" si="20"/>
        <v>2.9635887573170501</v>
      </c>
      <c r="Q42" s="101">
        <f t="shared" si="13"/>
        <v>2.683660194696048E-2</v>
      </c>
      <c r="S42" s="101"/>
    </row>
    <row r="43" spans="1:19">
      <c r="A43" s="44">
        <v>30</v>
      </c>
      <c r="B43" s="44">
        <f t="shared" si="8"/>
        <v>1.7758446902974065</v>
      </c>
      <c r="C43" s="44">
        <f t="shared" si="9"/>
        <v>1.3345038765672339</v>
      </c>
      <c r="D43" s="44">
        <f t="shared" si="14"/>
        <v>14.255120246313844</v>
      </c>
      <c r="E43" s="44">
        <f t="shared" si="0"/>
        <v>4.0597439200451184</v>
      </c>
      <c r="F43" s="44">
        <f t="shared" si="1"/>
        <v>3.0448079400338388</v>
      </c>
      <c r="G43" s="44">
        <f t="shared" si="2"/>
        <v>1.0149359800112796</v>
      </c>
      <c r="H43" s="44">
        <f t="shared" si="3"/>
        <v>0.28510240492627686</v>
      </c>
      <c r="I43" s="44">
        <f t="shared" si="15"/>
        <v>0.72983357508500268</v>
      </c>
      <c r="J43" s="100">
        <f t="shared" si="16"/>
        <v>5.2261899565411794E-2</v>
      </c>
      <c r="K43" s="100">
        <f t="shared" si="17"/>
        <v>3.6769555101174904E-2</v>
      </c>
      <c r="L43" s="44">
        <f t="shared" si="18"/>
        <v>3.5113348346748476</v>
      </c>
      <c r="M43" s="100">
        <f t="shared" si="19"/>
        <v>8.5437593999143691E-2</v>
      </c>
      <c r="N43" s="44"/>
      <c r="O43" s="44"/>
      <c r="P43" s="40">
        <f t="shared" si="20"/>
        <v>3.0421372251746948</v>
      </c>
      <c r="Q43" s="101">
        <f t="shared" si="13"/>
        <v>2.6504510001163238E-2</v>
      </c>
      <c r="S43" s="101"/>
    </row>
    <row r="44" spans="1:19">
      <c r="A44" s="44">
        <v>31</v>
      </c>
      <c r="B44" s="44">
        <f t="shared" si="8"/>
        <v>1.8113615841033548</v>
      </c>
      <c r="C44" s="44">
        <f t="shared" si="9"/>
        <v>1.3478489153329063</v>
      </c>
      <c r="D44" s="44">
        <f t="shared" si="14"/>
        <v>14.984953821398847</v>
      </c>
      <c r="E44" s="44">
        <f t="shared" si="0"/>
        <v>4.2077417689960486</v>
      </c>
      <c r="F44" s="44">
        <f t="shared" si="1"/>
        <v>3.1558063267470366</v>
      </c>
      <c r="G44" s="44">
        <f t="shared" si="2"/>
        <v>1.0519354422490121</v>
      </c>
      <c r="H44" s="44">
        <f t="shared" si="3"/>
        <v>0.29969907642797694</v>
      </c>
      <c r="I44" s="44">
        <f t="shared" si="15"/>
        <v>0.75223636582103515</v>
      </c>
      <c r="J44" s="100">
        <f t="shared" si="16"/>
        <v>5.1197994999286428E-2</v>
      </c>
      <c r="K44" s="100">
        <f t="shared" si="17"/>
        <v>3.6454971511918753E-2</v>
      </c>
      <c r="L44" s="44">
        <f t="shared" si="18"/>
        <v>3.5612817145321634</v>
      </c>
      <c r="M44" s="100">
        <f t="shared" si="19"/>
        <v>8.4239334050945816E-2</v>
      </c>
      <c r="N44" s="44"/>
      <c r="O44" s="44"/>
      <c r="P44" s="40">
        <f t="shared" si="20"/>
        <v>3.1218200505483029</v>
      </c>
      <c r="Q44" s="101">
        <f t="shared" si="13"/>
        <v>2.6193041100909698E-2</v>
      </c>
      <c r="S44" s="101"/>
    </row>
    <row r="45" spans="1:19">
      <c r="A45" s="44">
        <v>32</v>
      </c>
      <c r="B45" s="44">
        <f t="shared" si="8"/>
        <v>1.8475888157854219</v>
      </c>
      <c r="C45" s="44">
        <f t="shared" si="9"/>
        <v>1.3613274044862353</v>
      </c>
      <c r="D45" s="44">
        <f t="shared" si="14"/>
        <v>15.737190187219882</v>
      </c>
      <c r="E45" s="44">
        <f t="shared" si="0"/>
        <v>4.3598916481518906</v>
      </c>
      <c r="F45" s="44">
        <f t="shared" si="1"/>
        <v>3.2699187361139179</v>
      </c>
      <c r="G45" s="44">
        <f t="shared" si="2"/>
        <v>1.0899729120379726</v>
      </c>
      <c r="H45" s="44">
        <f t="shared" si="3"/>
        <v>0.31474380374439764</v>
      </c>
      <c r="I45" s="44">
        <f t="shared" si="15"/>
        <v>0.77522910829357494</v>
      </c>
      <c r="J45" s="100">
        <f t="shared" si="16"/>
        <v>5.0199445042454875E-2</v>
      </c>
      <c r="K45" s="100">
        <f t="shared" si="17"/>
        <v>3.615950966309997E-2</v>
      </c>
      <c r="L45" s="44">
        <f t="shared" si="18"/>
        <v>3.6095369924825316</v>
      </c>
      <c r="M45" s="100">
        <f t="shared" si="19"/>
        <v>8.3113152912631313E-2</v>
      </c>
      <c r="N45" s="44"/>
      <c r="O45" s="44"/>
      <c r="P45" s="40">
        <f t="shared" si="20"/>
        <v>3.2026767651807559</v>
      </c>
      <c r="Q45" s="101">
        <f t="shared" si="13"/>
        <v>2.5900504616930661E-2</v>
      </c>
      <c r="S45" s="101"/>
    </row>
    <row r="46" spans="1:19">
      <c r="A46" s="44">
        <v>33</v>
      </c>
      <c r="B46" s="44">
        <f t="shared" si="8"/>
        <v>1.8845405921011305</v>
      </c>
      <c r="C46" s="44">
        <f t="shared" si="9"/>
        <v>1.3749406785310978</v>
      </c>
      <c r="D46" s="44">
        <f t="shared" si="14"/>
        <v>16.512419295513457</v>
      </c>
      <c r="E46" s="44">
        <f t="shared" si="0"/>
        <v>4.5163317167421253</v>
      </c>
      <c r="F46" s="44">
        <f t="shared" si="1"/>
        <v>3.3872487875565938</v>
      </c>
      <c r="G46" s="44">
        <f t="shared" si="2"/>
        <v>1.1290829291855313</v>
      </c>
      <c r="H46" s="44">
        <f t="shared" si="3"/>
        <v>0.33024838591026912</v>
      </c>
      <c r="I46" s="44">
        <f t="shared" si="15"/>
        <v>0.79883454327526215</v>
      </c>
      <c r="J46" s="100">
        <f t="shared" si="16"/>
        <v>4.9260960760526065E-2</v>
      </c>
      <c r="K46" s="100">
        <f t="shared" si="17"/>
        <v>3.5881641383576114E-2</v>
      </c>
      <c r="L46" s="44">
        <f t="shared" si="18"/>
        <v>3.6561573265979583</v>
      </c>
      <c r="M46" s="100">
        <f t="shared" si="19"/>
        <v>8.205336182268419E-2</v>
      </c>
      <c r="N46" s="44"/>
      <c r="O46" s="44"/>
      <c r="P46" s="40">
        <f t="shared" si="20"/>
        <v>3.2847465983529536</v>
      </c>
      <c r="Q46" s="101">
        <f t="shared" si="13"/>
        <v>2.5625387508491099E-2</v>
      </c>
      <c r="S46" s="101"/>
    </row>
    <row r="47" spans="1:19">
      <c r="A47" s="44">
        <v>34</v>
      </c>
      <c r="B47" s="44">
        <f t="shared" si="8"/>
        <v>1.9222314039431532</v>
      </c>
      <c r="C47" s="44">
        <f t="shared" si="9"/>
        <v>1.3886900853164088</v>
      </c>
      <c r="D47" s="44">
        <f t="shared" si="14"/>
        <v>17.311253838788719</v>
      </c>
      <c r="E47" s="44">
        <f t="shared" si="0"/>
        <v>4.6772034295285412</v>
      </c>
      <c r="F47" s="44">
        <f t="shared" si="1"/>
        <v>3.5079025721464059</v>
      </c>
      <c r="G47" s="44">
        <f t="shared" si="2"/>
        <v>1.1693008573821353</v>
      </c>
      <c r="H47" s="44">
        <f t="shared" si="3"/>
        <v>0.34622507677577441</v>
      </c>
      <c r="I47" s="44">
        <f t="shared" si="15"/>
        <v>0.82307578060636089</v>
      </c>
      <c r="J47" s="100">
        <f t="shared" si="16"/>
        <v>4.8377801518903502E-2</v>
      </c>
      <c r="K47" s="100">
        <f t="shared" si="17"/>
        <v>3.5619994915356078E-2</v>
      </c>
      <c r="L47" s="44">
        <f t="shared" si="18"/>
        <v>3.7011975424241235</v>
      </c>
      <c r="M47" s="100">
        <f t="shared" si="19"/>
        <v>8.1054846860055207E-2</v>
      </c>
      <c r="N47" s="44"/>
      <c r="O47" s="44"/>
      <c r="P47" s="40">
        <f t="shared" si="20"/>
        <v>3.3680685697866521</v>
      </c>
      <c r="Q47" s="101">
        <f t="shared" si="13"/>
        <v>2.5366331599362368E-2</v>
      </c>
      <c r="S47" s="101"/>
    </row>
    <row r="48" spans="1:19">
      <c r="A48" s="44">
        <v>35</v>
      </c>
      <c r="B48" s="44">
        <f t="shared" si="8"/>
        <v>1.9606760320220162</v>
      </c>
      <c r="C48" s="44">
        <f t="shared" si="9"/>
        <v>1.4025769861695729</v>
      </c>
      <c r="D48" s="44">
        <f t="shared" si="14"/>
        <v>18.134329619395078</v>
      </c>
      <c r="E48" s="44">
        <f t="shared" si="0"/>
        <v>4.8426517151637851</v>
      </c>
      <c r="F48" s="44">
        <f t="shared" si="1"/>
        <v>3.6319887863728386</v>
      </c>
      <c r="G48" s="44">
        <f t="shared" si="2"/>
        <v>1.2106629287909463</v>
      </c>
      <c r="H48" s="44">
        <f t="shared" si="3"/>
        <v>0.36268659238790157</v>
      </c>
      <c r="I48" s="44">
        <f t="shared" si="15"/>
        <v>0.84797633640304471</v>
      </c>
      <c r="J48" s="100">
        <f t="shared" si="16"/>
        <v>4.7545705716712579E-2</v>
      </c>
      <c r="K48" s="100">
        <f t="shared" si="17"/>
        <v>3.5373335397541394E-2</v>
      </c>
      <c r="L48" s="44">
        <f t="shared" si="18"/>
        <v>3.7447106845638083</v>
      </c>
      <c r="M48" s="100">
        <f t="shared" si="19"/>
        <v>8.0112998111346645E-2</v>
      </c>
      <c r="N48" s="44"/>
      <c r="O48" s="44"/>
      <c r="P48" s="40">
        <f t="shared" si="20"/>
        <v>3.4526815732154783</v>
      </c>
      <c r="Q48" s="101">
        <f t="shared" si="13"/>
        <v>2.5122114254991522E-2</v>
      </c>
      <c r="S48" s="101"/>
    </row>
    <row r="49" spans="1:19">
      <c r="A49" s="44">
        <v>36</v>
      </c>
      <c r="B49" s="44">
        <f t="shared" si="8"/>
        <v>1.9998895526624565</v>
      </c>
      <c r="C49" s="44">
        <f t="shared" si="9"/>
        <v>1.4166027560312686</v>
      </c>
      <c r="D49" s="44">
        <f t="shared" si="14"/>
        <v>18.982305955798122</v>
      </c>
      <c r="E49" s="44">
        <f t="shared" si="0"/>
        <v>5.0128251511792428</v>
      </c>
      <c r="F49" s="44">
        <f t="shared" si="1"/>
        <v>3.7596188633844321</v>
      </c>
      <c r="G49" s="44">
        <f t="shared" si="2"/>
        <v>1.2532062877948107</v>
      </c>
      <c r="H49" s="44">
        <f t="shared" si="3"/>
        <v>0.37964611911596247</v>
      </c>
      <c r="I49" s="44">
        <f t="shared" si="15"/>
        <v>0.87356016867884823</v>
      </c>
      <c r="J49" s="100">
        <f t="shared" si="16"/>
        <v>4.676083175945546E-2</v>
      </c>
      <c r="K49" s="100">
        <f t="shared" si="17"/>
        <v>3.514054820060545E-2</v>
      </c>
      <c r="L49" s="44">
        <f t="shared" si="18"/>
        <v>3.7867480678699965</v>
      </c>
      <c r="M49" s="100">
        <f t="shared" si="19"/>
        <v>7.9223649058002069E-2</v>
      </c>
      <c r="N49" s="44"/>
      <c r="O49" s="44"/>
      <c r="P49" s="40">
        <f t="shared" si="20"/>
        <v>3.5386244519409891</v>
      </c>
      <c r="Q49" s="101">
        <f t="shared" si="13"/>
        <v>2.489163188178754E-2</v>
      </c>
      <c r="S49" s="101"/>
    </row>
    <row r="50" spans="1:19">
      <c r="A50" s="44">
        <v>37</v>
      </c>
      <c r="B50" s="44">
        <f t="shared" si="8"/>
        <v>2.0398873437157055</v>
      </c>
      <c r="C50" s="44">
        <f t="shared" si="9"/>
        <v>1.4307687835915812</v>
      </c>
      <c r="D50" s="44">
        <f t="shared" si="14"/>
        <v>19.855866124476972</v>
      </c>
      <c r="E50" s="44">
        <f t="shared" si="0"/>
        <v>5.1878761366555217</v>
      </c>
      <c r="F50" s="44">
        <f t="shared" si="1"/>
        <v>3.8909071024916413</v>
      </c>
      <c r="G50" s="44">
        <f t="shared" si="2"/>
        <v>1.2969690341638804</v>
      </c>
      <c r="H50" s="44">
        <f t="shared" si="3"/>
        <v>0.39711732248953946</v>
      </c>
      <c r="I50" s="44">
        <f t="shared" si="15"/>
        <v>0.89985171167434097</v>
      </c>
      <c r="J50" s="100">
        <f t="shared" si="16"/>
        <v>4.6019707548335141E-2</v>
      </c>
      <c r="K50" s="100">
        <f t="shared" si="17"/>
        <v>3.4920624637206639E-2</v>
      </c>
      <c r="L50" s="44">
        <f t="shared" si="18"/>
        <v>3.8273593280655098</v>
      </c>
      <c r="M50" s="100">
        <f t="shared" si="19"/>
        <v>7.8383024504686677E-2</v>
      </c>
      <c r="N50" s="44"/>
      <c r="O50" s="44"/>
      <c r="P50" s="40">
        <f t="shared" si="20"/>
        <v>3.6259360674844174</v>
      </c>
      <c r="Q50" s="101">
        <f t="shared" si="13"/>
        <v>2.4673885779412569E-2</v>
      </c>
      <c r="S50" s="101"/>
    </row>
    <row r="51" spans="1:19">
      <c r="A51" s="44">
        <v>38</v>
      </c>
      <c r="B51" s="44">
        <f t="shared" si="8"/>
        <v>2.0806850905900198</v>
      </c>
      <c r="C51" s="44">
        <f t="shared" si="9"/>
        <v>1.4450764714274971</v>
      </c>
      <c r="D51" s="44">
        <f t="shared" si="14"/>
        <v>20.755717836151312</v>
      </c>
      <c r="E51" s="44">
        <f t="shared" si="0"/>
        <v>5.36796106348522</v>
      </c>
      <c r="F51" s="44">
        <f t="shared" si="1"/>
        <v>4.0259707976139154</v>
      </c>
      <c r="G51" s="44">
        <f t="shared" si="2"/>
        <v>1.341990265871305</v>
      </c>
      <c r="H51" s="44">
        <f t="shared" si="3"/>
        <v>0.41511435672302627</v>
      </c>
      <c r="I51" s="44">
        <f t="shared" si="15"/>
        <v>0.92687590914827878</v>
      </c>
      <c r="J51" s="100">
        <f t="shared" si="16"/>
        <v>4.5319187087238887E-2</v>
      </c>
      <c r="K51" s="100">
        <f t="shared" si="17"/>
        <v>3.4712649663566165E-2</v>
      </c>
      <c r="L51" s="44">
        <f t="shared" si="18"/>
        <v>3.866592471644231</v>
      </c>
      <c r="M51" s="100">
        <f t="shared" si="19"/>
        <v>7.7587695677798676E-2</v>
      </c>
      <c r="N51" s="44"/>
      <c r="O51" s="44"/>
      <c r="P51" s="40">
        <f t="shared" si="20"/>
        <v>3.7146553622747454</v>
      </c>
      <c r="Q51" s="101">
        <f t="shared" si="13"/>
        <v>2.4467969963926892E-2</v>
      </c>
      <c r="S51" s="101"/>
    </row>
    <row r="52" spans="1:19">
      <c r="A52" s="44">
        <v>39</v>
      </c>
      <c r="B52" s="44">
        <f t="shared" si="8"/>
        <v>2.1222987924018204</v>
      </c>
      <c r="C52" s="44">
        <f t="shared" si="9"/>
        <v>1.4595272361417722</v>
      </c>
      <c r="D52" s="44">
        <f t="shared" si="14"/>
        <v>21.682593745299592</v>
      </c>
      <c r="E52" s="44">
        <f t="shared" si="0"/>
        <v>5.5532404870197984</v>
      </c>
      <c r="F52" s="44">
        <f t="shared" si="1"/>
        <v>4.1649303652648486</v>
      </c>
      <c r="G52" s="44">
        <f t="shared" si="2"/>
        <v>1.3883101217549496</v>
      </c>
      <c r="H52" s="44">
        <f t="shared" si="3"/>
        <v>0.43365187490599183</v>
      </c>
      <c r="I52" s="44">
        <f t="shared" si="15"/>
        <v>0.95465824684895773</v>
      </c>
      <c r="J52" s="100">
        <f t="shared" si="16"/>
        <v>4.465641306483225E-2</v>
      </c>
      <c r="K52" s="100">
        <f t="shared" si="17"/>
        <v>3.4515791255438681E-2</v>
      </c>
      <c r="L52" s="44">
        <f t="shared" si="18"/>
        <v>3.9044939249399895</v>
      </c>
      <c r="M52" s="100">
        <f t="shared" si="19"/>
        <v>7.6834541368792336E-2</v>
      </c>
      <c r="N52" s="44"/>
      <c r="O52" s="44"/>
      <c r="P52" s="40">
        <f t="shared" si="20"/>
        <v>3.8048214171731845</v>
      </c>
      <c r="Q52" s="101">
        <f t="shared" si="13"/>
        <v>2.4273060648949157E-2</v>
      </c>
      <c r="S52" s="101"/>
    </row>
    <row r="53" spans="1:19">
      <c r="A53" s="44">
        <v>40</v>
      </c>
      <c r="B53" s="44">
        <f t="shared" si="8"/>
        <v>2.1647447682498568</v>
      </c>
      <c r="C53" s="44">
        <f t="shared" si="9"/>
        <v>1.4741225085031899</v>
      </c>
      <c r="D53" s="44">
        <f t="shared" si="14"/>
        <v>22.637251992148549</v>
      </c>
      <c r="E53" s="44">
        <f t="shared" si="0"/>
        <v>5.7438792967952477</v>
      </c>
      <c r="F53" s="44">
        <f t="shared" si="1"/>
        <v>4.3079094725964353</v>
      </c>
      <c r="G53" s="44">
        <f t="shared" si="2"/>
        <v>1.4359698241988119</v>
      </c>
      <c r="H53" s="44">
        <f t="shared" si="3"/>
        <v>0.45274503984297099</v>
      </c>
      <c r="I53" s="44">
        <f t="shared" si="15"/>
        <v>0.98322478435584093</v>
      </c>
      <c r="J53" s="100">
        <f t="shared" si="16"/>
        <v>4.4028784473993603E-2</v>
      </c>
      <c r="K53" s="100">
        <f t="shared" si="17"/>
        <v>3.4329291198724479E-2</v>
      </c>
      <c r="L53" s="44">
        <f t="shared" si="18"/>
        <v>3.9411085822744965</v>
      </c>
      <c r="M53" s="100">
        <f t="shared" si="19"/>
        <v>7.6120714194294975E-2</v>
      </c>
      <c r="N53" s="44"/>
      <c r="O53" s="44"/>
      <c r="P53" s="40">
        <f t="shared" si="20"/>
        <v>3.8964735045172931</v>
      </c>
      <c r="Q53" s="101">
        <f t="shared" si="13"/>
        <v>2.4088407127449928E-2</v>
      </c>
      <c r="S53" s="101"/>
    </row>
    <row r="54" spans="1:19">
      <c r="A54" s="44">
        <v>41</v>
      </c>
      <c r="B54" s="44">
        <f t="shared" si="8"/>
        <v>2.208039663614854</v>
      </c>
      <c r="C54" s="44">
        <f t="shared" si="9"/>
        <v>1.4888637335882218</v>
      </c>
      <c r="D54" s="44">
        <f t="shared" si="14"/>
        <v>23.62047677650439</v>
      </c>
      <c r="E54" s="44">
        <f t="shared" si="0"/>
        <v>5.9400468879508068</v>
      </c>
      <c r="F54" s="44">
        <f t="shared" si="1"/>
        <v>4.4550351659631051</v>
      </c>
      <c r="G54" s="44">
        <f t="shared" si="2"/>
        <v>1.4850117219877017</v>
      </c>
      <c r="H54" s="44">
        <f t="shared" si="3"/>
        <v>0.4724095355300878</v>
      </c>
      <c r="I54" s="44">
        <f t="shared" si="15"/>
        <v>1.012602186457614</v>
      </c>
      <c r="J54" s="100">
        <f t="shared" si="16"/>
        <v>4.3433928495245799E-2</v>
      </c>
      <c r="K54" s="100">
        <f t="shared" si="17"/>
        <v>3.4152457079836149E-2</v>
      </c>
      <c r="L54" s="44">
        <f t="shared" si="18"/>
        <v>3.9764798531166083</v>
      </c>
      <c r="M54" s="100">
        <f t="shared" si="19"/>
        <v>7.5443611204234262E-2</v>
      </c>
      <c r="N54" s="44"/>
      <c r="O54" s="44"/>
      <c r="P54" s="40">
        <f t="shared" si="20"/>
        <v>3.9896511372703354</v>
      </c>
      <c r="Q54" s="101">
        <f t="shared" si="13"/>
        <v>2.3913323841421932E-2</v>
      </c>
      <c r="S54" s="101"/>
    </row>
    <row r="55" spans="1:19">
      <c r="A55" s="44">
        <v>42</v>
      </c>
      <c r="B55" s="44">
        <f t="shared" si="8"/>
        <v>2.252200456887151</v>
      </c>
      <c r="C55" s="44">
        <f t="shared" si="9"/>
        <v>1.5037523709241041</v>
      </c>
      <c r="D55" s="44">
        <f t="shared" si="14"/>
        <v>24.633078962962003</v>
      </c>
      <c r="E55" s="44">
        <f t="shared" si="0"/>
        <v>6.1419173338885171</v>
      </c>
      <c r="F55" s="44">
        <f t="shared" si="1"/>
        <v>4.6064380004163876</v>
      </c>
      <c r="G55" s="44">
        <f t="shared" si="2"/>
        <v>1.5354793334721293</v>
      </c>
      <c r="H55" s="44">
        <f t="shared" si="3"/>
        <v>0.49266157925924009</v>
      </c>
      <c r="I55" s="44">
        <f t="shared" si="15"/>
        <v>1.0428177542128891</v>
      </c>
      <c r="J55" s="100">
        <f t="shared" si="16"/>
        <v>4.2869676003528527E-2</v>
      </c>
      <c r="K55" s="100">
        <f t="shared" si="17"/>
        <v>3.3984655297451941E-2</v>
      </c>
      <c r="L55" s="44">
        <f t="shared" si="18"/>
        <v>4.0106497082021981</v>
      </c>
      <c r="M55" s="100">
        <f t="shared" si="19"/>
        <v>7.4800848198352657E-2</v>
      </c>
      <c r="N55" s="44"/>
      <c r="O55" s="44"/>
      <c r="P55" s="40">
        <f t="shared" si="20"/>
        <v>4.0843941147797569</v>
      </c>
      <c r="Q55" s="101">
        <f t="shared" si="13"/>
        <v>2.3747183462823607E-2</v>
      </c>
      <c r="S55" s="101"/>
    </row>
    <row r="56" spans="1:19">
      <c r="A56" s="44">
        <v>43</v>
      </c>
      <c r="B56" s="44">
        <f t="shared" si="8"/>
        <v>2.2972444660248938</v>
      </c>
      <c r="C56" s="44">
        <f t="shared" si="9"/>
        <v>1.5187898946333451</v>
      </c>
      <c r="D56" s="44">
        <f t="shared" si="14"/>
        <v>25.675896717174894</v>
      </c>
      <c r="E56" s="44">
        <f t="shared" si="0"/>
        <v>6.3496695606661921</v>
      </c>
      <c r="F56" s="44">
        <f t="shared" si="1"/>
        <v>4.7622521704996439</v>
      </c>
      <c r="G56" s="44">
        <f t="shared" si="2"/>
        <v>1.587417390166548</v>
      </c>
      <c r="H56" s="44">
        <f t="shared" si="3"/>
        <v>0.51351793434349791</v>
      </c>
      <c r="I56" s="44">
        <f t="shared" si="15"/>
        <v>1.0738994558230501</v>
      </c>
      <c r="J56" s="100">
        <f t="shared" si="16"/>
        <v>4.2334040165293942E-2</v>
      </c>
      <c r="K56" s="100">
        <f t="shared" si="17"/>
        <v>3.3825304946939874E-2</v>
      </c>
      <c r="L56" s="44">
        <f t="shared" si="18"/>
        <v>4.0436587245779512</v>
      </c>
      <c r="M56" s="100">
        <f t="shared" si="19"/>
        <v>7.4190237216745308E-2</v>
      </c>
      <c r="N56" s="44"/>
      <c r="O56" s="44"/>
      <c r="P56" s="40">
        <f t="shared" si="20"/>
        <v>4.1807425655798705</v>
      </c>
      <c r="Q56" s="101">
        <f t="shared" si="13"/>
        <v>2.3589410838554439E-2</v>
      </c>
      <c r="S56" s="101"/>
    </row>
    <row r="57" spans="1:19">
      <c r="A57" s="44">
        <v>44</v>
      </c>
      <c r="B57" s="44">
        <f t="shared" si="8"/>
        <v>2.343189355345392</v>
      </c>
      <c r="C57" s="44">
        <f t="shared" si="9"/>
        <v>1.5339777935796786</v>
      </c>
      <c r="D57" s="44">
        <f t="shared" si="14"/>
        <v>26.749796172997943</v>
      </c>
      <c r="E57" s="44">
        <f t="shared" si="0"/>
        <v>6.5634875235704673</v>
      </c>
      <c r="F57" s="44">
        <f t="shared" si="1"/>
        <v>4.9226156426778509</v>
      </c>
      <c r="G57" s="44">
        <f t="shared" si="2"/>
        <v>1.6408718808926168</v>
      </c>
      <c r="H57" s="44">
        <f t="shared" si="3"/>
        <v>0.53499592345995883</v>
      </c>
      <c r="I57" s="44">
        <f t="shared" si="15"/>
        <v>1.105875957432658</v>
      </c>
      <c r="J57" s="100">
        <f t="shared" si="16"/>
        <v>4.1825197680621068E-2</v>
      </c>
      <c r="K57" s="100">
        <f t="shared" si="17"/>
        <v>3.3673872452953578E-2</v>
      </c>
      <c r="L57" s="44">
        <f t="shared" si="18"/>
        <v>4.0755461295439988</v>
      </c>
      <c r="M57" s="100">
        <f t="shared" si="19"/>
        <v>7.3609766756232528E-2</v>
      </c>
      <c r="N57" s="44"/>
      <c r="O57" s="44"/>
      <c r="P57" s="40">
        <f t="shared" si="20"/>
        <v>4.2787369876156838</v>
      </c>
      <c r="Q57" s="101">
        <f t="shared" si="13"/>
        <v>2.3439477676191589E-2</v>
      </c>
      <c r="S57" s="101"/>
    </row>
    <row r="58" spans="1:19">
      <c r="A58" s="44">
        <v>45</v>
      </c>
      <c r="B58" s="44">
        <f t="shared" si="8"/>
        <v>2.3900531424522997</v>
      </c>
      <c r="C58" s="44">
        <f t="shared" si="9"/>
        <v>1.5493175715154754</v>
      </c>
      <c r="D58" s="44">
        <f t="shared" si="14"/>
        <v>27.855672130430602</v>
      </c>
      <c r="E58" s="44">
        <f t="shared" si="0"/>
        <v>6.7835603862785101</v>
      </c>
      <c r="F58" s="44">
        <f t="shared" si="1"/>
        <v>5.0876702897088828</v>
      </c>
      <c r="G58" s="44">
        <f t="shared" si="2"/>
        <v>1.6958900965696275</v>
      </c>
      <c r="H58" s="44">
        <f t="shared" si="3"/>
        <v>0.55711344260861206</v>
      </c>
      <c r="I58" s="44">
        <f t="shared" si="15"/>
        <v>1.1387766539610156</v>
      </c>
      <c r="J58" s="100">
        <f t="shared" si="16"/>
        <v>4.1341472296860471E-2</v>
      </c>
      <c r="K58" s="100">
        <f t="shared" si="17"/>
        <v>3.3529866845595148E-2</v>
      </c>
      <c r="L58" s="44">
        <f t="shared" si="18"/>
        <v>4.1063498434798102</v>
      </c>
      <c r="M58" s="100">
        <f t="shared" si="19"/>
        <v>7.3057584335233711E-2</v>
      </c>
      <c r="N58" s="44"/>
      <c r="O58" s="44"/>
      <c r="P58" s="40">
        <f t="shared" si="20"/>
        <v>4.378418286215604</v>
      </c>
      <c r="Q58" s="101">
        <f t="shared" si="13"/>
        <v>2.3296897866925778E-2</v>
      </c>
      <c r="S58" s="101"/>
    </row>
    <row r="59" spans="1:19">
      <c r="A59" s="44">
        <v>46</v>
      </c>
      <c r="B59" s="44">
        <f t="shared" si="8"/>
        <v>2.4378542053013459</v>
      </c>
      <c r="C59" s="44">
        <f t="shared" si="9"/>
        <v>1.5648107472306303</v>
      </c>
      <c r="D59" s="44">
        <f t="shared" si="14"/>
        <v>28.994448784391619</v>
      </c>
      <c r="E59" s="44">
        <f t="shared" si="0"/>
        <v>7.0100827029854029</v>
      </c>
      <c r="F59" s="44">
        <f t="shared" si="1"/>
        <v>5.257562027239052</v>
      </c>
      <c r="G59" s="44">
        <f t="shared" si="2"/>
        <v>1.7525206757463507</v>
      </c>
      <c r="H59" s="44">
        <f t="shared" si="3"/>
        <v>0.57988897568783238</v>
      </c>
      <c r="I59" s="44">
        <f t="shared" si="15"/>
        <v>1.1726317000585182</v>
      </c>
      <c r="J59" s="100">
        <f t="shared" si="16"/>
        <v>4.0881320279361477E-2</v>
      </c>
      <c r="K59" s="100">
        <f t="shared" si="17"/>
        <v>3.3392835591924894E-2</v>
      </c>
      <c r="L59" s="44">
        <f t="shared" si="18"/>
        <v>4.136106521545555</v>
      </c>
      <c r="M59" s="100">
        <f t="shared" si="19"/>
        <v>7.253198108831535E-2</v>
      </c>
      <c r="N59" s="44"/>
      <c r="O59" s="44"/>
      <c r="P59" s="40">
        <f t="shared" si="20"/>
        <v>4.4798278100988904</v>
      </c>
      <c r="Q59" s="101">
        <f t="shared" si="13"/>
        <v>2.3161223358341497E-2</v>
      </c>
      <c r="S59" s="101"/>
    </row>
    <row r="60" spans="1:19">
      <c r="A60" s="44">
        <v>47</v>
      </c>
      <c r="B60" s="44">
        <f t="shared" si="8"/>
        <v>2.4866112894073726</v>
      </c>
      <c r="C60" s="44">
        <f t="shared" si="9"/>
        <v>1.5804588547029366</v>
      </c>
      <c r="D60" s="44">
        <f t="shared" si="14"/>
        <v>30.167080484450135</v>
      </c>
      <c r="E60" s="44">
        <f t="shared" si="0"/>
        <v>7.2432546038478192</v>
      </c>
      <c r="F60" s="44">
        <f t="shared" si="1"/>
        <v>5.4324409528858641</v>
      </c>
      <c r="G60" s="44">
        <f t="shared" si="2"/>
        <v>1.8108136509619548</v>
      </c>
      <c r="H60" s="44">
        <f t="shared" si="3"/>
        <v>0.60334160968900274</v>
      </c>
      <c r="I60" s="44">
        <f t="shared" si="15"/>
        <v>1.207472041272952</v>
      </c>
      <c r="J60" s="100">
        <f t="shared" si="16"/>
        <v>4.0443317573596073E-2</v>
      </c>
      <c r="K60" s="100">
        <f t="shared" si="17"/>
        <v>3.3262360908112354E-2</v>
      </c>
      <c r="L60" s="44">
        <f t="shared" si="18"/>
        <v>4.1648515942577164</v>
      </c>
      <c r="M60" s="100">
        <f t="shared" si="19"/>
        <v>7.2031378120081063E-2</v>
      </c>
      <c r="N60" s="44"/>
      <c r="O60" s="44"/>
      <c r="P60" s="40">
        <f t="shared" si="20"/>
        <v>4.5830073856679192</v>
      </c>
      <c r="Q60" s="101">
        <f t="shared" si="13"/>
        <v>2.3032040503081556E-2</v>
      </c>
      <c r="S60" s="101"/>
    </row>
    <row r="61" spans="1:19">
      <c r="A61" s="44">
        <v>48</v>
      </c>
      <c r="B61" s="44">
        <f t="shared" si="8"/>
        <v>2.53634351519552</v>
      </c>
      <c r="C61" s="44">
        <f t="shared" si="9"/>
        <v>1.5962634432499661</v>
      </c>
      <c r="D61" s="44">
        <f t="shared" si="14"/>
        <v>31.374552525723086</v>
      </c>
      <c r="E61" s="44">
        <f t="shared" si="0"/>
        <v>7.483281984073197</v>
      </c>
      <c r="F61" s="44">
        <f t="shared" si="1"/>
        <v>5.6124614880548975</v>
      </c>
      <c r="G61" s="44">
        <f t="shared" si="2"/>
        <v>1.8708204960182993</v>
      </c>
      <c r="H61" s="44">
        <f t="shared" si="3"/>
        <v>0.62749105051446175</v>
      </c>
      <c r="I61" s="44">
        <f t="shared" si="15"/>
        <v>1.2433294455038375</v>
      </c>
      <c r="J61" s="100">
        <f t="shared" si="16"/>
        <v>4.0026148433400827E-2</v>
      </c>
      <c r="K61" s="100">
        <f t="shared" si="17"/>
        <v>3.3138056488842542E-2</v>
      </c>
      <c r="L61" s="44">
        <f t="shared" si="18"/>
        <v>4.192619306942877</v>
      </c>
      <c r="M61" s="100">
        <f t="shared" si="19"/>
        <v>7.1554314388431878E-2</v>
      </c>
      <c r="N61" s="44"/>
      <c r="O61" s="44"/>
      <c r="P61" s="40">
        <f t="shared" si="20"/>
        <v>4.6879993498049162</v>
      </c>
      <c r="Q61" s="101">
        <f t="shared" si="13"/>
        <v>2.290896682063619E-2</v>
      </c>
      <c r="S61" s="101"/>
    </row>
    <row r="62" spans="1:19">
      <c r="A62" s="44">
        <v>49</v>
      </c>
      <c r="B62" s="44">
        <f t="shared" si="8"/>
        <v>2.5870703854994304</v>
      </c>
      <c r="C62" s="44">
        <f t="shared" si="9"/>
        <v>1.6122260776824657</v>
      </c>
      <c r="D62" s="44">
        <f t="shared" si="14"/>
        <v>32.617881971226922</v>
      </c>
      <c r="E62" s="44">
        <f t="shared" si="0"/>
        <v>7.7303766969655019</v>
      </c>
      <c r="F62" s="44">
        <f t="shared" si="1"/>
        <v>5.7977825227241269</v>
      </c>
      <c r="G62" s="44">
        <f t="shared" si="2"/>
        <v>1.9325941742413755</v>
      </c>
      <c r="H62" s="44">
        <f t="shared" si="3"/>
        <v>0.65235763942453839</v>
      </c>
      <c r="I62" s="44">
        <f t="shared" si="15"/>
        <v>1.280236534816837</v>
      </c>
      <c r="J62" s="100">
        <f t="shared" si="16"/>
        <v>3.9628595323693172E-2</v>
      </c>
      <c r="K62" s="100">
        <f t="shared" si="17"/>
        <v>3.301956459989093E-2</v>
      </c>
      <c r="L62" s="44">
        <f t="shared" si="18"/>
        <v>4.2194427580781166</v>
      </c>
      <c r="M62" s="100">
        <f t="shared" si="19"/>
        <v>7.1099435920928294E-2</v>
      </c>
      <c r="N62" s="44"/>
      <c r="O62" s="44"/>
      <c r="P62" s="40">
        <f t="shared" si="20"/>
        <v>4.7948465813663823</v>
      </c>
      <c r="Q62" s="101">
        <f t="shared" si="13"/>
        <v>2.279164811870386E-2</v>
      </c>
      <c r="S62" s="101"/>
    </row>
    <row r="63" spans="1:19">
      <c r="A63" s="44">
        <v>50</v>
      </c>
      <c r="B63" s="44">
        <f t="shared" si="8"/>
        <v>2.6388117932094191</v>
      </c>
      <c r="C63" s="44">
        <f t="shared" si="9"/>
        <v>1.6283483384592905</v>
      </c>
      <c r="D63" s="44">
        <f t="shared" si="14"/>
        <v>33.898118506043758</v>
      </c>
      <c r="E63" s="44">
        <f t="shared" si="0"/>
        <v>7.984756751224392</v>
      </c>
      <c r="F63" s="44">
        <f t="shared" si="1"/>
        <v>5.988567563418294</v>
      </c>
      <c r="G63" s="44">
        <f t="shared" si="2"/>
        <v>1.996189187806098</v>
      </c>
      <c r="H63" s="44">
        <f t="shared" si="3"/>
        <v>0.67796237012087512</v>
      </c>
      <c r="I63" s="44">
        <f t="shared" si="15"/>
        <v>1.3182268176852228</v>
      </c>
      <c r="J63" s="100">
        <f t="shared" si="16"/>
        <v>3.9249529934106887E-2</v>
      </c>
      <c r="K63" s="100">
        <f t="shared" si="17"/>
        <v>3.2906553487716192E-2</v>
      </c>
      <c r="L63" s="44">
        <f t="shared" si="18"/>
        <v>4.2453539365298489</v>
      </c>
      <c r="M63" s="100">
        <f t="shared" si="19"/>
        <v>7.0665486196239247E-2</v>
      </c>
      <c r="N63" s="44"/>
      <c r="O63" s="44"/>
      <c r="P63" s="40">
        <f t="shared" si="20"/>
        <v>4.9035925315460469</v>
      </c>
      <c r="Q63" s="101">
        <f t="shared" si="13"/>
        <v>2.2679755928431682E-2</v>
      </c>
      <c r="S63" s="101"/>
    </row>
    <row r="64" spans="1:19">
      <c r="A64" s="44">
        <v>51</v>
      </c>
      <c r="B64" s="44">
        <f t="shared" si="8"/>
        <v>2.6915880290736074</v>
      </c>
      <c r="C64" s="44">
        <f t="shared" si="9"/>
        <v>1.6446318218438833</v>
      </c>
      <c r="D64" s="44">
        <f t="shared" si="14"/>
        <v>35.21634532372898</v>
      </c>
      <c r="E64" s="44">
        <f t="shared" si="0"/>
        <v>8.2466465127826023</v>
      </c>
      <c r="F64" s="44">
        <f t="shared" si="1"/>
        <v>6.1849848845869513</v>
      </c>
      <c r="G64" s="44">
        <f t="shared" si="2"/>
        <v>2.0616616281956506</v>
      </c>
      <c r="H64" s="44">
        <f t="shared" si="3"/>
        <v>0.70432690647457963</v>
      </c>
      <c r="I64" s="44">
        <f t="shared" si="15"/>
        <v>1.3573347217210709</v>
      </c>
      <c r="J64" s="100">
        <f t="shared" si="16"/>
        <v>3.8887905163532681E-2</v>
      </c>
      <c r="K64" s="100">
        <f t="shared" si="17"/>
        <v>3.2798715066436036E-2</v>
      </c>
      <c r="L64" s="44">
        <f t="shared" si="18"/>
        <v>4.2703837577059192</v>
      </c>
      <c r="M64" s="100">
        <f t="shared" si="19"/>
        <v>7.0251297546420552E-2</v>
      </c>
      <c r="N64" s="44"/>
      <c r="O64" s="44"/>
      <c r="P64" s="40">
        <f t="shared" si="20"/>
        <v>5.014281253257554</v>
      </c>
      <c r="Q64" s="101">
        <f t="shared" si="13"/>
        <v>2.2572985214293129E-2</v>
      </c>
      <c r="S64" s="101"/>
    </row>
    <row r="65" spans="1:19">
      <c r="A65" s="44">
        <v>52</v>
      </c>
      <c r="B65" s="44">
        <f t="shared" si="8"/>
        <v>2.7454197896550796</v>
      </c>
      <c r="C65" s="44">
        <f t="shared" si="9"/>
        <v>1.6610781400623222</v>
      </c>
      <c r="D65" s="44">
        <f t="shared" si="14"/>
        <v>36.573680045450054</v>
      </c>
      <c r="E65" s="44">
        <f t="shared" si="0"/>
        <v>8.5162769114571812</v>
      </c>
      <c r="F65" s="44">
        <f t="shared" si="1"/>
        <v>6.3872076835928855</v>
      </c>
      <c r="G65" s="44">
        <f t="shared" si="2"/>
        <v>2.1290692278642953</v>
      </c>
      <c r="H65" s="44">
        <f t="shared" si="3"/>
        <v>0.73147360090900104</v>
      </c>
      <c r="I65" s="44">
        <f t="shared" si="15"/>
        <v>1.3975956269552943</v>
      </c>
      <c r="J65" s="100">
        <f t="shared" si="16"/>
        <v>3.8542747955350544E-2</v>
      </c>
      <c r="K65" s="100">
        <f t="shared" si="17"/>
        <v>3.2695762848164042E-2</v>
      </c>
      <c r="L65" s="44">
        <f t="shared" si="18"/>
        <v>4.2945620986380186</v>
      </c>
      <c r="M65" s="100">
        <f t="shared" si="19"/>
        <v>6.985578345581317E-2</v>
      </c>
      <c r="N65" s="44"/>
      <c r="O65" s="44"/>
      <c r="P65" s="40">
        <f t="shared" si="20"/>
        <v>5.1269574296713447</v>
      </c>
      <c r="Q65" s="101">
        <f t="shared" si="13"/>
        <v>2.2471052324914965E-2</v>
      </c>
      <c r="S65" s="101"/>
    </row>
    <row r="66" spans="1:19">
      <c r="A66" s="44">
        <v>53</v>
      </c>
      <c r="B66" s="44">
        <f t="shared" si="8"/>
        <v>2.8003281854481812</v>
      </c>
      <c r="C66" s="44">
        <f t="shared" si="9"/>
        <v>1.6776889214629456</v>
      </c>
      <c r="D66" s="44">
        <f t="shared" si="14"/>
        <v>37.971275672405348</v>
      </c>
      <c r="E66" s="44">
        <f t="shared" si="0"/>
        <v>8.7938856526827003</v>
      </c>
      <c r="F66" s="44">
        <f t="shared" si="1"/>
        <v>6.5954142395120252</v>
      </c>
      <c r="G66" s="44">
        <f t="shared" si="2"/>
        <v>2.1984714131706751</v>
      </c>
      <c r="H66" s="44">
        <f t="shared" si="3"/>
        <v>0.75942551344810694</v>
      </c>
      <c r="I66" s="44">
        <f t="shared" si="15"/>
        <v>1.4390458997225681</v>
      </c>
      <c r="J66" s="100">
        <f t="shared" si="16"/>
        <v>3.8213152879844302E-2</v>
      </c>
      <c r="K66" s="100">
        <f t="shared" si="17"/>
        <v>3.2597430087324235E-2</v>
      </c>
      <c r="L66" s="44">
        <f t="shared" si="18"/>
        <v>4.3179178320133911</v>
      </c>
      <c r="M66" s="100">
        <f t="shared" si="19"/>
        <v>6.9477931649318522E-2</v>
      </c>
      <c r="N66" s="44"/>
      <c r="O66" s="44"/>
      <c r="P66" s="40">
        <f t="shared" si="20"/>
        <v>5.2416664020254888</v>
      </c>
      <c r="Q66" s="101">
        <f t="shared" si="13"/>
        <v>2.2373693155766528E-2</v>
      </c>
      <c r="S66" s="101"/>
    </row>
    <row r="67" spans="1:19">
      <c r="A67" s="44">
        <v>54</v>
      </c>
      <c r="B67" s="44">
        <f t="shared" si="8"/>
        <v>2.8563347491571447</v>
      </c>
      <c r="C67" s="44">
        <f t="shared" si="9"/>
        <v>1.694465810677575</v>
      </c>
      <c r="D67" s="44">
        <f t="shared" si="14"/>
        <v>39.410321572127913</v>
      </c>
      <c r="E67" s="44">
        <f t="shared" si="0"/>
        <v>9.0797174345891367</v>
      </c>
      <c r="F67" s="44">
        <f t="shared" si="1"/>
        <v>6.809788075941853</v>
      </c>
      <c r="G67" s="44">
        <f t="shared" si="2"/>
        <v>2.2699293586472842</v>
      </c>
      <c r="H67" s="44">
        <f t="shared" si="3"/>
        <v>0.78820643144255831</v>
      </c>
      <c r="I67" s="44">
        <f t="shared" si="15"/>
        <v>1.4817229272047259</v>
      </c>
      <c r="J67" s="100">
        <f t="shared" si="16"/>
        <v>3.7898276374432022E-2</v>
      </c>
      <c r="K67" s="100">
        <f t="shared" si="17"/>
        <v>3.2503468113579501E-2</v>
      </c>
      <c r="L67" s="44">
        <f t="shared" si="18"/>
        <v>4.3404788591762227</v>
      </c>
      <c r="M67" s="100">
        <f t="shared" si="19"/>
        <v>6.9116797877213212E-2</v>
      </c>
      <c r="N67" s="44"/>
      <c r="O67" s="44"/>
      <c r="P67" s="40">
        <f t="shared" si="20"/>
        <v>5.3584541968175694</v>
      </c>
      <c r="Q67" s="101">
        <f t="shared" si="13"/>
        <v>2.2280661498593528E-2</v>
      </c>
      <c r="S67" s="101"/>
    </row>
    <row r="68" spans="1:19">
      <c r="A68" s="44">
        <v>55</v>
      </c>
      <c r="B68" s="44">
        <f t="shared" si="8"/>
        <v>2.9134614441402875</v>
      </c>
      <c r="C68" s="44">
        <f t="shared" si="9"/>
        <v>1.7114104687843508</v>
      </c>
      <c r="D68" s="44">
        <f t="shared" si="14"/>
        <v>40.892044499332641</v>
      </c>
      <c r="E68" s="44">
        <f t="shared" si="0"/>
        <v>9.3740241706831391</v>
      </c>
      <c r="F68" s="44">
        <f t="shared" si="1"/>
        <v>7.0305181280123543</v>
      </c>
      <c r="G68" s="44">
        <f t="shared" si="2"/>
        <v>2.3435060426707848</v>
      </c>
      <c r="H68" s="44">
        <f t="shared" si="3"/>
        <v>0.81784088998665283</v>
      </c>
      <c r="I68" s="44">
        <f t="shared" si="15"/>
        <v>1.5256651526841321</v>
      </c>
      <c r="J68" s="100">
        <f t="shared" si="16"/>
        <v>3.7597331564344416E-2</v>
      </c>
      <c r="K68" s="100">
        <f t="shared" si="17"/>
        <v>3.2413644831373538E-2</v>
      </c>
      <c r="L68" s="44">
        <f t="shared" si="18"/>
        <v>4.3622721421202186</v>
      </c>
      <c r="M68" s="100">
        <f t="shared" si="19"/>
        <v>6.8771500315931544E-2</v>
      </c>
      <c r="N68" s="44"/>
      <c r="O68" s="44"/>
      <c r="P68" s="40">
        <f t="shared" si="20"/>
        <v>5.4773675524736607</v>
      </c>
      <c r="Q68" s="101">
        <f t="shared" si="13"/>
        <v>2.219172755581543E-2</v>
      </c>
      <c r="S68" s="101"/>
    </row>
    <row r="69" spans="1:19">
      <c r="A69" s="44">
        <v>56</v>
      </c>
      <c r="B69" s="44">
        <f t="shared" si="8"/>
        <v>2.9717306730230932</v>
      </c>
      <c r="C69" s="44">
        <f t="shared" si="9"/>
        <v>1.7285245734721943</v>
      </c>
      <c r="D69" s="44">
        <f t="shared" si="14"/>
        <v>42.417709652016775</v>
      </c>
      <c r="E69" s="44">
        <f t="shared" si="0"/>
        <v>9.6770652183886092</v>
      </c>
      <c r="F69" s="44">
        <f t="shared" si="1"/>
        <v>7.2577989137914569</v>
      </c>
      <c r="G69" s="44">
        <f t="shared" si="2"/>
        <v>2.4192663045971523</v>
      </c>
      <c r="H69" s="44">
        <f t="shared" si="3"/>
        <v>0.84835419304033555</v>
      </c>
      <c r="I69" s="44">
        <f t="shared" si="15"/>
        <v>1.5709121115568168</v>
      </c>
      <c r="J69" s="100">
        <f t="shared" si="16"/>
        <v>3.7309583596609672E-2</v>
      </c>
      <c r="K69" s="100">
        <f t="shared" si="17"/>
        <v>3.2327743366954195E-2</v>
      </c>
      <c r="L69" s="44">
        <f t="shared" si="18"/>
        <v>4.3833237344947875</v>
      </c>
      <c r="M69" s="100">
        <f t="shared" si="19"/>
        <v>6.8441214514715132E-2</v>
      </c>
      <c r="N69" s="44"/>
      <c r="O69" s="44"/>
      <c r="P69" s="40">
        <f t="shared" si="20"/>
        <v>5.5984539455807036</v>
      </c>
      <c r="Q69" s="101">
        <f t="shared" si="13"/>
        <v>2.210667660094465E-2</v>
      </c>
      <c r="S69" s="101"/>
    </row>
    <row r="70" spans="1:19">
      <c r="A70" s="44">
        <v>57</v>
      </c>
      <c r="B70" s="44">
        <f t="shared" si="8"/>
        <v>3.0311652864835552</v>
      </c>
      <c r="C70" s="44">
        <f t="shared" si="9"/>
        <v>1.7458098192069162</v>
      </c>
      <c r="D70" s="44">
        <f t="shared" si="14"/>
        <v>43.98862176357359</v>
      </c>
      <c r="E70" s="44">
        <f t="shared" si="0"/>
        <v>9.9891076137012753</v>
      </c>
      <c r="F70" s="44">
        <f t="shared" si="1"/>
        <v>7.4918307102759565</v>
      </c>
      <c r="G70" s="44">
        <f t="shared" si="2"/>
        <v>2.4972769034253188</v>
      </c>
      <c r="H70" s="44">
        <f t="shared" si="3"/>
        <v>0.87977243527147186</v>
      </c>
      <c r="I70" s="44">
        <f t="shared" si="15"/>
        <v>1.6175044681538471</v>
      </c>
      <c r="J70" s="100">
        <f t="shared" si="16"/>
        <v>3.7034345428929243E-2</v>
      </c>
      <c r="K70" s="100">
        <f t="shared" si="17"/>
        <v>3.2245560846248619E-2</v>
      </c>
      <c r="L70" s="44">
        <f t="shared" si="18"/>
        <v>4.4036588116477837</v>
      </c>
      <c r="M70" s="100">
        <f t="shared" si="19"/>
        <v>6.8125168826997401E-2</v>
      </c>
      <c r="N70" s="44"/>
      <c r="O70" s="44"/>
      <c r="P70" s="40">
        <f t="shared" si="20"/>
        <v>5.7217616167602445</v>
      </c>
      <c r="Q70" s="101">
        <f t="shared" si="13"/>
        <v>2.2025307768563006E-2</v>
      </c>
      <c r="S70" s="101"/>
    </row>
    <row r="71" spans="1:19">
      <c r="A71" s="44">
        <v>58</v>
      </c>
      <c r="B71" s="44">
        <f t="shared" si="8"/>
        <v>3.0917885922132262</v>
      </c>
      <c r="C71" s="44">
        <f t="shared" si="9"/>
        <v>1.7632679173989854</v>
      </c>
      <c r="D71" s="44">
        <f t="shared" si="14"/>
        <v>45.606126231727437</v>
      </c>
      <c r="E71" s="44">
        <f t="shared" si="0"/>
        <v>10.310426312211343</v>
      </c>
      <c r="F71" s="44">
        <f t="shared" si="1"/>
        <v>7.7328197341585074</v>
      </c>
      <c r="G71" s="44">
        <f t="shared" si="2"/>
        <v>2.5776065780528357</v>
      </c>
      <c r="H71" s="44">
        <f t="shared" si="3"/>
        <v>0.91212252463454879</v>
      </c>
      <c r="I71" s="44">
        <f t="shared" si="15"/>
        <v>1.6654840534182869</v>
      </c>
      <c r="J71" s="100">
        <f t="shared" si="16"/>
        <v>3.6770974022497821E-2</v>
      </c>
      <c r="K71" s="100">
        <f t="shared" si="17"/>
        <v>3.2166907289029469E-2</v>
      </c>
      <c r="L71" s="44">
        <f t="shared" si="18"/>
        <v>4.4233016997282633</v>
      </c>
      <c r="M71" s="100">
        <f t="shared" si="19"/>
        <v>6.7822640273086029E-2</v>
      </c>
      <c r="N71" s="44"/>
      <c r="O71" s="44"/>
      <c r="P71" s="40">
        <f t="shared" si="20"/>
        <v>5.8473395962539589</v>
      </c>
      <c r="Q71" s="101">
        <f t="shared" si="13"/>
        <v>2.1947432959435093E-2</v>
      </c>
      <c r="S71" s="101"/>
    </row>
    <row r="72" spans="1:19">
      <c r="A72" s="44">
        <v>59</v>
      </c>
      <c r="B72" s="44">
        <f t="shared" si="8"/>
        <v>3.1536243640574906</v>
      </c>
      <c r="C72" s="44">
        <f t="shared" si="9"/>
        <v>1.7809005965729752</v>
      </c>
      <c r="D72" s="44">
        <f t="shared" si="14"/>
        <v>47.271610285145726</v>
      </c>
      <c r="E72" s="44">
        <f t="shared" si="0"/>
        <v>10.641304436749058</v>
      </c>
      <c r="F72" s="44">
        <f t="shared" si="1"/>
        <v>7.9809783275617932</v>
      </c>
      <c r="G72" s="44">
        <f t="shared" si="2"/>
        <v>2.6603261091872645</v>
      </c>
      <c r="H72" s="44">
        <f t="shared" si="3"/>
        <v>0.94543220570291453</v>
      </c>
      <c r="I72" s="44">
        <f t="shared" si="15"/>
        <v>1.71489390348435</v>
      </c>
      <c r="J72" s="100">
        <f t="shared" si="16"/>
        <v>3.6518866894238423E-2</v>
      </c>
      <c r="K72" s="100">
        <f t="shared" si="17"/>
        <v>3.2091604606672174E-2</v>
      </c>
      <c r="L72" s="44">
        <f t="shared" si="18"/>
        <v>4.4422759038728623</v>
      </c>
      <c r="M72" s="100">
        <f t="shared" si="19"/>
        <v>6.7532950787332721E-2</v>
      </c>
      <c r="N72" s="44"/>
      <c r="O72" s="44"/>
      <c r="P72" s="40">
        <f t="shared" si="20"/>
        <v>5.9752377292850296</v>
      </c>
      <c r="Q72" s="101">
        <f t="shared" si="13"/>
        <v>2.1872875848190407E-2</v>
      </c>
      <c r="S72" s="101"/>
    </row>
    <row r="73" spans="1:19">
      <c r="A73" s="44">
        <v>60</v>
      </c>
      <c r="B73" s="44">
        <f t="shared" si="8"/>
        <v>3.2166968513386403</v>
      </c>
      <c r="C73" s="44">
        <f t="shared" si="9"/>
        <v>1.798709602538705</v>
      </c>
      <c r="D73" s="44">
        <f t="shared" si="14"/>
        <v>48.986504188630079</v>
      </c>
      <c r="E73" s="44">
        <f t="shared" si="0"/>
        <v>10.98203353190921</v>
      </c>
      <c r="F73" s="44">
        <f t="shared" si="1"/>
        <v>8.2365251489319071</v>
      </c>
      <c r="G73" s="44">
        <f t="shared" si="2"/>
        <v>2.7455083829773024</v>
      </c>
      <c r="H73" s="44">
        <f t="shared" si="3"/>
        <v>0.97973008377260162</v>
      </c>
      <c r="I73" s="44">
        <f t="shared" si="15"/>
        <v>1.7657782992047006</v>
      </c>
      <c r="J73" s="100">
        <f t="shared" si="16"/>
        <v>3.6277458989443977E-2</v>
      </c>
      <c r="K73" s="100">
        <f t="shared" si="17"/>
        <v>3.2019485692324094E-2</v>
      </c>
      <c r="L73" s="44">
        <f t="shared" si="18"/>
        <v>4.4606041354996533</v>
      </c>
      <c r="M73" s="100">
        <f t="shared" si="19"/>
        <v>6.7255463808692267E-2</v>
      </c>
      <c r="N73" s="44"/>
      <c r="O73" s="44"/>
      <c r="P73" s="40">
        <f t="shared" si="20"/>
        <v>6.10550670125357</v>
      </c>
      <c r="Q73" s="101">
        <f t="shared" si="13"/>
        <v>2.1801470982498929E-2</v>
      </c>
      <c r="S73" s="101"/>
    </row>
    <row r="74" spans="1:19">
      <c r="A74" s="44">
        <v>61</v>
      </c>
      <c r="B74" s="44">
        <f t="shared" si="8"/>
        <v>3.2810307883654133</v>
      </c>
      <c r="C74" s="44">
        <f t="shared" si="9"/>
        <v>1.8166966985640922</v>
      </c>
      <c r="D74" s="44">
        <f t="shared" si="14"/>
        <v>50.752282487834776</v>
      </c>
      <c r="E74" s="44">
        <f t="shared" si="0"/>
        <v>11.332913825712955</v>
      </c>
      <c r="F74" s="44">
        <f t="shared" si="1"/>
        <v>8.4996853692847161</v>
      </c>
      <c r="G74" s="44">
        <f t="shared" si="2"/>
        <v>2.8332284564282388</v>
      </c>
      <c r="H74" s="44">
        <f t="shared" si="3"/>
        <v>1.0150456497566955</v>
      </c>
      <c r="I74" s="44">
        <f t="shared" si="15"/>
        <v>1.8181828066715433</v>
      </c>
      <c r="J74" s="100">
        <f t="shared" si="16"/>
        <v>3.6046219840576828E-2</v>
      </c>
      <c r="K74" s="100">
        <f t="shared" si="17"/>
        <v>3.1950393593703212E-2</v>
      </c>
      <c r="L74" s="44">
        <f t="shared" si="18"/>
        <v>4.4783083387331715</v>
      </c>
      <c r="M74" s="100">
        <f t="shared" si="19"/>
        <v>6.6989581178518026E-2</v>
      </c>
      <c r="N74" s="44"/>
      <c r="O74" s="44"/>
      <c r="P74" s="40">
        <f t="shared" si="20"/>
        <v>6.2381980628194196</v>
      </c>
      <c r="Q74" s="101">
        <f t="shared" si="13"/>
        <v>2.1733062964062539E-2</v>
      </c>
      <c r="S74" s="101"/>
    </row>
    <row r="75" spans="1:19">
      <c r="A75" s="44">
        <v>62</v>
      </c>
      <c r="B75" s="44">
        <f t="shared" si="8"/>
        <v>3.3466514041327216</v>
      </c>
      <c r="C75" s="44">
        <f t="shared" si="9"/>
        <v>1.8348636655497332</v>
      </c>
      <c r="D75" s="44">
        <f t="shared" si="14"/>
        <v>52.57046529450632</v>
      </c>
      <c r="E75" s="44">
        <f t="shared" si="0"/>
        <v>11.694254498668011</v>
      </c>
      <c r="F75" s="44">
        <f t="shared" si="1"/>
        <v>8.7706908740010086</v>
      </c>
      <c r="G75" s="44">
        <f t="shared" si="2"/>
        <v>2.9235636246670027</v>
      </c>
      <c r="H75" s="44">
        <f t="shared" si="3"/>
        <v>1.0514093058901264</v>
      </c>
      <c r="I75" s="44">
        <f t="shared" si="15"/>
        <v>1.8721543187768763</v>
      </c>
      <c r="J75" s="100">
        <f t="shared" si="16"/>
        <v>3.5824650982098367E-2</v>
      </c>
      <c r="K75" s="100">
        <f t="shared" si="17"/>
        <v>3.1884180759869443E-2</v>
      </c>
      <c r="L75" s="44">
        <f t="shared" si="18"/>
        <v>4.4954097159843887</v>
      </c>
      <c r="M75" s="100">
        <f t="shared" si="19"/>
        <v>6.6734740313721785E-2</v>
      </c>
      <c r="N75" s="44"/>
      <c r="O75" s="44"/>
      <c r="P75" s="40">
        <f t="shared" si="20"/>
        <v>6.373364254921011</v>
      </c>
      <c r="Q75" s="101">
        <f t="shared" si="13"/>
        <v>2.1667505702840994E-2</v>
      </c>
      <c r="S75" s="101"/>
    </row>
    <row r="76" spans="1:19">
      <c r="A76" s="44">
        <v>63</v>
      </c>
      <c r="B76" s="44">
        <f t="shared" si="8"/>
        <v>3.4135844322153761</v>
      </c>
      <c r="C76" s="44">
        <f t="shared" si="9"/>
        <v>1.8532123022052305</v>
      </c>
      <c r="D76" s="44">
        <f t="shared" si="14"/>
        <v>54.442619613283199</v>
      </c>
      <c r="E76" s="44">
        <f t="shared" si="0"/>
        <v>12.066373960491921</v>
      </c>
      <c r="F76" s="44">
        <f t="shared" si="1"/>
        <v>9.0497804703689404</v>
      </c>
      <c r="G76" s="44">
        <f t="shared" si="2"/>
        <v>3.0165934901229803</v>
      </c>
      <c r="H76" s="44">
        <f t="shared" si="3"/>
        <v>1.0888523922656641</v>
      </c>
      <c r="I76" s="44">
        <f t="shared" si="15"/>
        <v>1.9277410978573162</v>
      </c>
      <c r="J76" s="100">
        <f t="shared" si="16"/>
        <v>3.5612283594768208E-2</v>
      </c>
      <c r="K76" s="100">
        <f t="shared" si="17"/>
        <v>3.1820708354371383E-2</v>
      </c>
      <c r="L76" s="44">
        <f t="shared" si="18"/>
        <v>4.5119287527090437</v>
      </c>
      <c r="M76" s="100">
        <f t="shared" si="19"/>
        <v>6.6490411627150484E-2</v>
      </c>
      <c r="N76" s="44"/>
      <c r="O76" s="44"/>
      <c r="P76" s="40">
        <f t="shared" si="20"/>
        <v>6.5110586337752752</v>
      </c>
      <c r="Q76" s="101">
        <f t="shared" si="13"/>
        <v>2.1604661737001363E-2</v>
      </c>
      <c r="S76" s="101"/>
    </row>
    <row r="77" spans="1:19">
      <c r="A77" s="44">
        <v>64</v>
      </c>
      <c r="B77" s="44">
        <f t="shared" si="8"/>
        <v>3.4818561208596837</v>
      </c>
      <c r="C77" s="44">
        <f t="shared" si="9"/>
        <v>1.8717444252272828</v>
      </c>
      <c r="D77" s="44">
        <f t="shared" si="14"/>
        <v>56.370360711140513</v>
      </c>
      <c r="E77" s="44">
        <f t="shared" si="0"/>
        <v>12.449600134767026</v>
      </c>
      <c r="F77" s="44">
        <f t="shared" si="1"/>
        <v>9.3372001010752701</v>
      </c>
      <c r="G77" s="44">
        <f t="shared" si="2"/>
        <v>3.1124000336917566</v>
      </c>
      <c r="H77" s="44">
        <f t="shared" si="3"/>
        <v>1.1274072142228102</v>
      </c>
      <c r="I77" s="44">
        <f t="shared" si="15"/>
        <v>1.9849928194689463</v>
      </c>
      <c r="J77" s="100">
        <f t="shared" si="16"/>
        <v>3.5408676355958707E-2</v>
      </c>
      <c r="K77" s="100">
        <f t="shared" si="17"/>
        <v>3.1759845628013483E-2</v>
      </c>
      <c r="L77" s="44">
        <f t="shared" si="18"/>
        <v>4.5278852413676649</v>
      </c>
      <c r="M77" s="100">
        <f t="shared" si="19"/>
        <v>6.6256096170269507E-2</v>
      </c>
      <c r="N77" s="44"/>
      <c r="O77" s="44"/>
      <c r="P77" s="40">
        <f t="shared" si="20"/>
        <v>6.6513354958999233</v>
      </c>
      <c r="Q77" s="101">
        <f t="shared" si="13"/>
        <v>2.1544401611894585E-2</v>
      </c>
      <c r="S77" s="101"/>
    </row>
    <row r="78" spans="1:19">
      <c r="A78" s="44">
        <v>65</v>
      </c>
      <c r="B78" s="44">
        <f t="shared" si="8"/>
        <v>3.5514932432768775</v>
      </c>
      <c r="C78" s="44">
        <f t="shared" si="9"/>
        <v>1.8904618694795556</v>
      </c>
      <c r="D78" s="44">
        <f t="shared" si="14"/>
        <v>58.355353530609463</v>
      </c>
      <c r="E78" s="44">
        <f t="shared" ref="E78:E141" si="21">(B78*C78)^(1-alpha)*(D78^alpha)</f>
        <v>12.844270751800519</v>
      </c>
      <c r="F78" s="44">
        <f t="shared" ref="F78:F141" si="22">(1-s)*E78</f>
        <v>9.633203063850388</v>
      </c>
      <c r="G78" s="44">
        <f t="shared" ref="G78:G141" si="23">s*E78</f>
        <v>3.2110676879501296</v>
      </c>
      <c r="H78" s="44">
        <f t="shared" ref="H78:H141" si="24">dep*D78</f>
        <v>1.1671070706121893</v>
      </c>
      <c r="I78" s="44">
        <f t="shared" si="15"/>
        <v>2.0439606173379401</v>
      </c>
      <c r="J78" s="100">
        <f t="shared" si="16"/>
        <v>3.521341347522465E-2</v>
      </c>
      <c r="K78" s="100">
        <f t="shared" si="17"/>
        <v>3.1701469345294601E-2</v>
      </c>
      <c r="L78" s="44">
        <f t="shared" si="18"/>
        <v>4.5432983046101834</v>
      </c>
      <c r="M78" s="100">
        <f t="shared" si="19"/>
        <v>6.6031323476071005E-2</v>
      </c>
      <c r="N78" s="44"/>
      <c r="O78" s="44"/>
      <c r="P78" s="40">
        <f t="shared" si="20"/>
        <v>6.7942501031964992</v>
      </c>
      <c r="Q78" s="101">
        <f t="shared" si="13"/>
        <v>2.1486603312172815E-2</v>
      </c>
      <c r="S78" s="101"/>
    </row>
    <row r="79" spans="1:19">
      <c r="A79" s="44">
        <v>66</v>
      </c>
      <c r="B79" s="44">
        <f t="shared" ref="B79:B142" si="25">(1+g)*B78</f>
        <v>3.6225231081424152</v>
      </c>
      <c r="C79" s="44">
        <f t="shared" ref="C79:C142" si="26">(1+n)*C78</f>
        <v>1.9093664881743513</v>
      </c>
      <c r="D79" s="44">
        <f t="shared" si="14"/>
        <v>60.3993141479474</v>
      </c>
      <c r="E79" s="44">
        <f t="shared" si="21"/>
        <v>13.250733649967998</v>
      </c>
      <c r="F79" s="44">
        <f t="shared" si="22"/>
        <v>9.9380502374759985</v>
      </c>
      <c r="G79" s="44">
        <f t="shared" si="23"/>
        <v>3.3126834124919995</v>
      </c>
      <c r="H79" s="44">
        <f t="shared" si="24"/>
        <v>1.2079862829589481</v>
      </c>
      <c r="I79" s="44">
        <f t="shared" si="15"/>
        <v>2.1046971295330517</v>
      </c>
      <c r="J79" s="100">
        <f t="shared" si="16"/>
        <v>3.5026102896725787E-2</v>
      </c>
      <c r="K79" s="100">
        <f t="shared" si="17"/>
        <v>3.1645463259212372E-2</v>
      </c>
      <c r="L79" s="44">
        <f t="shared" si="18"/>
        <v>4.558186417707768</v>
      </c>
      <c r="M79" s="100">
        <f t="shared" si="19"/>
        <v>6.5815649582595337E-2</v>
      </c>
      <c r="N79" s="44"/>
      <c r="O79" s="44"/>
      <c r="P79" s="40">
        <f t="shared" si="20"/>
        <v>6.9398587081298055</v>
      </c>
      <c r="Q79" s="101">
        <f t="shared" si="13"/>
        <v>2.1431151741794378E-2</v>
      </c>
      <c r="S79" s="101"/>
    </row>
    <row r="80" spans="1:19">
      <c r="A80" s="44">
        <v>67</v>
      </c>
      <c r="B80" s="44">
        <f t="shared" si="25"/>
        <v>3.6949735703052635</v>
      </c>
      <c r="C80" s="44">
        <f t="shared" si="26"/>
        <v>1.9284601530560948</v>
      </c>
      <c r="D80" s="44">
        <f t="shared" si="14"/>
        <v>62.504011277480451</v>
      </c>
      <c r="E80" s="44">
        <f t="shared" si="21"/>
        <v>13.669347085824597</v>
      </c>
      <c r="F80" s="44">
        <f t="shared" si="22"/>
        <v>10.252010314368448</v>
      </c>
      <c r="G80" s="44">
        <f t="shared" si="23"/>
        <v>3.4173367714561493</v>
      </c>
      <c r="H80" s="44">
        <f t="shared" si="24"/>
        <v>1.2500802255496091</v>
      </c>
      <c r="I80" s="44">
        <f t="shared" si="15"/>
        <v>2.1672565459065405</v>
      </c>
      <c r="J80" s="100">
        <f t="shared" si="16"/>
        <v>3.4846374652162775E-2</v>
      </c>
      <c r="K80" s="100">
        <f t="shared" si="17"/>
        <v>3.1591717629733687E-2</v>
      </c>
      <c r="L80" s="44">
        <f t="shared" si="18"/>
        <v>4.5725674302541073</v>
      </c>
      <c r="M80" s="100">
        <f t="shared" si="19"/>
        <v>6.5608655219618783E-2</v>
      </c>
      <c r="N80" s="44"/>
      <c r="O80" s="44"/>
      <c r="P80" s="40">
        <f t="shared" si="20"/>
        <v>7.0882185790369219</v>
      </c>
      <c r="Q80" s="101">
        <f t="shared" ref="Q80:Q143" si="27">(P80-P79)/P79</f>
        <v>2.1377938247261124E-2</v>
      </c>
      <c r="S80" s="101"/>
    </row>
    <row r="81" spans="1:19">
      <c r="A81" s="44">
        <v>68</v>
      </c>
      <c r="B81" s="44">
        <f t="shared" si="25"/>
        <v>3.7688730417113687</v>
      </c>
      <c r="C81" s="44">
        <f t="shared" si="26"/>
        <v>1.9477447545866557</v>
      </c>
      <c r="D81" s="44">
        <f t="shared" si="14"/>
        <v>64.671267823386998</v>
      </c>
      <c r="E81" s="44">
        <f t="shared" si="21"/>
        <v>14.100480053273861</v>
      </c>
      <c r="F81" s="44">
        <f t="shared" si="22"/>
        <v>10.575360039955395</v>
      </c>
      <c r="G81" s="44">
        <f t="shared" si="23"/>
        <v>3.5251200133184653</v>
      </c>
      <c r="H81" s="44">
        <f t="shared" si="24"/>
        <v>1.29342535646774</v>
      </c>
      <c r="I81" s="44">
        <f t="shared" si="15"/>
        <v>2.231694656850725</v>
      </c>
      <c r="J81" s="100">
        <f t="shared" si="16"/>
        <v>3.467387934968242E-2</v>
      </c>
      <c r="K81" s="100">
        <f t="shared" si="17"/>
        <v>3.1540128781743913E-2</v>
      </c>
      <c r="L81" s="44">
        <f t="shared" si="18"/>
        <v>4.5864585871579298</v>
      </c>
      <c r="M81" s="100">
        <f t="shared" si="19"/>
        <v>6.5409944142960127E-2</v>
      </c>
      <c r="N81" s="44"/>
      <c r="O81" s="44"/>
      <c r="P81" s="40">
        <f t="shared" si="20"/>
        <v>7.2393880255969272</v>
      </c>
      <c r="Q81" s="101">
        <f t="shared" si="27"/>
        <v>2.13268601799445E-2</v>
      </c>
      <c r="S81" s="101"/>
    </row>
    <row r="82" spans="1:19">
      <c r="A82" s="44">
        <v>69</v>
      </c>
      <c r="B82" s="44">
        <f t="shared" si="25"/>
        <v>3.844250502545596</v>
      </c>
      <c r="C82" s="44">
        <f t="shared" si="26"/>
        <v>1.9672222021325223</v>
      </c>
      <c r="D82" s="44">
        <f t="shared" si="14"/>
        <v>66.902962480237719</v>
      </c>
      <c r="E82" s="44">
        <f t="shared" si="21"/>
        <v>14.544512612090964</v>
      </c>
      <c r="F82" s="44">
        <f t="shared" si="22"/>
        <v>10.908384459068223</v>
      </c>
      <c r="G82" s="44">
        <f t="shared" si="23"/>
        <v>3.6361281530227409</v>
      </c>
      <c r="H82" s="44">
        <f t="shared" si="24"/>
        <v>1.3380592496047543</v>
      </c>
      <c r="I82" s="44">
        <f t="shared" si="15"/>
        <v>2.2980689034179864</v>
      </c>
      <c r="J82" s="100">
        <f t="shared" si="16"/>
        <v>3.4508286785800035E-2</v>
      </c>
      <c r="K82" s="100">
        <f t="shared" si="17"/>
        <v>3.149059869873061E-2</v>
      </c>
      <c r="L82" s="44">
        <f t="shared" si="18"/>
        <v>4.599876548948143</v>
      </c>
      <c r="M82" s="100">
        <f t="shared" si="19"/>
        <v>6.5219141602528702E-2</v>
      </c>
      <c r="N82" s="44"/>
      <c r="O82" s="44"/>
      <c r="P82" s="40">
        <f t="shared" si="20"/>
        <v>7.3934264244904906</v>
      </c>
      <c r="Q82" s="101">
        <f t="shared" si="27"/>
        <v>2.1277820493792652E-2</v>
      </c>
      <c r="S82" s="101"/>
    </row>
    <row r="83" spans="1:19">
      <c r="A83" s="44">
        <v>70</v>
      </c>
      <c r="B83" s="44">
        <f t="shared" si="25"/>
        <v>3.9211355125965079</v>
      </c>
      <c r="C83" s="44">
        <f t="shared" si="26"/>
        <v>1.9868944241538475</v>
      </c>
      <c r="D83" s="44">
        <f t="shared" si="14"/>
        <v>69.201031383655703</v>
      </c>
      <c r="E83" s="44">
        <f t="shared" si="21"/>
        <v>15.001836226103942</v>
      </c>
      <c r="F83" s="44">
        <f t="shared" si="22"/>
        <v>11.251377169577957</v>
      </c>
      <c r="G83" s="44">
        <f t="shared" si="23"/>
        <v>3.7504590565259854</v>
      </c>
      <c r="H83" s="44">
        <f t="shared" si="24"/>
        <v>1.3840206276731142</v>
      </c>
      <c r="I83" s="44">
        <f t="shared" si="15"/>
        <v>2.366438428852871</v>
      </c>
      <c r="J83" s="100">
        <f t="shared" si="16"/>
        <v>3.4349284668773898E-2</v>
      </c>
      <c r="K83" s="100">
        <f t="shared" si="17"/>
        <v>3.1443034648875164E-2</v>
      </c>
      <c r="L83" s="44">
        <f t="shared" si="18"/>
        <v>4.6128374114125084</v>
      </c>
      <c r="M83" s="100">
        <f t="shared" si="19"/>
        <v>6.5035892931707778E-2</v>
      </c>
      <c r="N83" s="44"/>
      <c r="O83" s="44"/>
      <c r="P83" s="40">
        <f t="shared" si="20"/>
        <v>7.5503942452768857</v>
      </c>
      <c r="Q83" s="101">
        <f t="shared" si="27"/>
        <v>2.1230727375123964E-2</v>
      </c>
      <c r="S83" s="101"/>
    </row>
    <row r="84" spans="1:19">
      <c r="A84" s="44">
        <v>71</v>
      </c>
      <c r="B84" s="44">
        <f t="shared" si="25"/>
        <v>3.9995582228484383</v>
      </c>
      <c r="C84" s="44">
        <f t="shared" si="26"/>
        <v>2.006763368395386</v>
      </c>
      <c r="D84" s="44">
        <f t="shared" ref="D84:D147" si="28">D83+I83</f>
        <v>71.567469812508577</v>
      </c>
      <c r="E84" s="44">
        <f t="shared" si="21"/>
        <v>15.472854111343834</v>
      </c>
      <c r="F84" s="44">
        <f t="shared" si="22"/>
        <v>11.604640583507875</v>
      </c>
      <c r="G84" s="44">
        <f t="shared" si="23"/>
        <v>3.8682135278359584</v>
      </c>
      <c r="H84" s="44">
        <f t="shared" si="24"/>
        <v>1.4313493962501715</v>
      </c>
      <c r="I84" s="44">
        <f t="shared" ref="I84:I147" si="29">G84-H84</f>
        <v>2.4368641315857866</v>
      </c>
      <c r="J84" s="100">
        <f t="shared" ref="J84:J147" si="30">(D84-D83)/D83</f>
        <v>3.4196577443089855E-2</v>
      </c>
      <c r="K84" s="100">
        <f t="shared" ref="K84:K147" si="31">(E84-E83)/E83</f>
        <v>3.1397348840557081E-2</v>
      </c>
      <c r="L84" s="44">
        <f t="shared" ref="L84:L147" si="32">D84/E84</f>
        <v>4.6253567245902811</v>
      </c>
      <c r="M84" s="100">
        <f t="shared" ref="M84:M147" si="33">alpha/L84</f>
        <v>6.4859862246965244E-2</v>
      </c>
      <c r="N84" s="44"/>
      <c r="O84" s="44"/>
      <c r="P84" s="40">
        <f t="shared" ref="P84:P147" si="34">E84/C84</f>
        <v>7.7103530765144344</v>
      </c>
      <c r="Q84" s="101">
        <f t="shared" si="27"/>
        <v>2.1185493901541647E-2</v>
      </c>
      <c r="S84" s="101"/>
    </row>
    <row r="85" spans="1:19">
      <c r="A85" s="44">
        <v>72</v>
      </c>
      <c r="B85" s="44">
        <f t="shared" si="25"/>
        <v>4.0795493873054074</v>
      </c>
      <c r="C85" s="44">
        <f t="shared" si="26"/>
        <v>2.0268310020793399</v>
      </c>
      <c r="D85" s="44">
        <f t="shared" si="28"/>
        <v>74.00433394409437</v>
      </c>
      <c r="E85" s="44">
        <f t="shared" si="21"/>
        <v>15.957981594482423</v>
      </c>
      <c r="F85" s="44">
        <f t="shared" si="22"/>
        <v>11.968486195861818</v>
      </c>
      <c r="G85" s="44">
        <f t="shared" si="23"/>
        <v>3.9894953986206056</v>
      </c>
      <c r="H85" s="44">
        <f t="shared" si="24"/>
        <v>1.4800866788818874</v>
      </c>
      <c r="I85" s="44">
        <f t="shared" si="29"/>
        <v>2.509408719738718</v>
      </c>
      <c r="J85" s="100">
        <f t="shared" si="30"/>
        <v>3.4049885205804459E-2</v>
      </c>
      <c r="K85" s="100">
        <f t="shared" si="31"/>
        <v>3.1353458104598851E-2</v>
      </c>
      <c r="L85" s="44">
        <f t="shared" si="32"/>
        <v>4.6374495111387928</v>
      </c>
      <c r="M85" s="100">
        <f t="shared" si="33"/>
        <v>6.4690731247730754E-2</v>
      </c>
      <c r="N85" s="44"/>
      <c r="O85" s="44"/>
      <c r="P85" s="40">
        <f t="shared" si="34"/>
        <v>7.8733656521491033</v>
      </c>
      <c r="Q85" s="101">
        <f t="shared" si="27"/>
        <v>2.1142037727325574E-2</v>
      </c>
      <c r="S85" s="101"/>
    </row>
    <row r="86" spans="1:19">
      <c r="A86" s="44">
        <v>73</v>
      </c>
      <c r="B86" s="44">
        <f t="shared" si="25"/>
        <v>4.1611403750515157</v>
      </c>
      <c r="C86" s="44">
        <f t="shared" si="26"/>
        <v>2.0470993121001331</v>
      </c>
      <c r="D86" s="44">
        <f t="shared" si="28"/>
        <v>76.513742663833085</v>
      </c>
      <c r="E86" s="44">
        <f t="shared" si="21"/>
        <v>16.457646481884442</v>
      </c>
      <c r="F86" s="44">
        <f t="shared" si="22"/>
        <v>12.343234861413332</v>
      </c>
      <c r="G86" s="44">
        <f t="shared" si="23"/>
        <v>4.1144116204711105</v>
      </c>
      <c r="H86" s="44">
        <f t="shared" si="24"/>
        <v>1.5302748532766617</v>
      </c>
      <c r="I86" s="44">
        <f t="shared" si="29"/>
        <v>2.5841367671944488</v>
      </c>
      <c r="J86" s="100">
        <f t="shared" si="30"/>
        <v>3.3908942706442249E-2</v>
      </c>
      <c r="K86" s="100">
        <f t="shared" si="31"/>
        <v>3.1311283600852252E-2</v>
      </c>
      <c r="L86" s="44">
        <f t="shared" si="32"/>
        <v>4.6491302840934559</v>
      </c>
      <c r="M86" s="100">
        <f t="shared" si="33"/>
        <v>6.4528198107594581E-2</v>
      </c>
      <c r="N86" s="44"/>
      <c r="O86" s="44"/>
      <c r="P86" s="40">
        <f t="shared" si="34"/>
        <v>8.0394958781948063</v>
      </c>
      <c r="Q86" s="101">
        <f t="shared" si="27"/>
        <v>2.1100280792923195E-2</v>
      </c>
      <c r="S86" s="101"/>
    </row>
    <row r="87" spans="1:19">
      <c r="A87" s="44">
        <v>74</v>
      </c>
      <c r="B87" s="44">
        <f t="shared" si="25"/>
        <v>4.2443631825525463</v>
      </c>
      <c r="C87" s="44">
        <f t="shared" si="26"/>
        <v>2.0675703052211345</v>
      </c>
      <c r="D87" s="44">
        <f t="shared" si="28"/>
        <v>79.097879431027536</v>
      </c>
      <c r="E87" s="44">
        <f t="shared" si="21"/>
        <v>16.972289439609586</v>
      </c>
      <c r="F87" s="44">
        <f t="shared" si="22"/>
        <v>12.72921707970719</v>
      </c>
      <c r="G87" s="44">
        <f t="shared" si="23"/>
        <v>4.2430723599023965</v>
      </c>
      <c r="H87" s="44">
        <f t="shared" si="24"/>
        <v>1.5819575886205508</v>
      </c>
      <c r="I87" s="44">
        <f t="shared" si="29"/>
        <v>2.6611147712818459</v>
      </c>
      <c r="J87" s="100">
        <f t="shared" si="30"/>
        <v>3.3773498422995513E-2</v>
      </c>
      <c r="K87" s="100">
        <f t="shared" si="31"/>
        <v>3.1270750546964959E-2</v>
      </c>
      <c r="L87" s="44">
        <f t="shared" si="32"/>
        <v>4.6604130640401706</v>
      </c>
      <c r="M87" s="100">
        <f t="shared" si="33"/>
        <v>6.4371976448784188E-2</v>
      </c>
      <c r="N87" s="44"/>
      <c r="O87" s="44"/>
      <c r="P87" s="40">
        <f t="shared" si="34"/>
        <v>8.2088088597279096</v>
      </c>
      <c r="Q87" s="101">
        <f t="shared" si="27"/>
        <v>2.1060149056400912E-2</v>
      </c>
      <c r="S87" s="101"/>
    </row>
    <row r="88" spans="1:19">
      <c r="A88" s="44">
        <v>75</v>
      </c>
      <c r="B88" s="44">
        <f t="shared" si="25"/>
        <v>4.3292504462035977</v>
      </c>
      <c r="C88" s="44">
        <f t="shared" si="26"/>
        <v>2.0882460082733458</v>
      </c>
      <c r="D88" s="44">
        <f t="shared" si="28"/>
        <v>81.758994202309381</v>
      </c>
      <c r="E88" s="44">
        <f t="shared" si="21"/>
        <v>17.502364384708592</v>
      </c>
      <c r="F88" s="44">
        <f t="shared" si="22"/>
        <v>13.126773288531444</v>
      </c>
      <c r="G88" s="44">
        <f t="shared" si="23"/>
        <v>4.375591096177148</v>
      </c>
      <c r="H88" s="44">
        <f t="shared" si="24"/>
        <v>1.6351798840461877</v>
      </c>
      <c r="I88" s="44">
        <f t="shared" si="29"/>
        <v>2.7404112121309603</v>
      </c>
      <c r="J88" s="100">
        <f t="shared" si="30"/>
        <v>3.3643313707320148E-2</v>
      </c>
      <c r="K88" s="100">
        <f t="shared" si="31"/>
        <v>3.1231787967386883E-2</v>
      </c>
      <c r="L88" s="44">
        <f t="shared" si="32"/>
        <v>4.6713113957186438</v>
      </c>
      <c r="M88" s="100">
        <f t="shared" si="33"/>
        <v>6.4221794392674475E-2</v>
      </c>
      <c r="N88" s="44"/>
      <c r="O88" s="44"/>
      <c r="P88" s="40">
        <f t="shared" si="34"/>
        <v>8.3813709282175619</v>
      </c>
      <c r="Q88" s="101">
        <f t="shared" si="27"/>
        <v>2.1021572244937378E-2</v>
      </c>
      <c r="S88" s="101"/>
    </row>
    <row r="89" spans="1:19">
      <c r="A89" s="44">
        <v>76</v>
      </c>
      <c r="B89" s="44">
        <f t="shared" si="25"/>
        <v>4.4158354551276693</v>
      </c>
      <c r="C89" s="44">
        <f t="shared" si="26"/>
        <v>2.1091284683560794</v>
      </c>
      <c r="D89" s="44">
        <f t="shared" si="28"/>
        <v>84.499405414440346</v>
      </c>
      <c r="E89" s="44">
        <f t="shared" si="21"/>
        <v>18.048338888167009</v>
      </c>
      <c r="F89" s="44">
        <f t="shared" si="22"/>
        <v>13.536254166125257</v>
      </c>
      <c r="G89" s="44">
        <f t="shared" si="23"/>
        <v>4.5120847220417524</v>
      </c>
      <c r="H89" s="44">
        <f t="shared" si="24"/>
        <v>1.6899881082888069</v>
      </c>
      <c r="I89" s="44">
        <f t="shared" si="29"/>
        <v>2.8220966137529455</v>
      </c>
      <c r="J89" s="100">
        <f t="shared" si="30"/>
        <v>3.3518161993895457E-2</v>
      </c>
      <c r="K89" s="100">
        <f t="shared" si="31"/>
        <v>3.1194328460869124E-2</v>
      </c>
      <c r="L89" s="44">
        <f t="shared" si="32"/>
        <v>4.6818383640746291</v>
      </c>
      <c r="M89" s="100">
        <f t="shared" si="33"/>
        <v>6.4077393679799824E-2</v>
      </c>
      <c r="N89" s="44"/>
      <c r="O89" s="44"/>
      <c r="P89" s="40">
        <f t="shared" si="34"/>
        <v>8.5572496692126343</v>
      </c>
      <c r="Q89" s="101">
        <f t="shared" si="27"/>
        <v>2.0984483624622963E-2</v>
      </c>
      <c r="S89" s="101"/>
    </row>
    <row r="90" spans="1:19">
      <c r="A90" s="44">
        <v>77</v>
      </c>
      <c r="B90" s="44">
        <f t="shared" si="25"/>
        <v>4.5041521642302227</v>
      </c>
      <c r="C90" s="44">
        <f t="shared" si="26"/>
        <v>2.1302197530396403</v>
      </c>
      <c r="D90" s="44">
        <f t="shared" si="28"/>
        <v>87.321502028193294</v>
      </c>
      <c r="E90" s="44">
        <f t="shared" si="21"/>
        <v>18.610694589859918</v>
      </c>
      <c r="F90" s="44">
        <f t="shared" si="22"/>
        <v>13.958020942394938</v>
      </c>
      <c r="G90" s="44">
        <f t="shared" si="23"/>
        <v>4.6526736474649795</v>
      </c>
      <c r="H90" s="44">
        <f t="shared" si="24"/>
        <v>1.746430040563866</v>
      </c>
      <c r="I90" s="44">
        <f t="shared" si="29"/>
        <v>2.9062436069011133</v>
      </c>
      <c r="J90" s="100">
        <f t="shared" si="30"/>
        <v>3.3397828066499873E-2</v>
      </c>
      <c r="K90" s="100">
        <f t="shared" si="31"/>
        <v>3.1158307984875237E-2</v>
      </c>
      <c r="L90" s="44">
        <f t="shared" si="32"/>
        <v>4.6920066097785851</v>
      </c>
      <c r="M90" s="100">
        <f t="shared" si="33"/>
        <v>6.3938528853469997E-2</v>
      </c>
      <c r="N90" s="44"/>
      <c r="O90" s="44"/>
      <c r="P90" s="40">
        <f t="shared" si="34"/>
        <v>8.7365139504053779</v>
      </c>
      <c r="Q90" s="101">
        <f t="shared" si="27"/>
        <v>2.0948819787005E-2</v>
      </c>
      <c r="S90" s="101"/>
    </row>
    <row r="91" spans="1:19">
      <c r="A91" s="44">
        <v>78</v>
      </c>
      <c r="B91" s="44">
        <f t="shared" si="25"/>
        <v>4.5942352075148269</v>
      </c>
      <c r="C91" s="44">
        <f t="shared" si="26"/>
        <v>2.1515219505700367</v>
      </c>
      <c r="D91" s="44">
        <f t="shared" si="28"/>
        <v>90.227745635094408</v>
      </c>
      <c r="E91" s="44">
        <f t="shared" si="21"/>
        <v>19.18992762589081</v>
      </c>
      <c r="F91" s="44">
        <f t="shared" si="22"/>
        <v>14.392445719418108</v>
      </c>
      <c r="G91" s="44">
        <f t="shared" si="23"/>
        <v>4.7974819064727026</v>
      </c>
      <c r="H91" s="44">
        <f t="shared" si="24"/>
        <v>1.8045549127018883</v>
      </c>
      <c r="I91" s="44">
        <f t="shared" si="29"/>
        <v>2.9929269937708143</v>
      </c>
      <c r="J91" s="100">
        <f t="shared" si="30"/>
        <v>3.3282107377891668E-2</v>
      </c>
      <c r="K91" s="100">
        <f t="shared" si="31"/>
        <v>3.1123665655471498E-2</v>
      </c>
      <c r="L91" s="44">
        <f t="shared" si="32"/>
        <v>4.701828344227847</v>
      </c>
      <c r="M91" s="100">
        <f t="shared" si="33"/>
        <v>6.3804966501657179E-2</v>
      </c>
      <c r="N91" s="44"/>
      <c r="O91" s="44"/>
      <c r="P91" s="40">
        <f t="shared" si="34"/>
        <v>8.919233950091245</v>
      </c>
      <c r="Q91" s="101">
        <f t="shared" si="27"/>
        <v>2.0914520450961881E-2</v>
      </c>
      <c r="S91" s="101"/>
    </row>
    <row r="92" spans="1:19">
      <c r="A92" s="44">
        <v>79</v>
      </c>
      <c r="B92" s="44">
        <f t="shared" si="25"/>
        <v>4.6861199116651235</v>
      </c>
      <c r="C92" s="44">
        <f t="shared" si="26"/>
        <v>2.1730371700757369</v>
      </c>
      <c r="D92" s="44">
        <f t="shared" si="28"/>
        <v>93.220672628865216</v>
      </c>
      <c r="E92" s="44">
        <f t="shared" si="21"/>
        <v>19.786549068698534</v>
      </c>
      <c r="F92" s="44">
        <f t="shared" si="22"/>
        <v>14.8399118015239</v>
      </c>
      <c r="G92" s="44">
        <f t="shared" si="23"/>
        <v>4.9466372671746335</v>
      </c>
      <c r="H92" s="44">
        <f t="shared" si="24"/>
        <v>1.8644134525773044</v>
      </c>
      <c r="I92" s="44">
        <f t="shared" si="29"/>
        <v>3.0822238145973291</v>
      </c>
      <c r="J92" s="100">
        <f t="shared" si="30"/>
        <v>3.317080541804758E-2</v>
      </c>
      <c r="K92" s="100">
        <f t="shared" si="31"/>
        <v>3.1090343561419664E-2</v>
      </c>
      <c r="L92" s="44">
        <f t="shared" si="32"/>
        <v>4.7113153640488168</v>
      </c>
      <c r="M92" s="100">
        <f t="shared" si="33"/>
        <v>6.367648455232798E-2</v>
      </c>
      <c r="N92" s="44"/>
      <c r="O92" s="44"/>
      <c r="P92" s="40">
        <f t="shared" si="34"/>
        <v>9.1054811860438232</v>
      </c>
      <c r="Q92" s="101">
        <f t="shared" si="27"/>
        <v>2.0881528278633488E-2</v>
      </c>
      <c r="S92" s="101"/>
    </row>
    <row r="93" spans="1:19">
      <c r="A93" s="44">
        <v>80</v>
      </c>
      <c r="B93" s="44">
        <f t="shared" si="25"/>
        <v>4.7798423098984264</v>
      </c>
      <c r="C93" s="44">
        <f t="shared" si="26"/>
        <v>2.1947675417764945</v>
      </c>
      <c r="D93" s="44">
        <f t="shared" si="28"/>
        <v>96.302896443462544</v>
      </c>
      <c r="E93" s="44">
        <f t="shared" si="21"/>
        <v>20.401085380326837</v>
      </c>
      <c r="F93" s="44">
        <f t="shared" si="22"/>
        <v>15.300814035245129</v>
      </c>
      <c r="G93" s="44">
        <f t="shared" si="23"/>
        <v>5.1002713450817092</v>
      </c>
      <c r="H93" s="44">
        <f t="shared" si="24"/>
        <v>1.926057928869251</v>
      </c>
      <c r="I93" s="44">
        <f t="shared" si="29"/>
        <v>3.1742134162124582</v>
      </c>
      <c r="J93" s="100">
        <f t="shared" si="30"/>
        <v>3.3063737126939968E-2</v>
      </c>
      <c r="K93" s="100">
        <f t="shared" si="31"/>
        <v>3.1058286591292103E-2</v>
      </c>
      <c r="L93" s="44">
        <f t="shared" si="32"/>
        <v>4.7204790651152955</v>
      </c>
      <c r="M93" s="100">
        <f t="shared" si="33"/>
        <v>6.3552871617845563E-2</v>
      </c>
      <c r="N93" s="44"/>
      <c r="O93" s="44"/>
      <c r="P93" s="40">
        <f t="shared" si="34"/>
        <v>9.2953285448233558</v>
      </c>
      <c r="Q93" s="101">
        <f t="shared" si="27"/>
        <v>2.0849788704249476E-2</v>
      </c>
      <c r="S93" s="101"/>
    </row>
    <row r="94" spans="1:19">
      <c r="A94" s="44">
        <v>81</v>
      </c>
      <c r="B94" s="44">
        <f t="shared" si="25"/>
        <v>4.8754391560963954</v>
      </c>
      <c r="C94" s="44">
        <f t="shared" si="26"/>
        <v>2.2167152171942592</v>
      </c>
      <c r="D94" s="44">
        <f t="shared" si="28"/>
        <v>99.477109859674997</v>
      </c>
      <c r="E94" s="44">
        <f t="shared" si="21"/>
        <v>21.034078879262374</v>
      </c>
      <c r="F94" s="44">
        <f t="shared" si="22"/>
        <v>15.775559159446781</v>
      </c>
      <c r="G94" s="44">
        <f t="shared" si="23"/>
        <v>5.2585197198155935</v>
      </c>
      <c r="H94" s="44">
        <f t="shared" si="24"/>
        <v>1.9895421971934999</v>
      </c>
      <c r="I94" s="44">
        <f t="shared" si="29"/>
        <v>3.2689775226220936</v>
      </c>
      <c r="J94" s="100">
        <f t="shared" si="30"/>
        <v>3.2960726348204579E-2</v>
      </c>
      <c r="K94" s="100">
        <f t="shared" si="31"/>
        <v>3.1027442272554048E-2</v>
      </c>
      <c r="L94" s="44">
        <f t="shared" si="32"/>
        <v>4.729330456098559</v>
      </c>
      <c r="M94" s="100">
        <f t="shared" si="33"/>
        <v>6.3433926384472553E-2</v>
      </c>
      <c r="N94" s="44"/>
      <c r="O94" s="44"/>
      <c r="P94" s="40">
        <f t="shared" si="34"/>
        <v>9.4888503115369183</v>
      </c>
      <c r="Q94" s="101">
        <f t="shared" si="27"/>
        <v>2.0819249774806113E-2</v>
      </c>
      <c r="S94" s="101"/>
    </row>
    <row r="95" spans="1:19">
      <c r="A95" s="44">
        <v>82</v>
      </c>
      <c r="B95" s="44">
        <f t="shared" si="25"/>
        <v>4.9729479392183231</v>
      </c>
      <c r="C95" s="44">
        <f t="shared" si="26"/>
        <v>2.2388823693662019</v>
      </c>
      <c r="D95" s="44">
        <f t="shared" si="28"/>
        <v>102.74608738229709</v>
      </c>
      <c r="E95" s="44">
        <f t="shared" si="21"/>
        <v>21.686088221258554</v>
      </c>
      <c r="F95" s="44">
        <f t="shared" si="22"/>
        <v>16.264566165943915</v>
      </c>
      <c r="G95" s="44">
        <f t="shared" si="23"/>
        <v>5.4215220553146386</v>
      </c>
      <c r="H95" s="44">
        <f t="shared" si="24"/>
        <v>2.0549217476459418</v>
      </c>
      <c r="I95" s="44">
        <f t="shared" si="29"/>
        <v>3.3666003076686968</v>
      </c>
      <c r="J95" s="100">
        <f t="shared" si="30"/>
        <v>3.2861605320393804E-2</v>
      </c>
      <c r="K95" s="100">
        <f t="shared" si="31"/>
        <v>3.09977606216453E-2</v>
      </c>
      <c r="L95" s="44">
        <f t="shared" si="32"/>
        <v>4.7378801715643952</v>
      </c>
      <c r="M95" s="100">
        <f t="shared" si="33"/>
        <v>6.3319457043368693E-2</v>
      </c>
      <c r="N95" s="44"/>
      <c r="O95" s="44"/>
      <c r="P95" s="40">
        <f t="shared" si="34"/>
        <v>9.686122200067885</v>
      </c>
      <c r="Q95" s="101">
        <f t="shared" si="27"/>
        <v>2.0789862001628988E-2</v>
      </c>
      <c r="S95" s="101"/>
    </row>
    <row r="96" spans="1:19">
      <c r="A96" s="44">
        <v>83</v>
      </c>
      <c r="B96" s="44">
        <f t="shared" si="25"/>
        <v>5.07240689800269</v>
      </c>
      <c r="C96" s="44">
        <f t="shared" si="26"/>
        <v>2.2612711930598639</v>
      </c>
      <c r="D96" s="44">
        <f t="shared" si="28"/>
        <v>106.11268768996578</v>
      </c>
      <c r="E96" s="44">
        <f t="shared" si="21"/>
        <v>22.357688894574892</v>
      </c>
      <c r="F96" s="44">
        <f t="shared" si="22"/>
        <v>16.768266670931169</v>
      </c>
      <c r="G96" s="44">
        <f t="shared" si="23"/>
        <v>5.589422223643723</v>
      </c>
      <c r="H96" s="44">
        <f t="shared" si="24"/>
        <v>2.1222537537993156</v>
      </c>
      <c r="I96" s="44">
        <f t="shared" si="29"/>
        <v>3.4671684698444074</v>
      </c>
      <c r="J96" s="100">
        <f t="shared" si="30"/>
        <v>3.2766214202807183E-2</v>
      </c>
      <c r="K96" s="100">
        <f t="shared" si="31"/>
        <v>3.0969194004199303E-2</v>
      </c>
      <c r="L96" s="44">
        <f t="shared" si="32"/>
        <v>4.74613848463175</v>
      </c>
      <c r="M96" s="100">
        <f t="shared" si="33"/>
        <v>6.3209280759804212E-2</v>
      </c>
      <c r="N96" s="44"/>
      <c r="O96" s="44"/>
      <c r="P96" s="40">
        <f t="shared" si="34"/>
        <v>9.8872213837922462</v>
      </c>
      <c r="Q96" s="101">
        <f t="shared" si="27"/>
        <v>2.0761578221979462E-2</v>
      </c>
      <c r="S96" s="101"/>
    </row>
    <row r="97" spans="1:19">
      <c r="A97" s="44">
        <v>84</v>
      </c>
      <c r="B97" s="44">
        <f t="shared" si="25"/>
        <v>5.1738550359627435</v>
      </c>
      <c r="C97" s="44">
        <f t="shared" si="26"/>
        <v>2.2838839049904625</v>
      </c>
      <c r="D97" s="44">
        <f t="shared" si="28"/>
        <v>109.57985615981019</v>
      </c>
      <c r="E97" s="44">
        <f t="shared" si="21"/>
        <v>23.049473730073618</v>
      </c>
      <c r="F97" s="44">
        <f t="shared" si="22"/>
        <v>17.287105297555215</v>
      </c>
      <c r="G97" s="44">
        <f t="shared" si="23"/>
        <v>5.7623684325184046</v>
      </c>
      <c r="H97" s="44">
        <f t="shared" si="24"/>
        <v>2.1915971231962037</v>
      </c>
      <c r="I97" s="44">
        <f t="shared" si="29"/>
        <v>3.5707713093222009</v>
      </c>
      <c r="J97" s="100">
        <f t="shared" si="30"/>
        <v>3.2674400633170203E-2</v>
      </c>
      <c r="K97" s="100">
        <f t="shared" si="31"/>
        <v>3.0941697004585676E-2</v>
      </c>
      <c r="L97" s="44">
        <f t="shared" si="32"/>
        <v>4.754115319207342</v>
      </c>
      <c r="M97" s="100">
        <f t="shared" si="33"/>
        <v>6.310322317760253E-2</v>
      </c>
      <c r="N97" s="44"/>
      <c r="O97" s="44"/>
      <c r="P97" s="40">
        <f t="shared" si="34"/>
        <v>10.092226526798818</v>
      </c>
      <c r="Q97" s="101">
        <f t="shared" si="27"/>
        <v>2.0734353469886807E-2</v>
      </c>
      <c r="S97" s="101"/>
    </row>
    <row r="98" spans="1:19">
      <c r="A98" s="44">
        <v>85</v>
      </c>
      <c r="B98" s="44">
        <f t="shared" si="25"/>
        <v>5.2773321366819985</v>
      </c>
      <c r="C98" s="44">
        <f t="shared" si="26"/>
        <v>2.3067227440403673</v>
      </c>
      <c r="D98" s="44">
        <f t="shared" si="28"/>
        <v>113.15062746913239</v>
      </c>
      <c r="E98" s="44">
        <f t="shared" si="21"/>
        <v>23.762053426628572</v>
      </c>
      <c r="F98" s="44">
        <f t="shared" si="22"/>
        <v>17.82154006997143</v>
      </c>
      <c r="G98" s="44">
        <f t="shared" si="23"/>
        <v>5.9405133566571431</v>
      </c>
      <c r="H98" s="44">
        <f t="shared" si="24"/>
        <v>2.2630125493826476</v>
      </c>
      <c r="I98" s="44">
        <f t="shared" si="29"/>
        <v>3.6775008072744955</v>
      </c>
      <c r="J98" s="100">
        <f t="shared" si="30"/>
        <v>3.2586019314668736E-2</v>
      </c>
      <c r="K98" s="100">
        <f t="shared" si="31"/>
        <v>3.0915226304070505E-2</v>
      </c>
      <c r="L98" s="44">
        <f t="shared" si="32"/>
        <v>4.7618202618100298</v>
      </c>
      <c r="M98" s="100">
        <f t="shared" si="33"/>
        <v>6.3001117956091451E-2</v>
      </c>
      <c r="N98" s="44"/>
      <c r="O98" s="44"/>
      <c r="P98" s="40">
        <f t="shared" si="34"/>
        <v>10.301217815630443</v>
      </c>
      <c r="Q98" s="101">
        <f t="shared" si="27"/>
        <v>2.0708144855515354E-2</v>
      </c>
      <c r="S98" s="101"/>
    </row>
    <row r="99" spans="1:19">
      <c r="A99" s="44">
        <v>86</v>
      </c>
      <c r="B99" s="44">
        <f t="shared" si="25"/>
        <v>5.3828787794156385</v>
      </c>
      <c r="C99" s="44">
        <f t="shared" si="26"/>
        <v>2.3297899714807708</v>
      </c>
      <c r="D99" s="44">
        <f t="shared" si="28"/>
        <v>116.82812827640689</v>
      </c>
      <c r="E99" s="44">
        <f t="shared" si="21"/>
        <v>24.496057092314228</v>
      </c>
      <c r="F99" s="44">
        <f t="shared" si="22"/>
        <v>18.37204281923567</v>
      </c>
      <c r="G99" s="44">
        <f t="shared" si="23"/>
        <v>6.1240142730785569</v>
      </c>
      <c r="H99" s="44">
        <f t="shared" si="24"/>
        <v>2.3365625655281379</v>
      </c>
      <c r="I99" s="44">
        <f t="shared" si="29"/>
        <v>3.787451707550419</v>
      </c>
      <c r="J99" s="100">
        <f t="shared" si="30"/>
        <v>3.2500931630076238E-2</v>
      </c>
      <c r="K99" s="100">
        <f t="shared" si="31"/>
        <v>3.0889740566911853E-2</v>
      </c>
      <c r="L99" s="44">
        <f t="shared" si="32"/>
        <v>4.7692625729984259</v>
      </c>
      <c r="M99" s="100">
        <f t="shared" si="33"/>
        <v>6.290280633707919E-2</v>
      </c>
      <c r="N99" s="44"/>
      <c r="O99" s="44"/>
      <c r="P99" s="40">
        <f t="shared" si="34"/>
        <v>10.514276991562889</v>
      </c>
      <c r="Q99" s="101">
        <f t="shared" si="27"/>
        <v>2.0682911452388052E-2</v>
      </c>
      <c r="S99" s="101"/>
    </row>
    <row r="100" spans="1:19">
      <c r="A100" s="44">
        <v>87</v>
      </c>
      <c r="B100" s="44">
        <f t="shared" si="25"/>
        <v>5.4905363550039512</v>
      </c>
      <c r="C100" s="44">
        <f t="shared" si="26"/>
        <v>2.3530878711955787</v>
      </c>
      <c r="D100" s="44">
        <f t="shared" si="28"/>
        <v>120.6155799839573</v>
      </c>
      <c r="E100" s="44">
        <f t="shared" si="21"/>
        <v>25.252132801856987</v>
      </c>
      <c r="F100" s="44">
        <f t="shared" si="22"/>
        <v>18.939099601392741</v>
      </c>
      <c r="G100" s="44">
        <f t="shared" si="23"/>
        <v>6.3130332004642469</v>
      </c>
      <c r="H100" s="44">
        <f t="shared" si="24"/>
        <v>2.4123115996791462</v>
      </c>
      <c r="I100" s="44">
        <f t="shared" si="29"/>
        <v>3.9007216007851007</v>
      </c>
      <c r="J100" s="100">
        <f t="shared" si="30"/>
        <v>3.2419005280899311E-2</v>
      </c>
      <c r="K100" s="100">
        <f t="shared" si="31"/>
        <v>3.086520033381138E-2</v>
      </c>
      <c r="L100" s="44">
        <f t="shared" si="32"/>
        <v>4.7764511984147138</v>
      </c>
      <c r="M100" s="100">
        <f t="shared" si="33"/>
        <v>6.2808136739587933E-2</v>
      </c>
      <c r="N100" s="44"/>
      <c r="O100" s="44"/>
      <c r="P100" s="40">
        <f t="shared" si="34"/>
        <v>10.731487383438278</v>
      </c>
      <c r="Q100" s="101">
        <f t="shared" si="27"/>
        <v>2.065861419189239E-2</v>
      </c>
      <c r="S100" s="101"/>
    </row>
    <row r="101" spans="1:19">
      <c r="A101" s="44">
        <v>88</v>
      </c>
      <c r="B101" s="44">
        <f t="shared" si="25"/>
        <v>5.6003470821040304</v>
      </c>
      <c r="C101" s="44">
        <f t="shared" si="26"/>
        <v>2.3766187499075344</v>
      </c>
      <c r="D101" s="44">
        <f t="shared" si="28"/>
        <v>124.51630158474241</v>
      </c>
      <c r="E101" s="44">
        <f t="shared" si="21"/>
        <v>26.030948170844521</v>
      </c>
      <c r="F101" s="44">
        <f t="shared" si="22"/>
        <v>19.52321112813339</v>
      </c>
      <c r="G101" s="44">
        <f t="shared" si="23"/>
        <v>6.5077370427111303</v>
      </c>
      <c r="H101" s="44">
        <f t="shared" si="24"/>
        <v>2.4903260316948481</v>
      </c>
      <c r="I101" s="44">
        <f t="shared" si="29"/>
        <v>4.0174110110162822</v>
      </c>
      <c r="J101" s="100">
        <f t="shared" si="30"/>
        <v>3.2340113949656642E-2</v>
      </c>
      <c r="K101" s="100">
        <f t="shared" si="31"/>
        <v>3.0841567922146412E-2</v>
      </c>
      <c r="L101" s="44">
        <f t="shared" si="32"/>
        <v>4.7833947794573453</v>
      </c>
      <c r="M101" s="100">
        <f t="shared" si="33"/>
        <v>6.271696438027087E-2</v>
      </c>
      <c r="N101" s="44"/>
      <c r="O101" s="44"/>
      <c r="P101" s="40">
        <f t="shared" si="34"/>
        <v>10.952933941069551</v>
      </c>
      <c r="Q101" s="101">
        <f t="shared" si="27"/>
        <v>2.0635215764501356E-2</v>
      </c>
      <c r="S101" s="101"/>
    </row>
    <row r="102" spans="1:19">
      <c r="A102" s="44">
        <v>89</v>
      </c>
      <c r="B102" s="44">
        <f t="shared" si="25"/>
        <v>5.7123540237461112</v>
      </c>
      <c r="C102" s="44">
        <f t="shared" si="26"/>
        <v>2.40038493740661</v>
      </c>
      <c r="D102" s="44">
        <f t="shared" si="28"/>
        <v>128.53371259575869</v>
      </c>
      <c r="E102" s="44">
        <f t="shared" si="21"/>
        <v>26.833190947203903</v>
      </c>
      <c r="F102" s="44">
        <f t="shared" si="22"/>
        <v>20.124893210402927</v>
      </c>
      <c r="G102" s="44">
        <f t="shared" si="23"/>
        <v>6.7082977368009757</v>
      </c>
      <c r="H102" s="44">
        <f t="shared" si="24"/>
        <v>2.570674251915174</v>
      </c>
      <c r="I102" s="44">
        <f t="shared" si="29"/>
        <v>4.1376234848858022</v>
      </c>
      <c r="J102" s="100">
        <f t="shared" si="30"/>
        <v>3.2264136983559039E-2</v>
      </c>
      <c r="K102" s="100">
        <f t="shared" si="31"/>
        <v>3.0818807332493516E-2</v>
      </c>
      <c r="L102" s="44">
        <f t="shared" si="32"/>
        <v>4.7901016635948128</v>
      </c>
      <c r="M102" s="100">
        <f t="shared" si="33"/>
        <v>6.2629150917615367E-2</v>
      </c>
      <c r="N102" s="44"/>
      <c r="O102" s="44"/>
      <c r="P102" s="40">
        <f t="shared" si="34"/>
        <v>11.178703269232576</v>
      </c>
      <c r="Q102" s="101">
        <f t="shared" si="27"/>
        <v>2.0612680527221275E-2</v>
      </c>
      <c r="S102" s="101"/>
    </row>
    <row r="103" spans="1:19">
      <c r="A103" s="44">
        <v>90</v>
      </c>
      <c r="B103" s="44">
        <f t="shared" si="25"/>
        <v>5.8266011042210337</v>
      </c>
      <c r="C103" s="44">
        <f t="shared" si="26"/>
        <v>2.4243887867806762</v>
      </c>
      <c r="D103" s="44">
        <f t="shared" si="28"/>
        <v>132.67133608064449</v>
      </c>
      <c r="E103" s="44">
        <f t="shared" si="21"/>
        <v>27.659569620474446</v>
      </c>
      <c r="F103" s="44">
        <f t="shared" si="22"/>
        <v>20.744677215355836</v>
      </c>
      <c r="G103" s="44">
        <f t="shared" si="23"/>
        <v>6.9148924051186116</v>
      </c>
      <c r="H103" s="44">
        <f t="shared" si="24"/>
        <v>2.6534267216128899</v>
      </c>
      <c r="I103" s="44">
        <f t="shared" si="29"/>
        <v>4.2614656835057216</v>
      </c>
      <c r="J103" s="100">
        <f t="shared" si="30"/>
        <v>3.2190959098012853E-2</v>
      </c>
      <c r="K103" s="100">
        <f t="shared" si="31"/>
        <v>3.0796884160981773E-2</v>
      </c>
      <c r="L103" s="44">
        <f t="shared" si="32"/>
        <v>4.796579914332332</v>
      </c>
      <c r="M103" s="100">
        <f t="shared" si="33"/>
        <v>6.2544564118193993E-2</v>
      </c>
      <c r="N103" s="44"/>
      <c r="O103" s="44"/>
      <c r="P103" s="40">
        <f t="shared" si="34"/>
        <v>11.408883662262495</v>
      </c>
      <c r="Q103" s="101">
        <f t="shared" si="27"/>
        <v>2.0590974416813613E-2</v>
      </c>
      <c r="S103" s="101"/>
    </row>
    <row r="104" spans="1:19">
      <c r="A104" s="44">
        <v>91</v>
      </c>
      <c r="B104" s="44">
        <f t="shared" si="25"/>
        <v>5.9431331263054545</v>
      </c>
      <c r="C104" s="44">
        <f t="shared" si="26"/>
        <v>2.4486326746484828</v>
      </c>
      <c r="D104" s="44">
        <f t="shared" si="28"/>
        <v>136.93280176415021</v>
      </c>
      <c r="E104" s="44">
        <f t="shared" si="21"/>
        <v>28.510814049416251</v>
      </c>
      <c r="F104" s="44">
        <f t="shared" si="22"/>
        <v>21.383110537062187</v>
      </c>
      <c r="G104" s="44">
        <f t="shared" si="23"/>
        <v>7.1277035123540626</v>
      </c>
      <c r="H104" s="44">
        <f t="shared" si="24"/>
        <v>2.7386560352830043</v>
      </c>
      <c r="I104" s="44">
        <f t="shared" si="29"/>
        <v>4.3890474770710579</v>
      </c>
      <c r="J104" s="100">
        <f t="shared" si="30"/>
        <v>3.2120470098494974E-2</v>
      </c>
      <c r="K104" s="100">
        <f t="shared" si="31"/>
        <v>3.07757655170342E-2</v>
      </c>
      <c r="L104" s="44">
        <f t="shared" si="32"/>
        <v>4.8028373208429613</v>
      </c>
      <c r="M104" s="100">
        <f t="shared" si="33"/>
        <v>6.246307754336889E-2</v>
      </c>
      <c r="N104" s="44"/>
      <c r="O104" s="44"/>
      <c r="P104" s="40">
        <f t="shared" si="34"/>
        <v>11.6435651392707</v>
      </c>
      <c r="Q104" s="101">
        <f t="shared" si="27"/>
        <v>2.0570064868350658E-2</v>
      </c>
      <c r="S104" s="101"/>
    </row>
    <row r="105" spans="1:19">
      <c r="A105" s="44">
        <v>92</v>
      </c>
      <c r="B105" s="44">
        <f t="shared" si="25"/>
        <v>6.0619957888315641</v>
      </c>
      <c r="C105" s="44">
        <f t="shared" si="26"/>
        <v>2.4731190013949678</v>
      </c>
      <c r="D105" s="44">
        <f t="shared" si="28"/>
        <v>141.32184924122126</v>
      </c>
      <c r="E105" s="44">
        <f t="shared" si="21"/>
        <v>29.387676108512416</v>
      </c>
      <c r="F105" s="44">
        <f t="shared" si="22"/>
        <v>22.040757081384314</v>
      </c>
      <c r="G105" s="44">
        <f t="shared" si="23"/>
        <v>7.346919027128104</v>
      </c>
      <c r="H105" s="44">
        <f t="shared" si="24"/>
        <v>2.8264369848244253</v>
      </c>
      <c r="I105" s="44">
        <f t="shared" si="29"/>
        <v>4.5204820423036782</v>
      </c>
      <c r="J105" s="100">
        <f t="shared" si="30"/>
        <v>3.2052564619473985E-2</v>
      </c>
      <c r="K105" s="100">
        <f t="shared" si="31"/>
        <v>3.0755419946142112E-2</v>
      </c>
      <c r="L105" s="44">
        <f t="shared" si="32"/>
        <v>4.808881407274189</v>
      </c>
      <c r="M105" s="100">
        <f t="shared" si="33"/>
        <v>6.2384570254987538E-2</v>
      </c>
      <c r="N105" s="44"/>
      <c r="O105" s="44"/>
      <c r="P105" s="40">
        <f t="shared" si="34"/>
        <v>11.882839479999239</v>
      </c>
      <c r="Q105" s="101">
        <f t="shared" si="27"/>
        <v>2.0549920738754571E-2</v>
      </c>
      <c r="S105" s="101"/>
    </row>
    <row r="106" spans="1:19">
      <c r="A106" s="44">
        <v>93</v>
      </c>
      <c r="B106" s="44">
        <f t="shared" si="25"/>
        <v>6.1832357046081956</v>
      </c>
      <c r="C106" s="44">
        <f t="shared" si="26"/>
        <v>2.4978501914089173</v>
      </c>
      <c r="D106" s="44">
        <f t="shared" si="28"/>
        <v>145.84233128352494</v>
      </c>
      <c r="E106" s="44">
        <f t="shared" si="21"/>
        <v>30.290930353938304</v>
      </c>
      <c r="F106" s="44">
        <f t="shared" si="22"/>
        <v>22.718197765453727</v>
      </c>
      <c r="G106" s="44">
        <f t="shared" si="23"/>
        <v>7.572732588484576</v>
      </c>
      <c r="H106" s="44">
        <f t="shared" si="24"/>
        <v>2.916846625670499</v>
      </c>
      <c r="I106" s="44">
        <f t="shared" si="29"/>
        <v>4.655885962814077</v>
      </c>
      <c r="J106" s="100">
        <f t="shared" si="30"/>
        <v>3.1987141879156314E-2</v>
      </c>
      <c r="K106" s="100">
        <f t="shared" si="31"/>
        <v>3.0735817357271471E-2</v>
      </c>
      <c r="L106" s="44">
        <f t="shared" si="32"/>
        <v>4.8147194417408548</v>
      </c>
      <c r="M106" s="100">
        <f t="shared" si="33"/>
        <v>6.2308926538724593E-2</v>
      </c>
      <c r="N106" s="44"/>
      <c r="O106" s="44"/>
      <c r="P106" s="40">
        <f t="shared" si="34"/>
        <v>12.126800261328981</v>
      </c>
      <c r="Q106" s="101">
        <f t="shared" si="27"/>
        <v>2.053051223492227E-2</v>
      </c>
      <c r="S106" s="101"/>
    </row>
    <row r="107" spans="1:19">
      <c r="A107" s="44">
        <v>94</v>
      </c>
      <c r="B107" s="44">
        <f t="shared" si="25"/>
        <v>6.3069004187003594</v>
      </c>
      <c r="C107" s="44">
        <f t="shared" si="26"/>
        <v>2.5228286933230066</v>
      </c>
      <c r="D107" s="44">
        <f t="shared" si="28"/>
        <v>150.49821724633901</v>
      </c>
      <c r="E107" s="44">
        <f t="shared" si="21"/>
        <v>31.221374709589689</v>
      </c>
      <c r="F107" s="44">
        <f t="shared" si="22"/>
        <v>23.416031032192265</v>
      </c>
      <c r="G107" s="44">
        <f t="shared" si="23"/>
        <v>7.8053436773974223</v>
      </c>
      <c r="H107" s="44">
        <f t="shared" si="24"/>
        <v>3.0099643449267801</v>
      </c>
      <c r="I107" s="44">
        <f t="shared" si="29"/>
        <v>4.7953793324706417</v>
      </c>
      <c r="J107" s="100">
        <f t="shared" si="30"/>
        <v>3.1924105448937097E-2</v>
      </c>
      <c r="K107" s="100">
        <f t="shared" si="31"/>
        <v>3.0716928954623961E-2</v>
      </c>
      <c r="L107" s="44">
        <f t="shared" si="32"/>
        <v>4.8203584450146995</v>
      </c>
      <c r="M107" s="100">
        <f t="shared" si="33"/>
        <v>6.2236035643835848E-2</v>
      </c>
      <c r="N107" s="44"/>
      <c r="O107" s="44"/>
      <c r="P107" s="40">
        <f t="shared" si="34"/>
        <v>12.375542894458553</v>
      </c>
      <c r="Q107" s="101">
        <f t="shared" si="27"/>
        <v>2.0511810846162323E-2</v>
      </c>
      <c r="S107" s="101"/>
    </row>
    <row r="108" spans="1:19">
      <c r="A108" s="44">
        <v>95</v>
      </c>
      <c r="B108" s="44">
        <f t="shared" si="25"/>
        <v>6.4330384270743668</v>
      </c>
      <c r="C108" s="44">
        <f t="shared" si="26"/>
        <v>2.5480569802562365</v>
      </c>
      <c r="D108" s="44">
        <f t="shared" si="28"/>
        <v>155.29359657880966</v>
      </c>
      <c r="E108" s="44">
        <f t="shared" si="21"/>
        <v>32.179831173777956</v>
      </c>
      <c r="F108" s="44">
        <f t="shared" si="22"/>
        <v>24.134873380333467</v>
      </c>
      <c r="G108" s="44">
        <f t="shared" si="23"/>
        <v>8.0449577934444889</v>
      </c>
      <c r="H108" s="44">
        <f t="shared" si="24"/>
        <v>3.1058719315761931</v>
      </c>
      <c r="I108" s="44">
        <f t="shared" si="29"/>
        <v>4.9390858618682962</v>
      </c>
      <c r="J108" s="100">
        <f t="shared" si="30"/>
        <v>3.1863363036529903E-2</v>
      </c>
      <c r="K108" s="100">
        <f t="shared" si="31"/>
        <v>3.0698727173402624E-2</v>
      </c>
      <c r="L108" s="44">
        <f t="shared" si="32"/>
        <v>4.8258051989207491</v>
      </c>
      <c r="M108" s="100">
        <f t="shared" si="33"/>
        <v>6.2165791538185682E-2</v>
      </c>
      <c r="N108" s="44"/>
      <c r="O108" s="44"/>
      <c r="P108" s="40">
        <f t="shared" si="34"/>
        <v>12.629164662770572</v>
      </c>
      <c r="Q108" s="101">
        <f t="shared" si="27"/>
        <v>2.049378928059669E-2</v>
      </c>
      <c r="S108" s="101"/>
    </row>
    <row r="109" spans="1:19">
      <c r="A109" s="44">
        <v>96</v>
      </c>
      <c r="B109" s="44">
        <f t="shared" si="25"/>
        <v>6.5616991956158541</v>
      </c>
      <c r="C109" s="44">
        <f t="shared" si="26"/>
        <v>2.5735375500587989</v>
      </c>
      <c r="D109" s="44">
        <f t="shared" si="28"/>
        <v>160.23268244067796</v>
      </c>
      <c r="E109" s="44">
        <f t="shared" si="21"/>
        <v>33.167146547219751</v>
      </c>
      <c r="F109" s="44">
        <f t="shared" si="22"/>
        <v>24.875359910414815</v>
      </c>
      <c r="G109" s="44">
        <f t="shared" si="23"/>
        <v>8.2917866368049378</v>
      </c>
      <c r="H109" s="44">
        <f t="shared" si="24"/>
        <v>3.2046536488135593</v>
      </c>
      <c r="I109" s="44">
        <f t="shared" si="29"/>
        <v>5.087132987991378</v>
      </c>
      <c r="J109" s="100">
        <f t="shared" si="30"/>
        <v>3.1804826281821477E-2</v>
      </c>
      <c r="K109" s="100">
        <f t="shared" si="31"/>
        <v>3.0681185619342802E-2</v>
      </c>
      <c r="L109" s="44">
        <f t="shared" si="32"/>
        <v>4.8310662544502048</v>
      </c>
      <c r="M109" s="100">
        <f t="shared" si="33"/>
        <v>6.2098092677501736E-2</v>
      </c>
      <c r="N109" s="44"/>
      <c r="O109" s="44"/>
      <c r="P109" s="40">
        <f t="shared" si="34"/>
        <v>12.887764760402257</v>
      </c>
      <c r="Q109" s="101">
        <f t="shared" si="27"/>
        <v>2.0476421405289838E-2</v>
      </c>
      <c r="S109" s="101"/>
    </row>
    <row r="110" spans="1:19">
      <c r="A110" s="44">
        <v>97</v>
      </c>
      <c r="B110" s="44">
        <f t="shared" si="25"/>
        <v>6.692933179528171</v>
      </c>
      <c r="C110" s="44">
        <f t="shared" si="26"/>
        <v>2.5992729255593869</v>
      </c>
      <c r="D110" s="44">
        <f t="shared" si="28"/>
        <v>165.31981542866933</v>
      </c>
      <c r="E110" s="44">
        <f t="shared" si="21"/>
        <v>34.184193182966609</v>
      </c>
      <c r="F110" s="44">
        <f t="shared" si="22"/>
        <v>25.638144887224957</v>
      </c>
      <c r="G110" s="44">
        <f t="shared" si="23"/>
        <v>8.5460482957416524</v>
      </c>
      <c r="H110" s="44">
        <f t="shared" si="24"/>
        <v>3.3063963085733867</v>
      </c>
      <c r="I110" s="44">
        <f t="shared" si="29"/>
        <v>5.2396519871682656</v>
      </c>
      <c r="J110" s="100">
        <f t="shared" si="30"/>
        <v>3.174841056458471E-2</v>
      </c>
      <c r="K110" s="100">
        <f t="shared" si="31"/>
        <v>3.0664279011729235E-2</v>
      </c>
      <c r="L110" s="44">
        <f t="shared" si="32"/>
        <v>4.8361479395993268</v>
      </c>
      <c r="M110" s="100">
        <f t="shared" si="33"/>
        <v>6.203284178789098E-2</v>
      </c>
      <c r="N110" s="44"/>
      <c r="O110" s="44"/>
      <c r="P110" s="40">
        <f t="shared" si="34"/>
        <v>13.151444331537391</v>
      </c>
      <c r="Q110" s="101">
        <f t="shared" si="27"/>
        <v>2.0459682189830998E-2</v>
      </c>
      <c r="S110" s="101"/>
    </row>
    <row r="111" spans="1:19">
      <c r="A111" s="44">
        <v>98</v>
      </c>
      <c r="B111" s="44">
        <f t="shared" si="25"/>
        <v>6.8267918431187349</v>
      </c>
      <c r="C111" s="44">
        <f t="shared" si="26"/>
        <v>2.6252656548149806</v>
      </c>
      <c r="D111" s="44">
        <f t="shared" si="28"/>
        <v>170.55946741583759</v>
      </c>
      <c r="E111" s="44">
        <f t="shared" si="21"/>
        <v>35.231869758939588</v>
      </c>
      <c r="F111" s="44">
        <f t="shared" si="22"/>
        <v>26.423902319204693</v>
      </c>
      <c r="G111" s="44">
        <f t="shared" si="23"/>
        <v>8.807967439734897</v>
      </c>
      <c r="H111" s="44">
        <f t="shared" si="24"/>
        <v>3.4111893483167517</v>
      </c>
      <c r="I111" s="44">
        <f t="shared" si="29"/>
        <v>5.3967780914181454</v>
      </c>
      <c r="J111" s="100">
        <f t="shared" si="30"/>
        <v>3.1694034823242442E-2</v>
      </c>
      <c r="K111" s="100">
        <f t="shared" si="31"/>
        <v>3.0647983129671107E-2</v>
      </c>
      <c r="L111" s="44">
        <f t="shared" si="32"/>
        <v>4.8410563669434703</v>
      </c>
      <c r="M111" s="100">
        <f t="shared" si="33"/>
        <v>6.1969945660726312E-2</v>
      </c>
      <c r="N111" s="44"/>
      <c r="O111" s="44"/>
      <c r="P111" s="40">
        <f t="shared" si="34"/>
        <v>13.42030651043679</v>
      </c>
      <c r="Q111" s="101">
        <f t="shared" si="27"/>
        <v>2.0443547653139712E-2</v>
      </c>
      <c r="S111" s="101"/>
    </row>
    <row r="112" spans="1:19">
      <c r="A112" s="44">
        <v>99</v>
      </c>
      <c r="B112" s="44">
        <f t="shared" si="25"/>
        <v>6.9633276799811101</v>
      </c>
      <c r="C112" s="44">
        <f t="shared" si="26"/>
        <v>2.6515183113631307</v>
      </c>
      <c r="D112" s="44">
        <f t="shared" si="28"/>
        <v>175.95624550725574</v>
      </c>
      <c r="E112" s="44">
        <f t="shared" si="21"/>
        <v>36.311102073754007</v>
      </c>
      <c r="F112" s="44">
        <f t="shared" si="22"/>
        <v>27.233326555315507</v>
      </c>
      <c r="G112" s="44">
        <f t="shared" si="23"/>
        <v>9.0777755184385018</v>
      </c>
      <c r="H112" s="44">
        <f t="shared" si="24"/>
        <v>3.519124910145115</v>
      </c>
      <c r="I112" s="44">
        <f t="shared" si="29"/>
        <v>5.5586506082933873</v>
      </c>
      <c r="J112" s="100">
        <f t="shared" si="30"/>
        <v>3.164162138393866E-2</v>
      </c>
      <c r="K112" s="100">
        <f t="shared" si="31"/>
        <v>3.0632274761420497E-2</v>
      </c>
      <c r="L112" s="44">
        <f t="shared" si="32"/>
        <v>4.845797440955077</v>
      </c>
      <c r="M112" s="100">
        <f t="shared" si="33"/>
        <v>6.1909314959081703E-2</v>
      </c>
      <c r="N112" s="44"/>
      <c r="O112" s="44"/>
      <c r="P112" s="40">
        <f t="shared" si="34"/>
        <v>13.694456462224721</v>
      </c>
      <c r="Q112" s="101">
        <f t="shared" si="27"/>
        <v>2.0427994813287526E-2</v>
      </c>
      <c r="S112" s="101"/>
    </row>
    <row r="113" spans="1:19">
      <c r="A113" s="44">
        <v>100</v>
      </c>
      <c r="B113" s="44">
        <f t="shared" si="25"/>
        <v>7.1025942335807324</v>
      </c>
      <c r="C113" s="44">
        <f t="shared" si="26"/>
        <v>2.6780334944767619</v>
      </c>
      <c r="D113" s="44">
        <f t="shared" si="28"/>
        <v>181.51489611554913</v>
      </c>
      <c r="E113" s="44">
        <f t="shared" si="21"/>
        <v>37.422843866539822</v>
      </c>
      <c r="F113" s="44">
        <f t="shared" si="22"/>
        <v>28.067132899904866</v>
      </c>
      <c r="G113" s="44">
        <f t="shared" si="23"/>
        <v>9.3557109666349554</v>
      </c>
      <c r="H113" s="44">
        <f t="shared" si="24"/>
        <v>3.6302979223109828</v>
      </c>
      <c r="I113" s="44">
        <f t="shared" si="29"/>
        <v>5.7254130443239726</v>
      </c>
      <c r="J113" s="100">
        <f t="shared" si="30"/>
        <v>3.1591095799234782E-2</v>
      </c>
      <c r="K113" s="100">
        <f t="shared" si="31"/>
        <v>3.0617131656529677E-2</v>
      </c>
      <c r="L113" s="44">
        <f t="shared" si="32"/>
        <v>4.8503768650742121</v>
      </c>
      <c r="M113" s="100">
        <f t="shared" si="33"/>
        <v>6.1850864034955745E-2</v>
      </c>
      <c r="N113" s="44"/>
      <c r="O113" s="44"/>
      <c r="P113" s="40">
        <f t="shared" si="34"/>
        <v>13.974001424448783</v>
      </c>
      <c r="Q113" s="101">
        <f t="shared" si="27"/>
        <v>2.0413001640128516E-2</v>
      </c>
      <c r="S113" s="101"/>
    </row>
    <row r="114" spans="1:19">
      <c r="A114" s="44">
        <v>101</v>
      </c>
      <c r="B114" s="44">
        <f t="shared" si="25"/>
        <v>7.2446461182523469</v>
      </c>
      <c r="C114" s="44">
        <f t="shared" si="26"/>
        <v>2.7048138294215294</v>
      </c>
      <c r="D114" s="44">
        <f t="shared" si="28"/>
        <v>187.24030915987311</v>
      </c>
      <c r="E114" s="44">
        <f t="shared" si="21"/>
        <v>38.568077661484267</v>
      </c>
      <c r="F114" s="44">
        <f t="shared" si="22"/>
        <v>28.9260582461132</v>
      </c>
      <c r="G114" s="44">
        <f t="shared" si="23"/>
        <v>9.6420194153710668</v>
      </c>
      <c r="H114" s="44">
        <f t="shared" si="24"/>
        <v>3.7448061831974622</v>
      </c>
      <c r="I114" s="44">
        <f t="shared" si="29"/>
        <v>5.8972132321736046</v>
      </c>
      <c r="J114" s="100">
        <f t="shared" si="30"/>
        <v>3.1542386695796447E-2</v>
      </c>
      <c r="K114" s="100">
        <f t="shared" si="31"/>
        <v>3.0602532480659809E-2</v>
      </c>
      <c r="L114" s="44">
        <f t="shared" si="32"/>
        <v>4.8548001485399226</v>
      </c>
      <c r="M114" s="100">
        <f t="shared" si="33"/>
        <v>6.1794510756580733E-2</v>
      </c>
      <c r="N114" s="44"/>
      <c r="O114" s="44"/>
      <c r="P114" s="40">
        <f t="shared" si="34"/>
        <v>14.259050749430955</v>
      </c>
      <c r="Q114" s="101">
        <f t="shared" si="27"/>
        <v>2.0398547010554335E-2</v>
      </c>
      <c r="S114" s="101"/>
    </row>
    <row r="115" spans="1:19">
      <c r="A115" s="44">
        <v>102</v>
      </c>
      <c r="B115" s="44">
        <f t="shared" si="25"/>
        <v>7.389539040617394</v>
      </c>
      <c r="C115" s="44">
        <f t="shared" si="26"/>
        <v>2.7318619677157447</v>
      </c>
      <c r="D115" s="44">
        <f t="shared" si="28"/>
        <v>193.13752239204672</v>
      </c>
      <c r="E115" s="44">
        <f t="shared" si="21"/>
        <v>39.747815637845321</v>
      </c>
      <c r="F115" s="44">
        <f t="shared" si="22"/>
        <v>29.810861728383991</v>
      </c>
      <c r="G115" s="44">
        <f t="shared" si="23"/>
        <v>9.9369539094613302</v>
      </c>
      <c r="H115" s="44">
        <f t="shared" si="24"/>
        <v>3.8627504478409347</v>
      </c>
      <c r="I115" s="44">
        <f t="shared" si="29"/>
        <v>6.0742034616203959</v>
      </c>
      <c r="J115" s="100">
        <f t="shared" si="30"/>
        <v>3.1495425630483985E-2</v>
      </c>
      <c r="K115" s="100">
        <f t="shared" si="31"/>
        <v>3.058845677287127E-2</v>
      </c>
      <c r="L115" s="44">
        <f t="shared" si="32"/>
        <v>4.8590726129904249</v>
      </c>
      <c r="M115" s="100">
        <f t="shared" si="33"/>
        <v>6.1740176345166951E-2</v>
      </c>
      <c r="N115" s="44"/>
      <c r="O115" s="44"/>
      <c r="P115" s="40">
        <f t="shared" si="34"/>
        <v>14.549715947427822</v>
      </c>
      <c r="Q115" s="101">
        <f t="shared" si="27"/>
        <v>2.038461066620913E-2</v>
      </c>
      <c r="S115" s="101"/>
    </row>
    <row r="116" spans="1:19">
      <c r="A116" s="44">
        <v>103</v>
      </c>
      <c r="B116" s="44">
        <f t="shared" si="25"/>
        <v>7.5373298214297417</v>
      </c>
      <c r="C116" s="44">
        <f t="shared" si="26"/>
        <v>2.7591805873929021</v>
      </c>
      <c r="D116" s="44">
        <f t="shared" si="28"/>
        <v>199.2117258536671</v>
      </c>
      <c r="E116" s="44">
        <f t="shared" si="21"/>
        <v>40.963100526206873</v>
      </c>
      <c r="F116" s="44">
        <f t="shared" si="22"/>
        <v>30.722325394655154</v>
      </c>
      <c r="G116" s="44">
        <f t="shared" si="23"/>
        <v>10.240775131551718</v>
      </c>
      <c r="H116" s="44">
        <f t="shared" si="24"/>
        <v>3.9842345170733422</v>
      </c>
      <c r="I116" s="44">
        <f t="shared" si="29"/>
        <v>6.256540614478376</v>
      </c>
      <c r="J116" s="100">
        <f t="shared" si="30"/>
        <v>3.1450146954305744E-2</v>
      </c>
      <c r="K116" s="100">
        <f t="shared" si="31"/>
        <v>3.0574884905233274E-2</v>
      </c>
      <c r="L116" s="44">
        <f t="shared" si="32"/>
        <v>4.8631993988398863</v>
      </c>
      <c r="M116" s="100">
        <f t="shared" si="33"/>
        <v>6.1687785220479512E-2</v>
      </c>
      <c r="N116" s="44"/>
      <c r="O116" s="44"/>
      <c r="P116" s="40">
        <f t="shared" si="34"/>
        <v>14.846110730618085</v>
      </c>
      <c r="Q116" s="101">
        <f t="shared" si="27"/>
        <v>2.0371173173498312E-2</v>
      </c>
      <c r="S116" s="101"/>
    </row>
    <row r="117" spans="1:19">
      <c r="A117" s="44">
        <v>104</v>
      </c>
      <c r="B117" s="44">
        <f t="shared" si="25"/>
        <v>7.688076417858337</v>
      </c>
      <c r="C117" s="44">
        <f t="shared" si="26"/>
        <v>2.7867723932668311</v>
      </c>
      <c r="D117" s="44">
        <f t="shared" si="28"/>
        <v>205.46826646814549</v>
      </c>
      <c r="E117" s="44">
        <f t="shared" si="21"/>
        <v>42.215006531770307</v>
      </c>
      <c r="F117" s="44">
        <f t="shared" si="22"/>
        <v>31.661254898827728</v>
      </c>
      <c r="G117" s="44">
        <f t="shared" si="23"/>
        <v>10.553751632942577</v>
      </c>
      <c r="H117" s="44">
        <f t="shared" si="24"/>
        <v>4.1093653293629098</v>
      </c>
      <c r="I117" s="44">
        <f t="shared" si="29"/>
        <v>6.4443863035796669</v>
      </c>
      <c r="J117" s="100">
        <f t="shared" si="30"/>
        <v>3.1406487683732956E-2</v>
      </c>
      <c r="K117" s="100">
        <f t="shared" si="31"/>
        <v>3.0561798044620791E-2</v>
      </c>
      <c r="L117" s="44">
        <f t="shared" si="32"/>
        <v>4.8671854714392504</v>
      </c>
      <c r="M117" s="100">
        <f t="shared" si="33"/>
        <v>6.1637264854689941E-2</v>
      </c>
      <c r="N117" s="44"/>
      <c r="O117" s="44"/>
      <c r="P117" s="40">
        <f t="shared" si="34"/>
        <v>15.148351057935953</v>
      </c>
      <c r="Q117" s="101">
        <f t="shared" si="27"/>
        <v>2.0358215885763174E-2</v>
      </c>
      <c r="S117" s="101"/>
    </row>
    <row r="118" spans="1:19">
      <c r="A118" s="44">
        <v>105</v>
      </c>
      <c r="B118" s="44">
        <f t="shared" si="25"/>
        <v>7.8418379462155041</v>
      </c>
      <c r="C118" s="44">
        <f t="shared" si="26"/>
        <v>2.8146401171994992</v>
      </c>
      <c r="D118" s="44">
        <f t="shared" si="28"/>
        <v>211.91265277172516</v>
      </c>
      <c r="E118" s="44">
        <f t="shared" si="21"/>
        <v>43.504640285499732</v>
      </c>
      <c r="F118" s="44">
        <f t="shared" si="22"/>
        <v>32.628480214124799</v>
      </c>
      <c r="G118" s="44">
        <f t="shared" si="23"/>
        <v>10.876160071374933</v>
      </c>
      <c r="H118" s="44">
        <f t="shared" si="24"/>
        <v>4.2382530554345035</v>
      </c>
      <c r="I118" s="44">
        <f t="shared" si="29"/>
        <v>6.6379070159404296</v>
      </c>
      <c r="J118" s="100">
        <f t="shared" si="30"/>
        <v>3.1364387378908336E-2</v>
      </c>
      <c r="K118" s="100">
        <f t="shared" si="31"/>
        <v>3.0549178116527569E-2</v>
      </c>
      <c r="L118" s="44">
        <f t="shared" si="32"/>
        <v>4.871035627028423</v>
      </c>
      <c r="M118" s="100">
        <f t="shared" si="33"/>
        <v>6.158854563398361E-2</v>
      </c>
      <c r="N118" s="44"/>
      <c r="O118" s="44"/>
      <c r="P118" s="40">
        <f t="shared" si="34"/>
        <v>15.45655518076884</v>
      </c>
      <c r="Q118" s="101">
        <f t="shared" si="27"/>
        <v>2.0345720907453107E-2</v>
      </c>
      <c r="S118" s="101"/>
    </row>
    <row r="119" spans="1:19">
      <c r="A119" s="44">
        <v>106</v>
      </c>
      <c r="B119" s="44">
        <f t="shared" si="25"/>
        <v>7.9986747051398144</v>
      </c>
      <c r="C119" s="44">
        <f t="shared" si="26"/>
        <v>2.8427865183714944</v>
      </c>
      <c r="D119" s="44">
        <f t="shared" si="28"/>
        <v>218.55055978766561</v>
      </c>
      <c r="E119" s="44">
        <f t="shared" si="21"/>
        <v>44.833141823964404</v>
      </c>
      <c r="F119" s="44">
        <f t="shared" si="22"/>
        <v>33.624856367973301</v>
      </c>
      <c r="G119" s="44">
        <f t="shared" si="23"/>
        <v>11.208285455991101</v>
      </c>
      <c r="H119" s="44">
        <f t="shared" si="24"/>
        <v>4.3710111957533124</v>
      </c>
      <c r="I119" s="44">
        <f t="shared" si="29"/>
        <v>6.8372742602377885</v>
      </c>
      <c r="J119" s="100">
        <f t="shared" si="30"/>
        <v>3.1323788028319741E-2</v>
      </c>
      <c r="K119" s="100">
        <f t="shared" si="31"/>
        <v>3.0537007770811659E-2</v>
      </c>
      <c r="L119" s="44">
        <f t="shared" si="32"/>
        <v>4.874754498486765</v>
      </c>
      <c r="M119" s="100">
        <f t="shared" si="33"/>
        <v>6.1541560727443163E-2</v>
      </c>
      <c r="N119" s="44"/>
      <c r="O119" s="44"/>
      <c r="P119" s="40">
        <f t="shared" si="34"/>
        <v>15.77084368953857</v>
      </c>
      <c r="Q119" s="101">
        <f t="shared" si="27"/>
        <v>2.033367106020945E-2</v>
      </c>
      <c r="S119" s="101"/>
    </row>
    <row r="120" spans="1:19">
      <c r="A120" s="44">
        <v>107</v>
      </c>
      <c r="B120" s="44">
        <f t="shared" si="25"/>
        <v>8.1586481992426112</v>
      </c>
      <c r="C120" s="44">
        <f t="shared" si="26"/>
        <v>2.8712143835552095</v>
      </c>
      <c r="D120" s="44">
        <f t="shared" si="28"/>
        <v>225.3878340479034</v>
      </c>
      <c r="E120" s="44">
        <f t="shared" si="21"/>
        <v>46.201685598745776</v>
      </c>
      <c r="F120" s="44">
        <f t="shared" si="22"/>
        <v>34.651264199059334</v>
      </c>
      <c r="G120" s="44">
        <f t="shared" si="23"/>
        <v>11.550421399686444</v>
      </c>
      <c r="H120" s="44">
        <f t="shared" si="24"/>
        <v>4.5077566809580683</v>
      </c>
      <c r="I120" s="44">
        <f t="shared" si="29"/>
        <v>7.0426647187283757</v>
      </c>
      <c r="J120" s="100">
        <f t="shared" si="30"/>
        <v>3.1284633939535983E-2</v>
      </c>
      <c r="K120" s="100">
        <f t="shared" si="31"/>
        <v>3.0525270349218585E-2</v>
      </c>
      <c r="L120" s="44">
        <f t="shared" si="32"/>
        <v>4.8783465608887209</v>
      </c>
      <c r="M120" s="100">
        <f t="shared" si="33"/>
        <v>6.1496245962760585E-2</v>
      </c>
      <c r="N120" s="44"/>
      <c r="O120" s="44"/>
      <c r="P120" s="40">
        <f t="shared" si="34"/>
        <v>16.091339561185151</v>
      </c>
      <c r="Q120" s="101">
        <f t="shared" si="27"/>
        <v>2.0322049850711506E-2</v>
      </c>
      <c r="S120" s="101"/>
    </row>
    <row r="121" spans="1:19">
      <c r="A121" s="44">
        <v>108</v>
      </c>
      <c r="B121" s="44">
        <f t="shared" si="25"/>
        <v>8.3218211632274635</v>
      </c>
      <c r="C121" s="44">
        <f t="shared" si="26"/>
        <v>2.8999265273907615</v>
      </c>
      <c r="D121" s="44">
        <f t="shared" si="28"/>
        <v>232.43049876663179</v>
      </c>
      <c r="E121" s="44">
        <f t="shared" si="21"/>
        <v>47.611481516303677</v>
      </c>
      <c r="F121" s="44">
        <f t="shared" si="22"/>
        <v>35.708611137227756</v>
      </c>
      <c r="G121" s="44">
        <f t="shared" si="23"/>
        <v>11.902870379075919</v>
      </c>
      <c r="H121" s="44">
        <f t="shared" si="24"/>
        <v>4.6486099753326355</v>
      </c>
      <c r="I121" s="44">
        <f t="shared" si="29"/>
        <v>7.2542604037432836</v>
      </c>
      <c r="J121" s="100">
        <f t="shared" si="30"/>
        <v>3.1246871635633881E-2</v>
      </c>
      <c r="K121" s="100">
        <f t="shared" si="31"/>
        <v>3.0513949854595174E-2</v>
      </c>
      <c r="L121" s="44">
        <f t="shared" si="32"/>
        <v>4.8818161368711079</v>
      </c>
      <c r="M121" s="100">
        <f t="shared" si="33"/>
        <v>6.1452539708363195E-2</v>
      </c>
      <c r="N121" s="44"/>
      <c r="O121" s="44"/>
      <c r="P121" s="40">
        <f t="shared" si="34"/>
        <v>16.418168207572691</v>
      </c>
      <c r="Q121" s="101">
        <f t="shared" si="27"/>
        <v>2.0310841440193211E-2</v>
      </c>
      <c r="S121" s="101"/>
    </row>
    <row r="122" spans="1:19">
      <c r="A122" s="44">
        <v>109</v>
      </c>
      <c r="B122" s="44">
        <f t="shared" si="25"/>
        <v>8.4882575864920131</v>
      </c>
      <c r="C122" s="44">
        <f t="shared" si="26"/>
        <v>2.928925792664669</v>
      </c>
      <c r="D122" s="44">
        <f t="shared" si="28"/>
        <v>239.68475917037506</v>
      </c>
      <c r="E122" s="44">
        <f t="shared" si="21"/>
        <v>49.063776009222728</v>
      </c>
      <c r="F122" s="44">
        <f t="shared" si="22"/>
        <v>36.797832006917048</v>
      </c>
      <c r="G122" s="44">
        <f t="shared" si="23"/>
        <v>12.265944002305682</v>
      </c>
      <c r="H122" s="44">
        <f t="shared" si="24"/>
        <v>4.7936951834075012</v>
      </c>
      <c r="I122" s="44">
        <f t="shared" si="29"/>
        <v>7.4722488188981808</v>
      </c>
      <c r="J122" s="100">
        <f t="shared" si="30"/>
        <v>3.1210449756969291E-2</v>
      </c>
      <c r="K122" s="100">
        <f t="shared" si="31"/>
        <v>3.0503030921685142E-2</v>
      </c>
      <c r="L122" s="44">
        <f t="shared" si="32"/>
        <v>4.8851674018184106</v>
      </c>
      <c r="M122" s="100">
        <f t="shared" si="33"/>
        <v>6.141038276156733E-2</v>
      </c>
      <c r="N122" s="44"/>
      <c r="O122" s="44"/>
      <c r="P122" s="40">
        <f t="shared" si="34"/>
        <v>16.751457524837335</v>
      </c>
      <c r="Q122" s="101">
        <f t="shared" si="27"/>
        <v>2.0300030615529797E-2</v>
      </c>
      <c r="S122" s="101"/>
    </row>
    <row r="123" spans="1:19">
      <c r="A123" s="44">
        <v>110</v>
      </c>
      <c r="B123" s="44">
        <f t="shared" si="25"/>
        <v>8.6580227382218542</v>
      </c>
      <c r="C123" s="44">
        <f t="shared" si="26"/>
        <v>2.9582150505913156</v>
      </c>
      <c r="D123" s="44">
        <f t="shared" si="28"/>
        <v>247.15700798927324</v>
      </c>
      <c r="E123" s="44">
        <f t="shared" si="21"/>
        <v>50.559853139787684</v>
      </c>
      <c r="F123" s="44">
        <f t="shared" si="22"/>
        <v>37.919889854840761</v>
      </c>
      <c r="G123" s="44">
        <f t="shared" si="23"/>
        <v>12.639963284946921</v>
      </c>
      <c r="H123" s="44">
        <f t="shared" si="24"/>
        <v>4.9431401597854645</v>
      </c>
      <c r="I123" s="44">
        <f t="shared" si="29"/>
        <v>7.6968231251614565</v>
      </c>
      <c r="J123" s="100">
        <f t="shared" si="30"/>
        <v>3.1175318967972775E-2</v>
      </c>
      <c r="K123" s="100">
        <f t="shared" si="31"/>
        <v>3.0492498789406911E-2</v>
      </c>
      <c r="L123" s="44">
        <f t="shared" si="32"/>
        <v>4.8884043888722246</v>
      </c>
      <c r="M123" s="100">
        <f t="shared" si="33"/>
        <v>6.13697182424E-2</v>
      </c>
      <c r="N123" s="44"/>
      <c r="O123" s="44"/>
      <c r="P123" s="40">
        <f t="shared" si="34"/>
        <v>17.091337943697269</v>
      </c>
      <c r="Q123" s="101">
        <f t="shared" si="27"/>
        <v>2.0289602761789212E-2</v>
      </c>
      <c r="S123" s="101"/>
    </row>
    <row r="124" spans="1:19">
      <c r="A124" s="44">
        <v>111</v>
      </c>
      <c r="B124" s="44">
        <f t="shared" si="25"/>
        <v>8.8311831929862912</v>
      </c>
      <c r="C124" s="44">
        <f t="shared" si="26"/>
        <v>2.9877972010972287</v>
      </c>
      <c r="D124" s="44">
        <f t="shared" si="28"/>
        <v>254.85383111443468</v>
      </c>
      <c r="E124" s="44">
        <f t="shared" si="21"/>
        <v>52.101035736865299</v>
      </c>
      <c r="F124" s="44">
        <f t="shared" si="22"/>
        <v>39.075776802648974</v>
      </c>
      <c r="G124" s="44">
        <f t="shared" si="23"/>
        <v>13.025258934216325</v>
      </c>
      <c r="H124" s="44">
        <f t="shared" si="24"/>
        <v>5.0970766222886938</v>
      </c>
      <c r="I124" s="44">
        <f t="shared" si="29"/>
        <v>7.9281823119276309</v>
      </c>
      <c r="J124" s="100">
        <f t="shared" si="30"/>
        <v>3.1141431868666618E-2</v>
      </c>
      <c r="K124" s="100">
        <f t="shared" si="31"/>
        <v>3.0482339274533875E-2</v>
      </c>
      <c r="L124" s="44">
        <f t="shared" si="32"/>
        <v>4.8915309937707621</v>
      </c>
      <c r="M124" s="100">
        <f t="shared" si="33"/>
        <v>6.133049149275395E-2</v>
      </c>
      <c r="N124" s="44"/>
      <c r="O124" s="44"/>
      <c r="P124" s="40">
        <f t="shared" si="34"/>
        <v>17.43794248074531</v>
      </c>
      <c r="Q124" s="101">
        <f t="shared" si="27"/>
        <v>2.0279543836172132E-2</v>
      </c>
      <c r="S124" s="101"/>
    </row>
    <row r="125" spans="1:19">
      <c r="A125" s="44">
        <v>112</v>
      </c>
      <c r="B125" s="44">
        <f t="shared" si="25"/>
        <v>9.0078068568460168</v>
      </c>
      <c r="C125" s="44">
        <f t="shared" si="26"/>
        <v>3.0176751731082012</v>
      </c>
      <c r="D125" s="44">
        <f t="shared" si="28"/>
        <v>262.78201342636231</v>
      </c>
      <c r="E125" s="44">
        <f t="shared" si="21"/>
        <v>53.68868656709958</v>
      </c>
      <c r="F125" s="44">
        <f t="shared" si="22"/>
        <v>40.266514925324685</v>
      </c>
      <c r="G125" s="44">
        <f t="shared" si="23"/>
        <v>13.422171641774895</v>
      </c>
      <c r="H125" s="44">
        <f t="shared" si="24"/>
        <v>5.2556402685272463</v>
      </c>
      <c r="I125" s="44">
        <f t="shared" si="29"/>
        <v>8.1665313732476488</v>
      </c>
      <c r="J125" s="100">
        <f t="shared" si="30"/>
        <v>3.1108742910628286E-2</v>
      </c>
      <c r="K125" s="100">
        <f t="shared" si="31"/>
        <v>3.0472538746689485E-2</v>
      </c>
      <c r="L125" s="44">
        <f t="shared" si="32"/>
        <v>4.8945509795241495</v>
      </c>
      <c r="M125" s="100">
        <f t="shared" si="33"/>
        <v>6.1292649980563919E-2</v>
      </c>
      <c r="N125" s="44"/>
      <c r="O125" s="44"/>
      <c r="P125" s="40">
        <f t="shared" si="34"/>
        <v>17.791406790744912</v>
      </c>
      <c r="Q125" s="101">
        <f t="shared" si="27"/>
        <v>2.026984034325674E-2</v>
      </c>
      <c r="S125" s="101"/>
    </row>
    <row r="126" spans="1:19">
      <c r="A126" s="44">
        <v>113</v>
      </c>
      <c r="B126" s="44">
        <f t="shared" si="25"/>
        <v>9.1879629939829375</v>
      </c>
      <c r="C126" s="44">
        <f t="shared" si="26"/>
        <v>3.0478519248392835</v>
      </c>
      <c r="D126" s="44">
        <f t="shared" si="28"/>
        <v>270.94854479960998</v>
      </c>
      <c r="E126" s="44">
        <f t="shared" si="21"/>
        <v>55.32420954145779</v>
      </c>
      <c r="F126" s="44">
        <f t="shared" si="22"/>
        <v>41.493157156093346</v>
      </c>
      <c r="G126" s="44">
        <f t="shared" si="23"/>
        <v>13.831052385364448</v>
      </c>
      <c r="H126" s="44">
        <f t="shared" si="24"/>
        <v>5.4189708959921994</v>
      </c>
      <c r="I126" s="44">
        <f t="shared" si="29"/>
        <v>8.4120814893722482</v>
      </c>
      <c r="J126" s="100">
        <f t="shared" si="30"/>
        <v>3.1077208317136663E-2</v>
      </c>
      <c r="K126" s="100">
        <f t="shared" si="31"/>
        <v>3.0463084104584117E-2</v>
      </c>
      <c r="L126" s="44">
        <f t="shared" si="32"/>
        <v>4.8974679809310562</v>
      </c>
      <c r="M126" s="100">
        <f t="shared" si="33"/>
        <v>6.1256143208713143E-2</v>
      </c>
      <c r="N126" s="44"/>
      <c r="O126" s="44"/>
      <c r="P126" s="40">
        <f t="shared" si="34"/>
        <v>18.151869219950736</v>
      </c>
      <c r="Q126" s="101">
        <f t="shared" si="27"/>
        <v>2.026047931146947E-2</v>
      </c>
      <c r="S126" s="101"/>
    </row>
    <row r="127" spans="1:19">
      <c r="A127" s="44">
        <v>114</v>
      </c>
      <c r="B127" s="44">
        <f t="shared" si="25"/>
        <v>9.3717222538625968</v>
      </c>
      <c r="C127" s="44">
        <f t="shared" si="26"/>
        <v>3.0783304440876762</v>
      </c>
      <c r="D127" s="44">
        <f t="shared" si="28"/>
        <v>279.36062628898225</v>
      </c>
      <c r="E127" s="44">
        <f t="shared" si="21"/>
        <v>57.00905095819536</v>
      </c>
      <c r="F127" s="44">
        <f t="shared" si="22"/>
        <v>42.75678821864652</v>
      </c>
      <c r="G127" s="44">
        <f t="shared" si="23"/>
        <v>14.25226273954884</v>
      </c>
      <c r="H127" s="44">
        <f t="shared" si="24"/>
        <v>5.5872125257796448</v>
      </c>
      <c r="I127" s="44">
        <f t="shared" si="29"/>
        <v>8.6650502137691952</v>
      </c>
      <c r="J127" s="100">
        <f t="shared" si="30"/>
        <v>3.1046786007261032E-2</v>
      </c>
      <c r="K127" s="100">
        <f t="shared" si="31"/>
        <v>3.0453962753412958E-2</v>
      </c>
      <c r="L127" s="44">
        <f t="shared" si="32"/>
        <v>4.9002855089420256</v>
      </c>
      <c r="M127" s="100">
        <f t="shared" si="33"/>
        <v>6.1220922628398067E-2</v>
      </c>
      <c r="N127" s="44"/>
      <c r="O127" s="44"/>
      <c r="P127" s="40">
        <f t="shared" si="34"/>
        <v>18.519470860475188</v>
      </c>
      <c r="Q127" s="101">
        <f t="shared" si="27"/>
        <v>2.0251448270705942E-2</v>
      </c>
      <c r="S127" s="101"/>
    </row>
    <row r="128" spans="1:19">
      <c r="A128" s="44">
        <v>115</v>
      </c>
      <c r="B128" s="44">
        <f t="shared" si="25"/>
        <v>9.5591566989398498</v>
      </c>
      <c r="C128" s="44">
        <f t="shared" si="26"/>
        <v>3.1091137485285532</v>
      </c>
      <c r="D128" s="44">
        <f t="shared" si="28"/>
        <v>288.02567650275142</v>
      </c>
      <c r="E128" s="44">
        <f t="shared" si="21"/>
        <v>58.744700783341152</v>
      </c>
      <c r="F128" s="44">
        <f t="shared" si="22"/>
        <v>44.058525587505862</v>
      </c>
      <c r="G128" s="44">
        <f t="shared" si="23"/>
        <v>14.686175195835288</v>
      </c>
      <c r="H128" s="44">
        <f t="shared" si="24"/>
        <v>5.7605135300550288</v>
      </c>
      <c r="I128" s="44">
        <f t="shared" si="29"/>
        <v>8.9256616657802592</v>
      </c>
      <c r="J128" s="100">
        <f t="shared" si="30"/>
        <v>3.1017435523664989E-2</v>
      </c>
      <c r="K128" s="100">
        <f t="shared" si="31"/>
        <v>3.0445162583368407E-2</v>
      </c>
      <c r="L128" s="44">
        <f t="shared" si="32"/>
        <v>4.9030069548746411</v>
      </c>
      <c r="M128" s="100">
        <f t="shared" si="33"/>
        <v>6.1186941556698307E-2</v>
      </c>
      <c r="N128" s="44"/>
      <c r="O128" s="44"/>
      <c r="P128" s="40">
        <f t="shared" si="34"/>
        <v>18.894355605723074</v>
      </c>
      <c r="Q128" s="101">
        <f t="shared" si="27"/>
        <v>2.0242735231057633E-2</v>
      </c>
      <c r="S128" s="101"/>
    </row>
    <row r="129" spans="1:19">
      <c r="A129" s="44">
        <v>116</v>
      </c>
      <c r="B129" s="44">
        <f t="shared" si="25"/>
        <v>9.7503398329186464</v>
      </c>
      <c r="C129" s="44">
        <f t="shared" si="26"/>
        <v>3.1402048860138385</v>
      </c>
      <c r="D129" s="44">
        <f t="shared" si="28"/>
        <v>296.95133816853166</v>
      </c>
      <c r="E129" s="44">
        <f t="shared" si="21"/>
        <v>60.532693969836252</v>
      </c>
      <c r="F129" s="44">
        <f t="shared" si="22"/>
        <v>45.399520477377187</v>
      </c>
      <c r="G129" s="44">
        <f t="shared" si="23"/>
        <v>15.133173492459063</v>
      </c>
      <c r="H129" s="44">
        <f t="shared" si="24"/>
        <v>5.9390267633706335</v>
      </c>
      <c r="I129" s="44">
        <f t="shared" si="29"/>
        <v>9.1941467290884304</v>
      </c>
      <c r="J129" s="100">
        <f t="shared" si="30"/>
        <v>3.0989117963915191E-2</v>
      </c>
      <c r="K129" s="100">
        <f t="shared" si="31"/>
        <v>3.0436671949176739E-2</v>
      </c>
      <c r="L129" s="44">
        <f t="shared" si="32"/>
        <v>4.9056355944855854</v>
      </c>
      <c r="M129" s="100">
        <f t="shared" si="33"/>
        <v>6.1154155098113963E-2</v>
      </c>
      <c r="N129" s="44"/>
      <c r="O129" s="44"/>
      <c r="P129" s="40">
        <f t="shared" si="34"/>
        <v>19.276670206916393</v>
      </c>
      <c r="Q129" s="101">
        <f t="shared" si="27"/>
        <v>2.0234328662551249E-2</v>
      </c>
      <c r="S129" s="101"/>
    </row>
    <row r="130" spans="1:19">
      <c r="A130" s="44">
        <v>117</v>
      </c>
      <c r="B130" s="44">
        <f t="shared" si="25"/>
        <v>9.9453466295770188</v>
      </c>
      <c r="C130" s="44">
        <f t="shared" si="26"/>
        <v>3.171606934873977</v>
      </c>
      <c r="D130" s="44">
        <f t="shared" si="28"/>
        <v>306.14548489762012</v>
      </c>
      <c r="E130" s="44">
        <f t="shared" si="21"/>
        <v>62.374611816494905</v>
      </c>
      <c r="F130" s="44">
        <f t="shared" si="22"/>
        <v>46.780958862371179</v>
      </c>
      <c r="G130" s="44">
        <f t="shared" si="23"/>
        <v>15.593652954123726</v>
      </c>
      <c r="H130" s="44">
        <f t="shared" si="24"/>
        <v>6.1229096979524025</v>
      </c>
      <c r="I130" s="44">
        <f t="shared" si="29"/>
        <v>9.4707432561713247</v>
      </c>
      <c r="J130" s="100">
        <f t="shared" si="30"/>
        <v>3.0961795915095073E-2</v>
      </c>
      <c r="K130" s="100">
        <f t="shared" si="31"/>
        <v>3.042847965062467E-2</v>
      </c>
      <c r="L130" s="44">
        <f t="shared" si="32"/>
        <v>4.9081745919043982</v>
      </c>
      <c r="M130" s="100">
        <f t="shared" si="33"/>
        <v>6.1122520069849098E-2</v>
      </c>
      <c r="N130" s="44"/>
      <c r="O130" s="44"/>
      <c r="P130" s="40">
        <f t="shared" si="34"/>
        <v>19.666564330732029</v>
      </c>
      <c r="Q130" s="101">
        <f t="shared" si="27"/>
        <v>2.0226217475865949E-2</v>
      </c>
      <c r="S130" s="101"/>
    </row>
    <row r="131" spans="1:19">
      <c r="A131" s="44">
        <v>118</v>
      </c>
      <c r="B131" s="44">
        <f t="shared" si="25"/>
        <v>10.14425356216856</v>
      </c>
      <c r="C131" s="44">
        <f t="shared" si="26"/>
        <v>3.203323004222717</v>
      </c>
      <c r="D131" s="44">
        <f t="shared" si="28"/>
        <v>315.61622815379144</v>
      </c>
      <c r="E131" s="44">
        <f t="shared" si="21"/>
        <v>64.272083367990902</v>
      </c>
      <c r="F131" s="44">
        <f t="shared" si="22"/>
        <v>48.20406252599318</v>
      </c>
      <c r="G131" s="44">
        <f t="shared" si="23"/>
        <v>16.068020841997726</v>
      </c>
      <c r="H131" s="44">
        <f t="shared" si="24"/>
        <v>6.3123245630758289</v>
      </c>
      <c r="I131" s="44">
        <f t="shared" si="29"/>
        <v>9.7556962789218957</v>
      </c>
      <c r="J131" s="100">
        <f t="shared" si="30"/>
        <v>3.0935433391540899E-2</v>
      </c>
      <c r="K131" s="100">
        <f t="shared" si="31"/>
        <v>3.0420574914010325E-2</v>
      </c>
      <c r="L131" s="44">
        <f t="shared" si="32"/>
        <v>4.9106270034335964</v>
      </c>
      <c r="M131" s="100">
        <f t="shared" si="33"/>
        <v>6.109199493063406E-2</v>
      </c>
      <c r="N131" s="44"/>
      <c r="O131" s="44"/>
      <c r="P131" s="40">
        <f t="shared" si="34"/>
        <v>20.064190618075511</v>
      </c>
      <c r="Q131" s="101">
        <f t="shared" si="27"/>
        <v>2.0218391003970587E-2</v>
      </c>
      <c r="S131" s="101"/>
    </row>
    <row r="132" spans="1:19">
      <c r="A132" s="44">
        <v>119</v>
      </c>
      <c r="B132" s="44">
        <f t="shared" si="25"/>
        <v>10.34713863341193</v>
      </c>
      <c r="C132" s="44">
        <f t="shared" si="26"/>
        <v>3.2353562342649442</v>
      </c>
      <c r="D132" s="44">
        <f t="shared" si="28"/>
        <v>325.37192443271334</v>
      </c>
      <c r="E132" s="44">
        <f t="shared" si="21"/>
        <v>66.226786857108962</v>
      </c>
      <c r="F132" s="44">
        <f t="shared" si="22"/>
        <v>49.670090142831725</v>
      </c>
      <c r="G132" s="44">
        <f t="shared" si="23"/>
        <v>16.556696714277241</v>
      </c>
      <c r="H132" s="44">
        <f t="shared" si="24"/>
        <v>6.5074384886542669</v>
      </c>
      <c r="I132" s="44">
        <f t="shared" si="29"/>
        <v>10.049258225622975</v>
      </c>
      <c r="J132" s="100">
        <f t="shared" si="30"/>
        <v>3.0909995775528405E-2</v>
      </c>
      <c r="K132" s="100">
        <f t="shared" si="31"/>
        <v>3.0412947374466953E-2</v>
      </c>
      <c r="L132" s="44">
        <f t="shared" si="32"/>
        <v>4.9129957812197107</v>
      </c>
      <c r="M132" s="100">
        <f t="shared" si="33"/>
        <v>6.1062539712892112E-2</v>
      </c>
      <c r="N132" s="44"/>
      <c r="O132" s="44"/>
      <c r="P132" s="40">
        <f t="shared" si="34"/>
        <v>20.469704744014173</v>
      </c>
      <c r="Q132" s="101">
        <f t="shared" si="27"/>
        <v>2.0210838984620744E-2</v>
      </c>
      <c r="S132" s="101"/>
    </row>
    <row r="133" spans="1:19">
      <c r="A133" s="44">
        <v>120</v>
      </c>
      <c r="B133" s="44">
        <f t="shared" si="25"/>
        <v>10.554081406080169</v>
      </c>
      <c r="C133" s="44">
        <f t="shared" si="26"/>
        <v>3.2677097966075936</v>
      </c>
      <c r="D133" s="44">
        <f t="shared" si="28"/>
        <v>335.42118265833631</v>
      </c>
      <c r="E133" s="44">
        <f t="shared" si="21"/>
        <v>68.240451190538451</v>
      </c>
      <c r="F133" s="44">
        <f t="shared" si="22"/>
        <v>51.180338392903835</v>
      </c>
      <c r="G133" s="44">
        <f t="shared" si="23"/>
        <v>17.060112797634613</v>
      </c>
      <c r="H133" s="44">
        <f t="shared" si="24"/>
        <v>6.7084236531667258</v>
      </c>
      <c r="I133" s="44">
        <f t="shared" si="29"/>
        <v>10.351689144467887</v>
      </c>
      <c r="J133" s="100">
        <f t="shared" si="30"/>
        <v>3.0885449760743394E-2</v>
      </c>
      <c r="K133" s="100">
        <f t="shared" si="31"/>
        <v>3.040558705911816E-2</v>
      </c>
      <c r="L133" s="44">
        <f t="shared" si="32"/>
        <v>4.9152837767995665</v>
      </c>
      <c r="M133" s="100">
        <f t="shared" si="33"/>
        <v>6.1034115958068978E-2</v>
      </c>
      <c r="N133" s="44"/>
      <c r="O133" s="44"/>
      <c r="P133" s="40">
        <f t="shared" si="34"/>
        <v>20.883265478893804</v>
      </c>
      <c r="Q133" s="101">
        <f t="shared" si="27"/>
        <v>2.0203551543681461E-2</v>
      </c>
      <c r="S133" s="101"/>
    </row>
    <row r="134" spans="1:19">
      <c r="A134" s="44">
        <v>121</v>
      </c>
      <c r="B134" s="44">
        <f t="shared" si="25"/>
        <v>10.765163034201771</v>
      </c>
      <c r="C134" s="44">
        <f t="shared" si="26"/>
        <v>3.3003868945736694</v>
      </c>
      <c r="D134" s="44">
        <f t="shared" si="28"/>
        <v>345.77287180280422</v>
      </c>
      <c r="E134" s="44">
        <f t="shared" si="21"/>
        <v>70.314857479524505</v>
      </c>
      <c r="F134" s="44">
        <f t="shared" si="22"/>
        <v>52.736143109643379</v>
      </c>
      <c r="G134" s="44">
        <f t="shared" si="23"/>
        <v>17.578714369881126</v>
      </c>
      <c r="H134" s="44">
        <f t="shared" si="24"/>
        <v>6.9154574360560845</v>
      </c>
      <c r="I134" s="44">
        <f t="shared" si="29"/>
        <v>10.663256933825043</v>
      </c>
      <c r="J134" s="100">
        <f t="shared" si="30"/>
        <v>3.0861763298390896E-2</v>
      </c>
      <c r="K134" s="100">
        <f t="shared" si="31"/>
        <v>3.0398484371007076E-2</v>
      </c>
      <c r="L134" s="44">
        <f t="shared" si="32"/>
        <v>4.9174937445260749</v>
      </c>
      <c r="M134" s="100">
        <f t="shared" si="33"/>
        <v>6.1006686654954269E-2</v>
      </c>
      <c r="N134" s="44"/>
      <c r="O134" s="44"/>
      <c r="P134" s="40">
        <f t="shared" si="34"/>
        <v>21.305034750662919</v>
      </c>
      <c r="Q134" s="101">
        <f t="shared" si="27"/>
        <v>2.0196519179214896E-2</v>
      </c>
      <c r="S134" s="101"/>
    </row>
    <row r="135" spans="1:19">
      <c r="A135" s="44">
        <v>122</v>
      </c>
      <c r="B135" s="44">
        <f t="shared" si="25"/>
        <v>10.980466294885806</v>
      </c>
      <c r="C135" s="44">
        <f t="shared" si="26"/>
        <v>3.333390763519406</v>
      </c>
      <c r="D135" s="44">
        <f t="shared" si="28"/>
        <v>356.43612873662926</v>
      </c>
      <c r="E135" s="44">
        <f t="shared" si="21"/>
        <v>72.45184061673281</v>
      </c>
      <c r="F135" s="44">
        <f t="shared" si="22"/>
        <v>54.338880462549611</v>
      </c>
      <c r="G135" s="44">
        <f t="shared" si="23"/>
        <v>18.112960154183202</v>
      </c>
      <c r="H135" s="44">
        <f t="shared" si="24"/>
        <v>7.1287225747325849</v>
      </c>
      <c r="I135" s="44">
        <f t="shared" si="29"/>
        <v>10.984237579450618</v>
      </c>
      <c r="J135" s="100">
        <f t="shared" si="30"/>
        <v>3.0838905545795221E-2</v>
      </c>
      <c r="K135" s="100">
        <f t="shared" si="31"/>
        <v>3.0391630073780464E-2</v>
      </c>
      <c r="L135" s="44">
        <f t="shared" si="32"/>
        <v>4.91962834487755</v>
      </c>
      <c r="M135" s="100">
        <f t="shared" si="33"/>
        <v>6.0980216180835711E-2</v>
      </c>
      <c r="N135" s="44"/>
      <c r="O135" s="44"/>
      <c r="P135" s="40">
        <f t="shared" si="34"/>
        <v>21.735177708429809</v>
      </c>
      <c r="Q135" s="101">
        <f t="shared" si="27"/>
        <v>2.0189732746317423E-2</v>
      </c>
      <c r="S135" s="101"/>
    </row>
    <row r="136" spans="1:19">
      <c r="A136" s="44">
        <v>123</v>
      </c>
      <c r="B136" s="44">
        <f t="shared" si="25"/>
        <v>11.200075620783522</v>
      </c>
      <c r="C136" s="44">
        <f t="shared" si="26"/>
        <v>3.3667246711545999</v>
      </c>
      <c r="D136" s="44">
        <f t="shared" si="28"/>
        <v>367.42036631607988</v>
      </c>
      <c r="E136" s="44">
        <f t="shared" si="21"/>
        <v>74.653290900723178</v>
      </c>
      <c r="F136" s="44">
        <f t="shared" si="22"/>
        <v>55.989968175542387</v>
      </c>
      <c r="G136" s="44">
        <f t="shared" si="23"/>
        <v>18.663322725180794</v>
      </c>
      <c r="H136" s="44">
        <f t="shared" si="24"/>
        <v>7.3484073263215981</v>
      </c>
      <c r="I136" s="44">
        <f t="shared" si="29"/>
        <v>11.314915398859196</v>
      </c>
      <c r="J136" s="100">
        <f t="shared" si="30"/>
        <v>3.081684681736311E-2</v>
      </c>
      <c r="K136" s="100">
        <f t="shared" si="31"/>
        <v>3.0385015277057597E-2</v>
      </c>
      <c r="L136" s="44">
        <f t="shared" si="32"/>
        <v>4.9216901476545711</v>
      </c>
      <c r="M136" s="100">
        <f t="shared" si="33"/>
        <v>6.0954670245335303E-2</v>
      </c>
      <c r="N136" s="44"/>
      <c r="O136" s="44"/>
      <c r="P136" s="40">
        <f t="shared" si="34"/>
        <v>22.173862787277237</v>
      </c>
      <c r="Q136" s="101">
        <f t="shared" si="27"/>
        <v>2.018318344263122E-2</v>
      </c>
      <c r="S136" s="101"/>
    </row>
    <row r="137" spans="1:19">
      <c r="A137" s="44">
        <v>124</v>
      </c>
      <c r="B137" s="44">
        <f t="shared" si="25"/>
        <v>11.424077133199193</v>
      </c>
      <c r="C137" s="44">
        <f t="shared" si="26"/>
        <v>3.4003919178661461</v>
      </c>
      <c r="D137" s="44">
        <f t="shared" si="28"/>
        <v>378.73528171493905</v>
      </c>
      <c r="E137" s="44">
        <f t="shared" si="21"/>
        <v>76.921155709471151</v>
      </c>
      <c r="F137" s="44">
        <f t="shared" si="22"/>
        <v>57.690866782103363</v>
      </c>
      <c r="G137" s="44">
        <f t="shared" si="23"/>
        <v>19.230288927367788</v>
      </c>
      <c r="H137" s="44">
        <f t="shared" si="24"/>
        <v>7.5747056342987813</v>
      </c>
      <c r="I137" s="44">
        <f t="shared" si="29"/>
        <v>11.655583293069007</v>
      </c>
      <c r="J137" s="100">
        <f t="shared" si="30"/>
        <v>3.0795558537779353E-2</v>
      </c>
      <c r="K137" s="100">
        <f t="shared" si="31"/>
        <v>3.0378631422476297E-2</v>
      </c>
      <c r="L137" s="44">
        <f t="shared" si="32"/>
        <v>4.9236816350681289</v>
      </c>
      <c r="M137" s="100">
        <f t="shared" si="33"/>
        <v>6.0930015836787324E-2</v>
      </c>
      <c r="N137" s="44"/>
      <c r="O137" s="44"/>
      <c r="P137" s="40">
        <f t="shared" si="34"/>
        <v>22.621261774360885</v>
      </c>
      <c r="Q137" s="101">
        <f t="shared" si="27"/>
        <v>2.0176862794530945E-2</v>
      </c>
      <c r="S137" s="101"/>
    </row>
    <row r="138" spans="1:19">
      <c r="A138" s="44">
        <v>125</v>
      </c>
      <c r="B138" s="44">
        <f t="shared" si="25"/>
        <v>11.652558675863176</v>
      </c>
      <c r="C138" s="44">
        <f t="shared" si="26"/>
        <v>3.4343958370448076</v>
      </c>
      <c r="D138" s="44">
        <f t="shared" si="28"/>
        <v>390.39086500800806</v>
      </c>
      <c r="E138" s="44">
        <f t="shared" si="21"/>
        <v>79.257441224418585</v>
      </c>
      <c r="F138" s="44">
        <f t="shared" si="22"/>
        <v>59.443080918313939</v>
      </c>
      <c r="G138" s="44">
        <f t="shared" si="23"/>
        <v>19.814360306104646</v>
      </c>
      <c r="H138" s="44">
        <f t="shared" si="24"/>
        <v>7.8078173001601616</v>
      </c>
      <c r="I138" s="44">
        <f t="shared" si="29"/>
        <v>12.006543005944485</v>
      </c>
      <c r="J138" s="100">
        <f t="shared" si="30"/>
        <v>3.077501319732279E-2</v>
      </c>
      <c r="K138" s="100">
        <f t="shared" si="31"/>
        <v>3.037247027035726E-2</v>
      </c>
      <c r="L138" s="44">
        <f t="shared" si="32"/>
        <v>4.9256052047228058</v>
      </c>
      <c r="M138" s="100">
        <f t="shared" si="33"/>
        <v>6.0906221171025184E-2</v>
      </c>
      <c r="N138" s="44"/>
      <c r="O138" s="44"/>
      <c r="P138" s="40">
        <f t="shared" si="34"/>
        <v>23.077549876317455</v>
      </c>
      <c r="Q138" s="101">
        <f t="shared" si="27"/>
        <v>2.017076264391806E-2</v>
      </c>
      <c r="S138" s="101"/>
    </row>
    <row r="139" spans="1:19">
      <c r="A139" s="44">
        <v>126</v>
      </c>
      <c r="B139" s="44">
        <f t="shared" si="25"/>
        <v>11.88560984938044</v>
      </c>
      <c r="C139" s="44">
        <f t="shared" si="26"/>
        <v>3.4687397954152557</v>
      </c>
      <c r="D139" s="44">
        <f t="shared" si="28"/>
        <v>402.39740801395254</v>
      </c>
      <c r="E139" s="44">
        <f t="shared" si="21"/>
        <v>81.664214206580866</v>
      </c>
      <c r="F139" s="44">
        <f t="shared" si="22"/>
        <v>61.248160654935646</v>
      </c>
      <c r="G139" s="44">
        <f t="shared" si="23"/>
        <v>20.416053551645216</v>
      </c>
      <c r="H139" s="44">
        <f t="shared" si="24"/>
        <v>8.0479481602790504</v>
      </c>
      <c r="I139" s="44">
        <f t="shared" si="29"/>
        <v>12.368105391366166</v>
      </c>
      <c r="J139" s="100">
        <f t="shared" si="30"/>
        <v>3.0755184309187639E-2</v>
      </c>
      <c r="K139" s="100">
        <f t="shared" si="31"/>
        <v>3.0366523886980759E-2</v>
      </c>
      <c r="L139" s="44">
        <f t="shared" si="32"/>
        <v>4.9274631724984577</v>
      </c>
      <c r="M139" s="100">
        <f t="shared" si="33"/>
        <v>6.0883255642453796E-2</v>
      </c>
      <c r="N139" s="44"/>
      <c r="O139" s="44"/>
      <c r="P139" s="40">
        <f t="shared" si="34"/>
        <v>23.542905788009545</v>
      </c>
      <c r="Q139" s="101">
        <f t="shared" si="27"/>
        <v>2.0164875135624562E-2</v>
      </c>
      <c r="S139" s="101"/>
    </row>
    <row r="140" spans="1:19">
      <c r="A140" s="44">
        <v>127</v>
      </c>
      <c r="B140" s="44">
        <f t="shared" si="25"/>
        <v>12.123322046368049</v>
      </c>
      <c r="C140" s="44">
        <f t="shared" si="26"/>
        <v>3.5034271933694083</v>
      </c>
      <c r="D140" s="44">
        <f t="shared" si="28"/>
        <v>414.7655134053187</v>
      </c>
      <c r="E140" s="44">
        <f t="shared" si="21"/>
        <v>84.143603826281819</v>
      </c>
      <c r="F140" s="44">
        <f t="shared" si="22"/>
        <v>63.10770286971136</v>
      </c>
      <c r="G140" s="44">
        <f t="shared" si="23"/>
        <v>21.035900956570455</v>
      </c>
      <c r="H140" s="44">
        <f t="shared" si="24"/>
        <v>8.2953102681063733</v>
      </c>
      <c r="I140" s="44">
        <f t="shared" si="29"/>
        <v>12.740590688464081</v>
      </c>
      <c r="J140" s="100">
        <f t="shared" si="30"/>
        <v>3.0736046368711478E-2</v>
      </c>
      <c r="K140" s="100">
        <f t="shared" si="31"/>
        <v>3.0360784632409439E-2</v>
      </c>
      <c r="L140" s="44">
        <f t="shared" si="32"/>
        <v>4.9292577753339444</v>
      </c>
      <c r="M140" s="100">
        <f t="shared" si="33"/>
        <v>6.0861089777289192E-2</v>
      </c>
      <c r="N140" s="44"/>
      <c r="O140" s="44"/>
      <c r="P140" s="40">
        <f t="shared" si="34"/>
        <v>24.017511762634065</v>
      </c>
      <c r="Q140" s="101">
        <f t="shared" si="27"/>
        <v>2.015919270535577E-2</v>
      </c>
      <c r="S140" s="101"/>
    </row>
    <row r="141" spans="1:19">
      <c r="A141" s="44">
        <v>128</v>
      </c>
      <c r="B141" s="44">
        <f t="shared" si="25"/>
        <v>12.36578848729541</v>
      </c>
      <c r="C141" s="44">
        <f t="shared" si="26"/>
        <v>3.5384614653031026</v>
      </c>
      <c r="D141" s="44">
        <f t="shared" si="28"/>
        <v>427.50610409378277</v>
      </c>
      <c r="E141" s="44">
        <f t="shared" si="21"/>
        <v>86.697803548137372</v>
      </c>
      <c r="F141" s="44">
        <f t="shared" si="22"/>
        <v>65.023352661103033</v>
      </c>
      <c r="G141" s="44">
        <f t="shared" si="23"/>
        <v>21.674450887034343</v>
      </c>
      <c r="H141" s="44">
        <f t="shared" si="24"/>
        <v>8.5501220818756547</v>
      </c>
      <c r="I141" s="44">
        <f t="shared" si="29"/>
        <v>13.124328805158688</v>
      </c>
      <c r="J141" s="100">
        <f t="shared" si="30"/>
        <v>3.0717574814407629E-2</v>
      </c>
      <c r="K141" s="100">
        <f t="shared" si="31"/>
        <v>3.0355245148862554E-2</v>
      </c>
      <c r="L141" s="44">
        <f t="shared" si="32"/>
        <v>4.9309911739161629</v>
      </c>
      <c r="M141" s="100">
        <f t="shared" si="33"/>
        <v>6.0839695188856284E-2</v>
      </c>
      <c r="N141" s="44"/>
      <c r="O141" s="44"/>
      <c r="P141" s="40">
        <f t="shared" si="34"/>
        <v>24.501553683222291</v>
      </c>
      <c r="Q141" s="101">
        <f t="shared" si="27"/>
        <v>2.0153708068180808E-2</v>
      </c>
      <c r="S141" s="101"/>
    </row>
    <row r="142" spans="1:19">
      <c r="A142" s="44">
        <v>129</v>
      </c>
      <c r="B142" s="44">
        <f t="shared" si="25"/>
        <v>12.613104257041318</v>
      </c>
      <c r="C142" s="44">
        <f t="shared" si="26"/>
        <v>3.5738460799561338</v>
      </c>
      <c r="D142" s="44">
        <f t="shared" si="28"/>
        <v>440.63043289894148</v>
      </c>
      <c r="E142" s="44">
        <f t="shared" ref="E142:E205" si="35">(B142*C142)^(1-alpha)*(D142^alpha)</f>
        <v>89.329073072957144</v>
      </c>
      <c r="F142" s="44">
        <f t="shared" ref="F142:F205" si="36">(1-s)*E142</f>
        <v>66.996804804717854</v>
      </c>
      <c r="G142" s="44">
        <f t="shared" ref="G142:G205" si="37">s*E142</f>
        <v>22.332268268239286</v>
      </c>
      <c r="H142" s="44">
        <f t="shared" ref="H142:H205" si="38">dep*D142</f>
        <v>8.8126086579788296</v>
      </c>
      <c r="I142" s="44">
        <f t="shared" si="29"/>
        <v>13.519659610260456</v>
      </c>
      <c r="J142" s="100">
        <f t="shared" si="30"/>
        <v>3.069974599071363E-2</v>
      </c>
      <c r="K142" s="100">
        <f t="shared" si="31"/>
        <v>3.0349898349602444E-2</v>
      </c>
      <c r="L142" s="44">
        <f t="shared" si="32"/>
        <v>4.9326654552775704</v>
      </c>
      <c r="M142" s="100">
        <f t="shared" si="33"/>
        <v>6.0819044534841341E-2</v>
      </c>
      <c r="N142" s="44"/>
      <c r="O142" s="44"/>
      <c r="P142" s="40">
        <f t="shared" si="34"/>
        <v>24.995221135559813</v>
      </c>
      <c r="Q142" s="101">
        <f t="shared" si="27"/>
        <v>2.0148414207527037E-2</v>
      </c>
      <c r="S142" s="101"/>
    </row>
    <row r="143" spans="1:19">
      <c r="A143" s="44">
        <v>130</v>
      </c>
      <c r="B143" s="44">
        <f t="shared" ref="B143:B206" si="39">(1+g)*B142</f>
        <v>12.865366342182144</v>
      </c>
      <c r="C143" s="44">
        <f t="shared" ref="C143:C206" si="40">(1+n)*C142</f>
        <v>3.6095845407556952</v>
      </c>
      <c r="D143" s="44">
        <f t="shared" si="28"/>
        <v>454.15009250920195</v>
      </c>
      <c r="E143" s="44">
        <f t="shared" si="35"/>
        <v>92.039740338281817</v>
      </c>
      <c r="F143" s="44">
        <f t="shared" si="36"/>
        <v>69.029805253711359</v>
      </c>
      <c r="G143" s="44">
        <f t="shared" si="37"/>
        <v>23.009935084570454</v>
      </c>
      <c r="H143" s="44">
        <f t="shared" si="38"/>
        <v>9.0830018501840399</v>
      </c>
      <c r="I143" s="44">
        <f t="shared" si="29"/>
        <v>13.926933234386414</v>
      </c>
      <c r="J143" s="100">
        <f t="shared" si="30"/>
        <v>3.0682537112367833E-2</v>
      </c>
      <c r="K143" s="100">
        <f t="shared" si="31"/>
        <v>3.0344737408288205E-2</v>
      </c>
      <c r="L143" s="44">
        <f t="shared" si="32"/>
        <v>4.9342826353053999</v>
      </c>
      <c r="M143" s="100">
        <f t="shared" si="33"/>
        <v>6.079911147640045E-2</v>
      </c>
      <c r="N143" s="44"/>
      <c r="O143" s="44"/>
      <c r="P143" s="40">
        <f t="shared" si="34"/>
        <v>25.49870748255492</v>
      </c>
      <c r="Q143" s="101">
        <f t="shared" si="27"/>
        <v>2.014330436464172E-2</v>
      </c>
      <c r="S143" s="101"/>
    </row>
    <row r="144" spans="1:19">
      <c r="A144" s="44">
        <v>131</v>
      </c>
      <c r="B144" s="44">
        <f t="shared" si="39"/>
        <v>13.122673669025787</v>
      </c>
      <c r="C144" s="44">
        <f t="shared" si="40"/>
        <v>3.6456803861632521</v>
      </c>
      <c r="D144" s="44">
        <f t="shared" si="28"/>
        <v>468.07702574358837</v>
      </c>
      <c r="E144" s="44">
        <f t="shared" si="35"/>
        <v>94.832203579329288</v>
      </c>
      <c r="F144" s="44">
        <f t="shared" si="36"/>
        <v>71.124152684496963</v>
      </c>
      <c r="G144" s="44">
        <f t="shared" si="37"/>
        <v>23.708050894832322</v>
      </c>
      <c r="H144" s="44">
        <f t="shared" si="38"/>
        <v>9.3615405148717681</v>
      </c>
      <c r="I144" s="44">
        <f t="shared" si="29"/>
        <v>14.346510379960554</v>
      </c>
      <c r="J144" s="100">
        <f t="shared" si="30"/>
        <v>3.0665926230333696E-2</v>
      </c>
      <c r="K144" s="100">
        <f t="shared" si="31"/>
        <v>3.0339755748811151E-2</v>
      </c>
      <c r="L144" s="44">
        <f t="shared" si="32"/>
        <v>4.9358446611654587</v>
      </c>
      <c r="M144" s="100">
        <f t="shared" si="33"/>
        <v>6.0779870639033354E-2</v>
      </c>
      <c r="N144" s="44"/>
      <c r="O144" s="44"/>
      <c r="P144" s="40">
        <f t="shared" si="34"/>
        <v>26.012209940085171</v>
      </c>
      <c r="Q144" s="101">
        <f t="shared" ref="Q144:Q207" si="41">(P144-P143)/P143</f>
        <v>2.0138372028526013E-2</v>
      </c>
      <c r="S144" s="101"/>
    </row>
    <row r="145" spans="1:19">
      <c r="A145" s="44">
        <v>132</v>
      </c>
      <c r="B145" s="44">
        <f t="shared" si="39"/>
        <v>13.385127142406303</v>
      </c>
      <c r="C145" s="44">
        <f t="shared" si="40"/>
        <v>3.6821371900248847</v>
      </c>
      <c r="D145" s="44">
        <f t="shared" si="28"/>
        <v>482.4235361235489</v>
      </c>
      <c r="E145" s="44">
        <f t="shared" si="35"/>
        <v>97.708933452173042</v>
      </c>
      <c r="F145" s="44">
        <f t="shared" si="36"/>
        <v>73.281700089129785</v>
      </c>
      <c r="G145" s="44">
        <f t="shared" si="37"/>
        <v>24.427233363043261</v>
      </c>
      <c r="H145" s="44">
        <f t="shared" si="38"/>
        <v>9.6484707224709787</v>
      </c>
      <c r="I145" s="44">
        <f t="shared" si="29"/>
        <v>14.778762640572282</v>
      </c>
      <c r="J145" s="100">
        <f t="shared" si="30"/>
        <v>3.0649892199194419E-2</v>
      </c>
      <c r="K145" s="100">
        <f t="shared" si="31"/>
        <v>3.0334947035553214E-2</v>
      </c>
      <c r="L145" s="44">
        <f t="shared" si="32"/>
        <v>4.9373534136434669</v>
      </c>
      <c r="M145" s="100">
        <f t="shared" si="33"/>
        <v>6.076129757513514E-2</v>
      </c>
      <c r="N145" s="44"/>
      <c r="O145" s="44"/>
      <c r="P145" s="40">
        <f t="shared" si="34"/>
        <v>26.535929654351825</v>
      </c>
      <c r="Q145" s="101">
        <f t="shared" si="41"/>
        <v>2.0133610926290246E-2</v>
      </c>
      <c r="S145" s="101"/>
    </row>
    <row r="146" spans="1:19">
      <c r="A146" s="44">
        <v>133</v>
      </c>
      <c r="B146" s="44">
        <f t="shared" si="39"/>
        <v>13.652829685254428</v>
      </c>
      <c r="C146" s="44">
        <f t="shared" si="40"/>
        <v>3.7189585619251337</v>
      </c>
      <c r="D146" s="44">
        <f t="shared" si="28"/>
        <v>497.20229876412117</v>
      </c>
      <c r="E146" s="44">
        <f t="shared" si="35"/>
        <v>100.67247522103287</v>
      </c>
      <c r="F146" s="44">
        <f t="shared" si="36"/>
        <v>75.504356415774652</v>
      </c>
      <c r="G146" s="44">
        <f t="shared" si="37"/>
        <v>25.168118805258217</v>
      </c>
      <c r="H146" s="44">
        <f t="shared" si="38"/>
        <v>9.9440459752824228</v>
      </c>
      <c r="I146" s="44">
        <f t="shared" si="29"/>
        <v>15.224072829975794</v>
      </c>
      <c r="J146" s="100">
        <f t="shared" si="30"/>
        <v>3.063441464594592E-2</v>
      </c>
      <c r="K146" s="100">
        <f t="shared" si="31"/>
        <v>3.0330305164066016E-2</v>
      </c>
      <c r="L146" s="44">
        <f t="shared" si="32"/>
        <v>4.9388107094067335</v>
      </c>
      <c r="M146" s="100">
        <f t="shared" si="33"/>
        <v>6.0743368728144065E-2</v>
      </c>
      <c r="N146" s="44"/>
      <c r="O146" s="44"/>
      <c r="P146" s="40">
        <f t="shared" si="34"/>
        <v>27.070071780772775</v>
      </c>
      <c r="Q146" s="101">
        <f t="shared" si="41"/>
        <v>2.0129015013926652E-2</v>
      </c>
      <c r="S146" s="101"/>
    </row>
    <row r="147" spans="1:19">
      <c r="A147" s="44">
        <v>134</v>
      </c>
      <c r="B147" s="44">
        <f t="shared" si="39"/>
        <v>13.925886278959517</v>
      </c>
      <c r="C147" s="44">
        <f t="shared" si="40"/>
        <v>3.7561481475443852</v>
      </c>
      <c r="D147" s="44">
        <f t="shared" si="28"/>
        <v>512.42637159409696</v>
      </c>
      <c r="E147" s="44">
        <f t="shared" si="35"/>
        <v>103.72545101161482</v>
      </c>
      <c r="F147" s="44">
        <f t="shared" si="36"/>
        <v>77.794088258711113</v>
      </c>
      <c r="G147" s="44">
        <f t="shared" si="37"/>
        <v>25.931362752903706</v>
      </c>
      <c r="H147" s="44">
        <f t="shared" si="38"/>
        <v>10.248527431881939</v>
      </c>
      <c r="I147" s="44">
        <f t="shared" si="29"/>
        <v>15.682835321021766</v>
      </c>
      <c r="J147" s="100">
        <f t="shared" si="30"/>
        <v>3.0619473940120059E-2</v>
      </c>
      <c r="K147" s="100">
        <f t="shared" si="31"/>
        <v>3.0325824252149854E-2</v>
      </c>
      <c r="L147" s="44">
        <f t="shared" si="32"/>
        <v>4.94021830318884</v>
      </c>
      <c r="M147" s="100">
        <f t="shared" si="33"/>
        <v>6.0726061398208721E-2</v>
      </c>
      <c r="N147" s="44"/>
      <c r="O147" s="44"/>
      <c r="P147" s="40">
        <f t="shared" si="34"/>
        <v>27.614845564445123</v>
      </c>
      <c r="Q147" s="101">
        <f t="shared" si="41"/>
        <v>2.0124578467475191E-2</v>
      </c>
      <c r="S147" s="101"/>
    </row>
    <row r="148" spans="1:19">
      <c r="A148" s="44">
        <v>135</v>
      </c>
      <c r="B148" s="44">
        <f t="shared" si="39"/>
        <v>14.204404004538707</v>
      </c>
      <c r="C148" s="44">
        <f t="shared" si="40"/>
        <v>3.7937096290198289</v>
      </c>
      <c r="D148" s="44">
        <f t="shared" ref="D148:D192" si="42">D147+I147</f>
        <v>528.10920691511876</v>
      </c>
      <c r="E148" s="44">
        <f t="shared" si="35"/>
        <v>106.87056213249483</v>
      </c>
      <c r="F148" s="44">
        <f t="shared" si="36"/>
        <v>80.152921599371126</v>
      </c>
      <c r="G148" s="44">
        <f t="shared" si="37"/>
        <v>26.717640533123706</v>
      </c>
      <c r="H148" s="44">
        <f t="shared" si="38"/>
        <v>10.562184138302376</v>
      </c>
      <c r="I148" s="44">
        <f t="shared" ref="I148:I192" si="43">G148-H148</f>
        <v>16.155456394821329</v>
      </c>
      <c r="J148" s="100">
        <f t="shared" ref="J148:J192" si="44">(D148-D147)/D147</f>
        <v>3.0605051165173994E-2</v>
      </c>
      <c r="K148" s="100">
        <f t="shared" ref="K148:K192" si="45">(E148-E147)/E147</f>
        <v>3.0321498631303363E-2</v>
      </c>
      <c r="L148" s="44">
        <f t="shared" ref="L148:L192" si="46">D148/E148</f>
        <v>4.9415778898999827</v>
      </c>
      <c r="M148" s="100">
        <f t="shared" ref="M148:M192" si="47">alpha/L148</f>
        <v>6.0709353709301132E-2</v>
      </c>
      <c r="N148" s="44"/>
      <c r="O148" s="44"/>
      <c r="P148" s="40">
        <f t="shared" ref="P148:P192" si="48">E148/C148</f>
        <v>28.170464422209008</v>
      </c>
      <c r="Q148" s="101">
        <f t="shared" si="41"/>
        <v>2.0120295674557757E-2</v>
      </c>
      <c r="S148" s="101"/>
    </row>
    <row r="149" spans="1:19">
      <c r="A149" s="44">
        <v>136</v>
      </c>
      <c r="B149" s="44">
        <f t="shared" si="39"/>
        <v>14.488492084629481</v>
      </c>
      <c r="C149" s="44">
        <f t="shared" si="40"/>
        <v>3.8316467253100273</v>
      </c>
      <c r="D149" s="44">
        <f t="shared" si="42"/>
        <v>544.26466330994003</v>
      </c>
      <c r="E149" s="44">
        <f t="shared" si="35"/>
        <v>110.1105914666016</v>
      </c>
      <c r="F149" s="44">
        <f t="shared" si="36"/>
        <v>82.582943599951207</v>
      </c>
      <c r="G149" s="44">
        <f t="shared" si="37"/>
        <v>27.527647866650401</v>
      </c>
      <c r="H149" s="44">
        <f t="shared" si="38"/>
        <v>10.885293266198801</v>
      </c>
      <c r="I149" s="44">
        <f t="shared" si="43"/>
        <v>16.642354600451601</v>
      </c>
      <c r="J149" s="100">
        <f t="shared" si="44"/>
        <v>3.059112809108417E-2</v>
      </c>
      <c r="K149" s="100">
        <f t="shared" si="45"/>
        <v>3.031732283853706E-2</v>
      </c>
      <c r="L149" s="44">
        <f t="shared" si="46"/>
        <v>4.9428911066654715</v>
      </c>
      <c r="M149" s="100">
        <f t="shared" si="47"/>
        <v>6.0693224577707372E-2</v>
      </c>
      <c r="N149" s="44"/>
      <c r="O149" s="44"/>
      <c r="P149" s="40">
        <f t="shared" si="48"/>
        <v>28.73714602634519</v>
      </c>
      <c r="Q149" s="101">
        <f t="shared" si="41"/>
        <v>2.011616122627435E-2</v>
      </c>
      <c r="S149" s="101"/>
    </row>
    <row r="150" spans="1:19">
      <c r="A150" s="44">
        <v>137</v>
      </c>
      <c r="B150" s="44">
        <f t="shared" si="39"/>
        <v>14.77826192632207</v>
      </c>
      <c r="C150" s="44">
        <f t="shared" si="40"/>
        <v>3.8699631925631275</v>
      </c>
      <c r="D150" s="44">
        <f t="shared" si="42"/>
        <v>560.90701791039169</v>
      </c>
      <c r="E150" s="44">
        <f t="shared" si="35"/>
        <v>113.448405934916</v>
      </c>
      <c r="F150" s="44">
        <f t="shared" si="36"/>
        <v>85.086304451187004</v>
      </c>
      <c r="G150" s="44">
        <f t="shared" si="37"/>
        <v>28.362101483728999</v>
      </c>
      <c r="H150" s="44">
        <f t="shared" si="38"/>
        <v>11.218140358207833</v>
      </c>
      <c r="I150" s="44">
        <f t="shared" si="43"/>
        <v>17.143961125521166</v>
      </c>
      <c r="J150" s="100">
        <f t="shared" si="44"/>
        <v>3.0577687148089578E-2</v>
      </c>
      <c r="K150" s="100">
        <f t="shared" si="45"/>
        <v>3.0313291608526204E-2</v>
      </c>
      <c r="L150" s="44">
        <f t="shared" si="46"/>
        <v>4.944159534794851</v>
      </c>
      <c r="M150" s="100">
        <f t="shared" si="47"/>
        <v>6.0677653681830063E-2</v>
      </c>
      <c r="N150" s="44"/>
      <c r="O150" s="44"/>
      <c r="P150" s="40">
        <f t="shared" si="48"/>
        <v>29.315112389939198</v>
      </c>
      <c r="Q150" s="101">
        <f t="shared" si="41"/>
        <v>2.0112169909431831E-2</v>
      </c>
      <c r="S150" s="101"/>
    </row>
    <row r="151" spans="1:19">
      <c r="A151" s="44">
        <v>138</v>
      </c>
      <c r="B151" s="44">
        <f t="shared" si="39"/>
        <v>15.073827164848511</v>
      </c>
      <c r="C151" s="44">
        <f t="shared" si="40"/>
        <v>3.9086628244887587</v>
      </c>
      <c r="D151" s="44">
        <f t="shared" si="42"/>
        <v>578.05097903591286</v>
      </c>
      <c r="E151" s="44">
        <f t="shared" si="35"/>
        <v>116.88695903456761</v>
      </c>
      <c r="F151" s="44">
        <f t="shared" si="36"/>
        <v>87.665219275925708</v>
      </c>
      <c r="G151" s="44">
        <f t="shared" si="37"/>
        <v>29.221739758641903</v>
      </c>
      <c r="H151" s="44">
        <f t="shared" si="38"/>
        <v>11.561019580718257</v>
      </c>
      <c r="I151" s="44">
        <f t="shared" si="43"/>
        <v>17.660720177923643</v>
      </c>
      <c r="J151" s="100">
        <f t="shared" si="44"/>
        <v>3.0564711401525065E-2</v>
      </c>
      <c r="K151" s="100">
        <f t="shared" si="45"/>
        <v>3.0309399866087768E-2</v>
      </c>
      <c r="L151" s="44">
        <f t="shared" si="46"/>
        <v>4.9453847016839809</v>
      </c>
      <c r="M151" s="100">
        <f t="shared" si="47"/>
        <v>6.0662621433241644E-2</v>
      </c>
      <c r="N151" s="44"/>
      <c r="O151" s="44"/>
      <c r="P151" s="40">
        <f t="shared" si="48"/>
        <v>29.904589953945713</v>
      </c>
      <c r="Q151" s="101">
        <f t="shared" si="41"/>
        <v>2.0108316699096834E-2</v>
      </c>
      <c r="S151" s="101"/>
    </row>
    <row r="152" spans="1:19">
      <c r="A152" s="44">
        <v>139</v>
      </c>
      <c r="B152" s="44">
        <f t="shared" si="39"/>
        <v>15.375303708145482</v>
      </c>
      <c r="C152" s="44">
        <f t="shared" si="40"/>
        <v>3.9477494527336461</v>
      </c>
      <c r="D152" s="44">
        <f t="shared" si="42"/>
        <v>595.71169921383648</v>
      </c>
      <c r="E152" s="44">
        <f t="shared" si="35"/>
        <v>120.42929345357692</v>
      </c>
      <c r="F152" s="44">
        <f t="shared" si="36"/>
        <v>90.321970090182688</v>
      </c>
      <c r="G152" s="44">
        <f t="shared" si="37"/>
        <v>30.107323363394229</v>
      </c>
      <c r="H152" s="44">
        <f t="shared" si="38"/>
        <v>11.914233984276731</v>
      </c>
      <c r="I152" s="44">
        <f t="shared" si="43"/>
        <v>18.193089379117499</v>
      </c>
      <c r="J152" s="100">
        <f t="shared" si="44"/>
        <v>3.055218452770133E-2</v>
      </c>
      <c r="K152" s="100">
        <f t="shared" si="45"/>
        <v>3.0305642718977007E-2</v>
      </c>
      <c r="L152" s="44">
        <f t="shared" si="46"/>
        <v>4.9465680826523446</v>
      </c>
      <c r="M152" s="100">
        <f t="shared" si="47"/>
        <v>6.0648108948930163E-2</v>
      </c>
      <c r="N152" s="44"/>
      <c r="O152" s="44"/>
      <c r="P152" s="40">
        <f t="shared" si="48"/>
        <v>30.505809675987628</v>
      </c>
      <c r="Q152" s="101">
        <f t="shared" si="41"/>
        <v>2.0104596751462485E-2</v>
      </c>
      <c r="S152" s="101"/>
    </row>
    <row r="153" spans="1:19">
      <c r="A153" s="44">
        <v>140</v>
      </c>
      <c r="B153" s="44">
        <f t="shared" si="39"/>
        <v>15.682809782308393</v>
      </c>
      <c r="C153" s="44">
        <f t="shared" si="40"/>
        <v>3.9872269472609827</v>
      </c>
      <c r="D153" s="44">
        <f t="shared" si="42"/>
        <v>613.90478859295399</v>
      </c>
      <c r="E153" s="44">
        <f t="shared" si="35"/>
        <v>124.07854376455613</v>
      </c>
      <c r="F153" s="44">
        <f t="shared" si="36"/>
        <v>93.058907823417101</v>
      </c>
      <c r="G153" s="44">
        <f t="shared" si="37"/>
        <v>31.019635941139033</v>
      </c>
      <c r="H153" s="44">
        <f t="shared" si="38"/>
        <v>12.27809577185908</v>
      </c>
      <c r="I153" s="44">
        <f t="shared" si="43"/>
        <v>18.741540169279951</v>
      </c>
      <c r="J153" s="100">
        <f t="shared" si="44"/>
        <v>3.054009079077516E-2</v>
      </c>
      <c r="K153" s="100">
        <f t="shared" si="45"/>
        <v>3.0302015450966051E-2</v>
      </c>
      <c r="L153" s="44">
        <f t="shared" si="46"/>
        <v>4.9477111027178253</v>
      </c>
      <c r="M153" s="100">
        <f t="shared" si="47"/>
        <v>6.0634098024681976E-2</v>
      </c>
      <c r="N153" s="44"/>
      <c r="O153" s="44"/>
      <c r="P153" s="40">
        <f t="shared" si="48"/>
        <v>31.119007120924387</v>
      </c>
      <c r="Q153" s="101">
        <f t="shared" si="41"/>
        <v>2.0101005396995962E-2</v>
      </c>
      <c r="S153" s="101"/>
    </row>
    <row r="154" spans="1:19">
      <c r="A154" s="44">
        <v>141</v>
      </c>
      <c r="B154" s="44">
        <f t="shared" si="39"/>
        <v>15.996465977954561</v>
      </c>
      <c r="C154" s="44">
        <f t="shared" si="40"/>
        <v>4.0270992167335926</v>
      </c>
      <c r="D154" s="44">
        <f t="shared" si="42"/>
        <v>632.64632876223391</v>
      </c>
      <c r="E154" s="44">
        <f t="shared" si="35"/>
        <v>127.83793919975506</v>
      </c>
      <c r="F154" s="44">
        <f t="shared" si="36"/>
        <v>95.878454399816292</v>
      </c>
      <c r="G154" s="44">
        <f t="shared" si="37"/>
        <v>31.959484799938764</v>
      </c>
      <c r="H154" s="44">
        <f t="shared" si="38"/>
        <v>12.652926575244678</v>
      </c>
      <c r="I154" s="44">
        <f t="shared" si="43"/>
        <v>19.306558224694086</v>
      </c>
      <c r="J154" s="100">
        <f t="shared" si="44"/>
        <v>3.0528415020568255E-2</v>
      </c>
      <c r="K154" s="100">
        <f t="shared" si="45"/>
        <v>3.0298513515217625E-2</v>
      </c>
      <c r="L154" s="44">
        <f t="shared" si="46"/>
        <v>4.9488151383110379</v>
      </c>
      <c r="M154" s="100">
        <f t="shared" si="47"/>
        <v>6.0620571109549638E-2</v>
      </c>
      <c r="N154" s="44"/>
      <c r="O154" s="44"/>
      <c r="P154" s="40">
        <f t="shared" si="48"/>
        <v>31.744422553225611</v>
      </c>
      <c r="Q154" s="101">
        <f t="shared" si="41"/>
        <v>2.0097538133878819E-2</v>
      </c>
      <c r="S154" s="101"/>
    </row>
    <row r="155" spans="1:19">
      <c r="A155" s="44">
        <v>142</v>
      </c>
      <c r="B155" s="44">
        <f t="shared" si="39"/>
        <v>16.316395297513651</v>
      </c>
      <c r="C155" s="44">
        <f t="shared" si="40"/>
        <v>4.0673702089009289</v>
      </c>
      <c r="D155" s="44">
        <f t="shared" si="42"/>
        <v>651.95288698692798</v>
      </c>
      <c r="E155" s="44">
        <f t="shared" si="35"/>
        <v>131.71080650990828</v>
      </c>
      <c r="F155" s="44">
        <f t="shared" si="36"/>
        <v>98.783104882431218</v>
      </c>
      <c r="G155" s="44">
        <f t="shared" si="37"/>
        <v>32.92770162747707</v>
      </c>
      <c r="H155" s="44">
        <f t="shared" si="38"/>
        <v>13.03905773973856</v>
      </c>
      <c r="I155" s="44">
        <f t="shared" si="43"/>
        <v>19.88864388773851</v>
      </c>
      <c r="J155" s="100">
        <f t="shared" si="44"/>
        <v>3.0517142591291339E-2</v>
      </c>
      <c r="K155" s="100">
        <f t="shared" si="45"/>
        <v>3.0295132527923648E-2</v>
      </c>
      <c r="L155" s="44">
        <f t="shared" si="46"/>
        <v>4.9498815189312744</v>
      </c>
      <c r="M155" s="100">
        <f t="shared" si="47"/>
        <v>6.0607511281355435E-2</v>
      </c>
      <c r="N155" s="44"/>
      <c r="O155" s="44"/>
      <c r="P155" s="40">
        <f t="shared" si="48"/>
        <v>32.382301031186124</v>
      </c>
      <c r="Q155" s="101">
        <f t="shared" si="41"/>
        <v>2.0094190621706445E-2</v>
      </c>
      <c r="S155" s="101"/>
    </row>
    <row r="156" spans="1:19">
      <c r="A156" s="44">
        <v>143</v>
      </c>
      <c r="B156" s="44">
        <f t="shared" si="39"/>
        <v>16.642723203463923</v>
      </c>
      <c r="C156" s="44">
        <f t="shared" si="40"/>
        <v>4.108043910989938</v>
      </c>
      <c r="D156" s="44">
        <f t="shared" si="42"/>
        <v>671.84153087466643</v>
      </c>
      <c r="E156" s="44">
        <f t="shared" si="35"/>
        <v>135.70057290941415</v>
      </c>
      <c r="F156" s="44">
        <f t="shared" si="36"/>
        <v>101.7754296820606</v>
      </c>
      <c r="G156" s="44">
        <f t="shared" si="37"/>
        <v>33.925143227353537</v>
      </c>
      <c r="H156" s="44">
        <f t="shared" si="38"/>
        <v>13.436830617493328</v>
      </c>
      <c r="I156" s="44">
        <f t="shared" si="43"/>
        <v>20.488312609860209</v>
      </c>
      <c r="J156" s="100">
        <f t="shared" si="44"/>
        <v>3.0506259401129443E-2</v>
      </c>
      <c r="K156" s="100">
        <f t="shared" si="45"/>
        <v>3.0291868262197055E-2</v>
      </c>
      <c r="L156" s="44">
        <f t="shared" si="46"/>
        <v>4.9509115287460794</v>
      </c>
      <c r="M156" s="100">
        <f t="shared" si="47"/>
        <v>6.0594902223183374E-2</v>
      </c>
      <c r="N156" s="44"/>
      <c r="O156" s="44"/>
      <c r="P156" s="40">
        <f t="shared" si="48"/>
        <v>33.032892503019433</v>
      </c>
      <c r="Q156" s="101">
        <f t="shared" si="41"/>
        <v>2.0090958675442788E-2</v>
      </c>
      <c r="S156" s="101"/>
    </row>
    <row r="157" spans="1:19">
      <c r="A157" s="44">
        <v>144</v>
      </c>
      <c r="B157" s="44">
        <f t="shared" si="39"/>
        <v>16.975577667533202</v>
      </c>
      <c r="C157" s="44">
        <f t="shared" si="40"/>
        <v>4.1491243500998376</v>
      </c>
      <c r="D157" s="44">
        <f t="shared" si="42"/>
        <v>692.32984348452669</v>
      </c>
      <c r="E157" s="44">
        <f t="shared" si="35"/>
        <v>139.81076911045415</v>
      </c>
      <c r="F157" s="44">
        <f t="shared" si="36"/>
        <v>104.85807683284061</v>
      </c>
      <c r="G157" s="44">
        <f t="shared" si="37"/>
        <v>34.952692277613536</v>
      </c>
      <c r="H157" s="44">
        <f t="shared" si="38"/>
        <v>13.846596869690535</v>
      </c>
      <c r="I157" s="44">
        <f t="shared" si="43"/>
        <v>21.106095407923</v>
      </c>
      <c r="J157" s="100">
        <f t="shared" si="44"/>
        <v>3.0495751852652884E-2</v>
      </c>
      <c r="K157" s="100">
        <f t="shared" si="45"/>
        <v>3.0288716642218796E-2</v>
      </c>
      <c r="L157" s="44">
        <f t="shared" si="46"/>
        <v>4.9519064081363293</v>
      </c>
      <c r="M157" s="100">
        <f t="shared" si="47"/>
        <v>6.058272820081554E-2</v>
      </c>
      <c r="N157" s="44"/>
      <c r="O157" s="44"/>
      <c r="P157" s="40">
        <f t="shared" si="48"/>
        <v>33.69645190486758</v>
      </c>
      <c r="Q157" s="101">
        <f t="shared" si="41"/>
        <v>2.0087838259622379E-2</v>
      </c>
      <c r="S157" s="101"/>
    </row>
    <row r="158" spans="1:19">
      <c r="A158" s="44">
        <v>145</v>
      </c>
      <c r="B158" s="44">
        <f t="shared" si="39"/>
        <v>17.315089220883866</v>
      </c>
      <c r="C158" s="44">
        <f t="shared" si="40"/>
        <v>4.1906155936008362</v>
      </c>
      <c r="D158" s="44">
        <f t="shared" si="42"/>
        <v>713.43593889244971</v>
      </c>
      <c r="E158" s="44">
        <f t="shared" si="35"/>
        <v>144.0450324487372</v>
      </c>
      <c r="F158" s="44">
        <f t="shared" si="36"/>
        <v>108.03377433655291</v>
      </c>
      <c r="G158" s="44">
        <f t="shared" si="37"/>
        <v>36.011258112184301</v>
      </c>
      <c r="H158" s="44">
        <f t="shared" si="38"/>
        <v>14.268718777848994</v>
      </c>
      <c r="I158" s="44">
        <f t="shared" si="43"/>
        <v>21.742539334335305</v>
      </c>
      <c r="J158" s="100">
        <f t="shared" si="44"/>
        <v>3.0485606834012975E-2</v>
      </c>
      <c r="K158" s="100">
        <f t="shared" si="45"/>
        <v>3.0285673737606569E-2</v>
      </c>
      <c r="L158" s="44">
        <f t="shared" si="46"/>
        <v>4.9528673551887152</v>
      </c>
      <c r="M158" s="100">
        <f t="shared" si="47"/>
        <v>6.0570974041070258E-2</v>
      </c>
      <c r="N158" s="44"/>
      <c r="O158" s="44"/>
      <c r="P158" s="40">
        <f t="shared" si="48"/>
        <v>34.373239260765693</v>
      </c>
      <c r="Q158" s="101">
        <f t="shared" si="41"/>
        <v>2.0084825482778772E-2</v>
      </c>
      <c r="S158" s="101"/>
    </row>
    <row r="159" spans="1:19">
      <c r="A159" s="44">
        <v>146</v>
      </c>
      <c r="B159" s="44">
        <f t="shared" si="39"/>
        <v>17.661391005301542</v>
      </c>
      <c r="C159" s="44">
        <f t="shared" si="40"/>
        <v>4.2325217495368443</v>
      </c>
      <c r="D159" s="44">
        <f t="shared" si="42"/>
        <v>735.17847822678505</v>
      </c>
      <c r="E159" s="44">
        <f t="shared" si="35"/>
        <v>148.4071101036387</v>
      </c>
      <c r="F159" s="44">
        <f t="shared" si="36"/>
        <v>111.30533257772902</v>
      </c>
      <c r="G159" s="44">
        <f t="shared" si="37"/>
        <v>37.101777525909675</v>
      </c>
      <c r="H159" s="44">
        <f t="shared" si="38"/>
        <v>14.703569564535702</v>
      </c>
      <c r="I159" s="44">
        <f t="shared" si="43"/>
        <v>22.398207961373974</v>
      </c>
      <c r="J159" s="100">
        <f t="shared" si="44"/>
        <v>3.0475811700891923E-2</v>
      </c>
      <c r="K159" s="100">
        <f t="shared" si="45"/>
        <v>3.0282735758026751E-2</v>
      </c>
      <c r="L159" s="44">
        <f t="shared" si="46"/>
        <v>4.9537955271373457</v>
      </c>
      <c r="M159" s="100">
        <f t="shared" si="47"/>
        <v>6.0559625111002768E-2</v>
      </c>
      <c r="N159" s="44"/>
      <c r="O159" s="44"/>
      <c r="P159" s="40">
        <f t="shared" si="48"/>
        <v>35.063519784600885</v>
      </c>
      <c r="Q159" s="101">
        <f t="shared" si="41"/>
        <v>2.0081916592105759E-2</v>
      </c>
      <c r="S159" s="101"/>
    </row>
    <row r="160" spans="1:19">
      <c r="A160" s="44">
        <v>147</v>
      </c>
      <c r="B160" s="44">
        <f t="shared" si="39"/>
        <v>18.014618825407574</v>
      </c>
      <c r="C160" s="44">
        <f t="shared" si="40"/>
        <v>4.2748469670322127</v>
      </c>
      <c r="D160" s="44">
        <f t="shared" si="42"/>
        <v>757.57668618815899</v>
      </c>
      <c r="E160" s="44">
        <f t="shared" si="35"/>
        <v>152.90086241558203</v>
      </c>
      <c r="F160" s="44">
        <f t="shared" si="36"/>
        <v>114.67564681168652</v>
      </c>
      <c r="G160" s="44">
        <f t="shared" si="37"/>
        <v>38.225215603895506</v>
      </c>
      <c r="H160" s="44">
        <f t="shared" si="38"/>
        <v>15.15153372376318</v>
      </c>
      <c r="I160" s="44">
        <f t="shared" si="43"/>
        <v>23.073681880132327</v>
      </c>
      <c r="J160" s="100">
        <f t="shared" si="44"/>
        <v>3.0466354259168927E-2</v>
      </c>
      <c r="K160" s="100">
        <f t="shared" si="45"/>
        <v>3.0279899047998143E-2</v>
      </c>
      <c r="L160" s="44">
        <f t="shared" si="46"/>
        <v>4.9546920417562985</v>
      </c>
      <c r="M160" s="100">
        <f t="shared" si="47"/>
        <v>6.0548667297929265E-2</v>
      </c>
      <c r="N160" s="44"/>
      <c r="O160" s="44"/>
      <c r="P160" s="40">
        <f t="shared" si="48"/>
        <v>35.767563984105038</v>
      </c>
      <c r="Q160" s="101">
        <f t="shared" si="41"/>
        <v>2.0079107968315087E-2</v>
      </c>
      <c r="S160" s="101"/>
    </row>
    <row r="161" spans="1:19">
      <c r="A161" s="44">
        <v>148</v>
      </c>
      <c r="B161" s="44">
        <f t="shared" si="39"/>
        <v>18.374911201915726</v>
      </c>
      <c r="C161" s="44">
        <f t="shared" si="40"/>
        <v>4.3175954367025344</v>
      </c>
      <c r="D161" s="44">
        <f t="shared" si="42"/>
        <v>780.6503680682913</v>
      </c>
      <c r="E161" s="44">
        <f t="shared" si="35"/>
        <v>157.53026630360205</v>
      </c>
      <c r="F161" s="44">
        <f t="shared" si="36"/>
        <v>118.14769972770154</v>
      </c>
      <c r="G161" s="44">
        <f t="shared" si="37"/>
        <v>39.382566575900512</v>
      </c>
      <c r="H161" s="44">
        <f t="shared" si="38"/>
        <v>15.613007361365826</v>
      </c>
      <c r="I161" s="44">
        <f t="shared" si="43"/>
        <v>23.769559214534688</v>
      </c>
      <c r="J161" s="100">
        <f t="shared" si="44"/>
        <v>3.0457222748274372E-2</v>
      </c>
      <c r="K161" s="100">
        <f t="shared" si="45"/>
        <v>3.027716008191882E-2</v>
      </c>
      <c r="L161" s="44">
        <f t="shared" si="46"/>
        <v>4.9555579787047002</v>
      </c>
      <c r="M161" s="100">
        <f t="shared" si="47"/>
        <v>6.0538086990239381E-2</v>
      </c>
      <c r="N161" s="44"/>
      <c r="O161" s="44"/>
      <c r="P161" s="40">
        <f t="shared" si="48"/>
        <v>36.485647766922838</v>
      </c>
      <c r="Q161" s="101">
        <f t="shared" si="41"/>
        <v>2.0076396120711867E-2</v>
      </c>
      <c r="S161" s="101"/>
    </row>
    <row r="162" spans="1:19">
      <c r="A162" s="44">
        <v>149</v>
      </c>
      <c r="B162" s="44">
        <f t="shared" si="39"/>
        <v>18.74240942595404</v>
      </c>
      <c r="C162" s="44">
        <f t="shared" si="40"/>
        <v>4.3607713910695596</v>
      </c>
      <c r="D162" s="44">
        <f t="shared" si="42"/>
        <v>804.41992728282594</v>
      </c>
      <c r="E162" s="44">
        <f t="shared" si="35"/>
        <v>162.29941878611461</v>
      </c>
      <c r="F162" s="44">
        <f t="shared" si="36"/>
        <v>121.72456408958595</v>
      </c>
      <c r="G162" s="44">
        <f t="shared" si="37"/>
        <v>40.574854696528654</v>
      </c>
      <c r="H162" s="44">
        <f t="shared" si="38"/>
        <v>16.088398545656521</v>
      </c>
      <c r="I162" s="44">
        <f t="shared" si="43"/>
        <v>24.486456150872133</v>
      </c>
      <c r="J162" s="100">
        <f t="shared" si="44"/>
        <v>3.0448405825199427E-2</v>
      </c>
      <c r="K162" s="100">
        <f t="shared" si="45"/>
        <v>3.0274515459277913E-2</v>
      </c>
      <c r="L162" s="44">
        <f t="shared" si="46"/>
        <v>4.9563943808260102</v>
      </c>
      <c r="M162" s="100">
        <f t="shared" si="47"/>
        <v>6.0527871058961888E-2</v>
      </c>
      <c r="N162" s="44"/>
      <c r="O162" s="44"/>
      <c r="P162" s="40">
        <f t="shared" si="48"/>
        <v>37.218052548796351</v>
      </c>
      <c r="Q162" s="101">
        <f t="shared" si="41"/>
        <v>2.0073777682453428E-2</v>
      </c>
      <c r="S162" s="101"/>
    </row>
    <row r="163" spans="1:19">
      <c r="A163" s="44">
        <v>150</v>
      </c>
      <c r="B163" s="44">
        <f t="shared" si="39"/>
        <v>19.117257614473122</v>
      </c>
      <c r="C163" s="44">
        <f t="shared" si="40"/>
        <v>4.4043791049802552</v>
      </c>
      <c r="D163" s="44">
        <f t="shared" si="42"/>
        <v>828.90638343369812</v>
      </c>
      <c r="E163" s="44">
        <f t="shared" si="35"/>
        <v>167.2125406080107</v>
      </c>
      <c r="F163" s="44">
        <f t="shared" si="36"/>
        <v>125.40940545600802</v>
      </c>
      <c r="G163" s="44">
        <f t="shared" si="37"/>
        <v>41.803135152002675</v>
      </c>
      <c r="H163" s="44">
        <f t="shared" si="38"/>
        <v>16.578127668673964</v>
      </c>
      <c r="I163" s="44">
        <f t="shared" si="43"/>
        <v>25.22500748332871</v>
      </c>
      <c r="J163" s="100">
        <f t="shared" si="44"/>
        <v>3.043989254913497E-2</v>
      </c>
      <c r="K163" s="100">
        <f t="shared" si="45"/>
        <v>3.0271961900065793E-2</v>
      </c>
      <c r="L163" s="44">
        <f t="shared" si="46"/>
        <v>4.9572022554030104</v>
      </c>
      <c r="M163" s="100">
        <f t="shared" si="47"/>
        <v>6.0518006840051881E-2</v>
      </c>
      <c r="N163" s="44"/>
      <c r="O163" s="44"/>
      <c r="P163" s="40">
        <f t="shared" si="48"/>
        <v>37.965065363909069</v>
      </c>
      <c r="Q163" s="101">
        <f t="shared" si="41"/>
        <v>2.0071249406005721E-2</v>
      </c>
      <c r="S163" s="101"/>
    </row>
    <row r="164" spans="1:19">
      <c r="A164" s="44">
        <v>151</v>
      </c>
      <c r="B164" s="44">
        <f t="shared" si="39"/>
        <v>19.499602766762585</v>
      </c>
      <c r="C164" s="44">
        <f t="shared" si="40"/>
        <v>4.448422896030058</v>
      </c>
      <c r="D164" s="44">
        <f t="shared" si="42"/>
        <v>854.13139091702681</v>
      </c>
      <c r="E164" s="44">
        <f t="shared" si="35"/>
        <v>172.2739799772836</v>
      </c>
      <c r="F164" s="44">
        <f t="shared" si="36"/>
        <v>129.2054849829627</v>
      </c>
      <c r="G164" s="44">
        <f t="shared" si="37"/>
        <v>43.068494994320901</v>
      </c>
      <c r="H164" s="44">
        <f t="shared" si="38"/>
        <v>17.082627818340537</v>
      </c>
      <c r="I164" s="44">
        <f t="shared" si="43"/>
        <v>25.985867175980363</v>
      </c>
      <c r="J164" s="100">
        <f t="shared" si="44"/>
        <v>3.0431672366709864E-2</v>
      </c>
      <c r="K164" s="100">
        <f t="shared" si="45"/>
        <v>3.0269496240346125E-2</v>
      </c>
      <c r="L164" s="44">
        <f t="shared" si="46"/>
        <v>4.9579825753700835</v>
      </c>
      <c r="M164" s="100">
        <f t="shared" si="47"/>
        <v>6.0508482117367424E-2</v>
      </c>
      <c r="N164" s="44"/>
      <c r="O164" s="44"/>
      <c r="P164" s="40">
        <f t="shared" si="48"/>
        <v>38.726978977432083</v>
      </c>
      <c r="Q164" s="101">
        <f t="shared" si="41"/>
        <v>2.0068808158758382E-2</v>
      </c>
      <c r="S164" s="101"/>
    </row>
    <row r="165" spans="1:19">
      <c r="A165" s="44">
        <v>152</v>
      </c>
      <c r="B165" s="44">
        <f t="shared" si="39"/>
        <v>19.889594822097838</v>
      </c>
      <c r="C165" s="44">
        <f t="shared" si="40"/>
        <v>4.4929071249903583</v>
      </c>
      <c r="D165" s="44">
        <f t="shared" si="42"/>
        <v>880.11725809300719</v>
      </c>
      <c r="E165" s="44">
        <f t="shared" si="35"/>
        <v>177.48821641450081</v>
      </c>
      <c r="F165" s="44">
        <f t="shared" si="36"/>
        <v>133.11616231087561</v>
      </c>
      <c r="G165" s="44">
        <f t="shared" si="37"/>
        <v>44.372054103625203</v>
      </c>
      <c r="H165" s="44">
        <f t="shared" si="38"/>
        <v>17.602345161860143</v>
      </c>
      <c r="I165" s="44">
        <f t="shared" si="43"/>
        <v>26.76970894176506</v>
      </c>
      <c r="J165" s="100">
        <f t="shared" si="44"/>
        <v>3.0423735097806215E-2</v>
      </c>
      <c r="K165" s="100">
        <f t="shared" si="45"/>
        <v>3.0267115428022094E-2</v>
      </c>
      <c r="L165" s="44">
        <f t="shared" si="46"/>
        <v>4.9587362804841479</v>
      </c>
      <c r="M165" s="100">
        <f t="shared" si="47"/>
        <v>6.0499285106307241E-2</v>
      </c>
      <c r="N165" s="44"/>
      <c r="O165" s="44"/>
      <c r="P165" s="40">
        <f t="shared" si="48"/>
        <v>39.504092000317435</v>
      </c>
      <c r="Q165" s="101">
        <f t="shared" si="41"/>
        <v>2.0066450918833877E-2</v>
      </c>
      <c r="S165" s="101"/>
    </row>
    <row r="166" spans="1:19">
      <c r="A166" s="44">
        <v>153</v>
      </c>
      <c r="B166" s="44">
        <f t="shared" si="39"/>
        <v>20.287386718539796</v>
      </c>
      <c r="C166" s="44">
        <f t="shared" si="40"/>
        <v>4.5378361962402618</v>
      </c>
      <c r="D166" s="44">
        <f t="shared" si="42"/>
        <v>906.88696703477228</v>
      </c>
      <c r="E166" s="44">
        <f t="shared" si="35"/>
        <v>182.85986471852547</v>
      </c>
      <c r="F166" s="44">
        <f t="shared" si="36"/>
        <v>137.1448985388941</v>
      </c>
      <c r="G166" s="44">
        <f t="shared" si="37"/>
        <v>45.714966179631368</v>
      </c>
      <c r="H166" s="44">
        <f t="shared" si="38"/>
        <v>18.137739340695447</v>
      </c>
      <c r="I166" s="44">
        <f t="shared" si="43"/>
        <v>27.577226838935921</v>
      </c>
      <c r="J166" s="100">
        <f t="shared" si="44"/>
        <v>3.0416070921922743E-2</v>
      </c>
      <c r="K166" s="100">
        <f t="shared" si="45"/>
        <v>3.0264816518747753E-2</v>
      </c>
      <c r="L166" s="44">
        <f t="shared" si="46"/>
        <v>4.9594642784557186</v>
      </c>
      <c r="M166" s="100">
        <f t="shared" si="47"/>
        <v>6.0490404438080597E-2</v>
      </c>
      <c r="N166" s="44"/>
      <c r="O166" s="44"/>
      <c r="P166" s="40">
        <f t="shared" si="48"/>
        <v>40.29670900638294</v>
      </c>
      <c r="Q166" s="101">
        <f t="shared" si="41"/>
        <v>2.0064174771037297E-2</v>
      </c>
      <c r="S166" s="101"/>
    </row>
    <row r="167" spans="1:19">
      <c r="A167" s="44">
        <v>154</v>
      </c>
      <c r="B167" s="44">
        <f t="shared" si="39"/>
        <v>20.693134452910591</v>
      </c>
      <c r="C167" s="44">
        <f t="shared" si="40"/>
        <v>4.5832145582026644</v>
      </c>
      <c r="D167" s="44">
        <f t="shared" si="42"/>
        <v>934.46419387370815</v>
      </c>
      <c r="E167" s="44">
        <f t="shared" si="35"/>
        <v>188.39367905200029</v>
      </c>
      <c r="F167" s="44">
        <f t="shared" si="36"/>
        <v>141.29525928900023</v>
      </c>
      <c r="G167" s="44">
        <f t="shared" si="37"/>
        <v>47.098419763000074</v>
      </c>
      <c r="H167" s="44">
        <f t="shared" si="38"/>
        <v>18.689283877474164</v>
      </c>
      <c r="I167" s="44">
        <f t="shared" si="43"/>
        <v>28.40913588552591</v>
      </c>
      <c r="J167" s="100">
        <f t="shared" si="44"/>
        <v>3.0408670365067107E-2</v>
      </c>
      <c r="K167" s="100">
        <f t="shared" si="45"/>
        <v>3.0262596672008767E-2</v>
      </c>
      <c r="L167" s="44">
        <f t="shared" si="46"/>
        <v>4.9601674460414245</v>
      </c>
      <c r="M167" s="100">
        <f t="shared" si="47"/>
        <v>6.0481829144582985E-2</v>
      </c>
      <c r="N167" s="44"/>
      <c r="O167" s="44"/>
      <c r="P167" s="40">
        <f t="shared" si="48"/>
        <v>41.105140651735063</v>
      </c>
      <c r="Q167" s="101">
        <f t="shared" si="41"/>
        <v>2.0061976902979051E-2</v>
      </c>
      <c r="S167" s="101"/>
    </row>
    <row r="168" spans="1:19">
      <c r="A168" s="44">
        <v>155</v>
      </c>
      <c r="B168" s="44">
        <f t="shared" si="39"/>
        <v>21.106997141968804</v>
      </c>
      <c r="C168" s="44">
        <f t="shared" si="40"/>
        <v>4.6290467037846907</v>
      </c>
      <c r="D168" s="44">
        <f t="shared" si="42"/>
        <v>962.87332975923403</v>
      </c>
      <c r="E168" s="44">
        <f t="shared" si="35"/>
        <v>194.09455715020965</v>
      </c>
      <c r="F168" s="44">
        <f t="shared" si="36"/>
        <v>145.57091786265724</v>
      </c>
      <c r="G168" s="44">
        <f t="shared" si="37"/>
        <v>48.523639287552413</v>
      </c>
      <c r="H168" s="44">
        <f t="shared" si="38"/>
        <v>19.257466595184681</v>
      </c>
      <c r="I168" s="44">
        <f t="shared" si="43"/>
        <v>29.266172692367732</v>
      </c>
      <c r="J168" s="100">
        <f t="shared" si="44"/>
        <v>3.0401524287152447E-2</v>
      </c>
      <c r="K168" s="100">
        <f t="shared" si="45"/>
        <v>3.026045314734687E-2</v>
      </c>
      <c r="L168" s="44">
        <f t="shared" si="46"/>
        <v>4.9608466300993026</v>
      </c>
      <c r="M168" s="100">
        <f t="shared" si="47"/>
        <v>6.0473548643852112E-2</v>
      </c>
      <c r="N168" s="44"/>
      <c r="O168" s="44"/>
      <c r="P168" s="40">
        <f t="shared" si="48"/>
        <v>41.929703796576234</v>
      </c>
      <c r="Q168" s="101">
        <f t="shared" si="41"/>
        <v>2.0059854601333575E-2</v>
      </c>
      <c r="S168" s="101"/>
    </row>
    <row r="169" spans="1:19">
      <c r="A169" s="44">
        <v>156</v>
      </c>
      <c r="B169" s="44">
        <f t="shared" si="39"/>
        <v>21.52913708480818</v>
      </c>
      <c r="C169" s="44">
        <f t="shared" si="40"/>
        <v>4.6753371708225373</v>
      </c>
      <c r="D169" s="44">
        <f t="shared" si="42"/>
        <v>992.13950245160174</v>
      </c>
      <c r="E169" s="44">
        <f t="shared" si="35"/>
        <v>199.96754465704618</v>
      </c>
      <c r="F169" s="44">
        <f t="shared" si="36"/>
        <v>149.97565849278465</v>
      </c>
      <c r="G169" s="44">
        <f t="shared" si="37"/>
        <v>49.991886164261544</v>
      </c>
      <c r="H169" s="44">
        <f t="shared" si="38"/>
        <v>19.842790049032036</v>
      </c>
      <c r="I169" s="44">
        <f t="shared" si="43"/>
        <v>30.149096115229508</v>
      </c>
      <c r="J169" s="100">
        <f t="shared" si="44"/>
        <v>3.0394623869876746E-2</v>
      </c>
      <c r="K169" s="100">
        <f t="shared" si="45"/>
        <v>3.025838330073018E-2</v>
      </c>
      <c r="L169" s="44">
        <f t="shared" si="46"/>
        <v>4.9615026486081435</v>
      </c>
      <c r="M169" s="100">
        <f t="shared" si="47"/>
        <v>6.0465552726079744E-2</v>
      </c>
      <c r="N169" s="44"/>
      <c r="O169" s="44"/>
      <c r="P169" s="40">
        <f t="shared" si="48"/>
        <v>42.770721629444679</v>
      </c>
      <c r="Q169" s="101">
        <f t="shared" si="41"/>
        <v>2.0057805248247865E-2</v>
      </c>
      <c r="S169" s="101"/>
    </row>
    <row r="170" spans="1:19">
      <c r="A170" s="44">
        <v>157</v>
      </c>
      <c r="B170" s="44">
        <f t="shared" si="39"/>
        <v>21.959719826504344</v>
      </c>
      <c r="C170" s="44">
        <f t="shared" si="40"/>
        <v>4.7220905425307631</v>
      </c>
      <c r="D170" s="44">
        <f t="shared" si="42"/>
        <v>1022.2885985668313</v>
      </c>
      <c r="E170" s="44">
        <f t="shared" si="35"/>
        <v>206.01783959192247</v>
      </c>
      <c r="F170" s="44">
        <f t="shared" si="36"/>
        <v>154.51337969394186</v>
      </c>
      <c r="G170" s="44">
        <f t="shared" si="37"/>
        <v>51.504459897980617</v>
      </c>
      <c r="H170" s="44">
        <f t="shared" si="38"/>
        <v>20.445771971336626</v>
      </c>
      <c r="I170" s="44">
        <f t="shared" si="43"/>
        <v>31.058687926643991</v>
      </c>
      <c r="J170" s="100">
        <f t="shared" si="44"/>
        <v>3.0387960605066502E-2</v>
      </c>
      <c r="K170" s="100">
        <f t="shared" si="45"/>
        <v>3.0256384581072063E-2</v>
      </c>
      <c r="L170" s="44">
        <f t="shared" si="46"/>
        <v>4.9621362916520608</v>
      </c>
      <c r="M170" s="100">
        <f t="shared" si="47"/>
        <v>6.0457831540157068E-2</v>
      </c>
      <c r="N170" s="44"/>
      <c r="O170" s="44"/>
      <c r="P170" s="40">
        <f t="shared" si="48"/>
        <v>43.62852379393577</v>
      </c>
      <c r="Q170" s="101">
        <f t="shared" si="41"/>
        <v>2.0055826317892964E-2</v>
      </c>
      <c r="S170" s="101"/>
    </row>
    <row r="171" spans="1:19">
      <c r="A171" s="44">
        <v>158</v>
      </c>
      <c r="B171" s="44">
        <f t="shared" si="39"/>
        <v>22.398914223034431</v>
      </c>
      <c r="C171" s="44">
        <f t="shared" si="40"/>
        <v>4.7693114479560705</v>
      </c>
      <c r="D171" s="44">
        <f t="shared" si="42"/>
        <v>1053.3472864934754</v>
      </c>
      <c r="E171" s="44">
        <f t="shared" si="35"/>
        <v>212.25079695157893</v>
      </c>
      <c r="F171" s="44">
        <f t="shared" si="36"/>
        <v>159.18809771368421</v>
      </c>
      <c r="G171" s="44">
        <f t="shared" si="37"/>
        <v>53.062699237894734</v>
      </c>
      <c r="H171" s="44">
        <f t="shared" si="38"/>
        <v>21.066945729869509</v>
      </c>
      <c r="I171" s="44">
        <f t="shared" si="43"/>
        <v>31.995753508025224</v>
      </c>
      <c r="J171" s="100">
        <f t="shared" si="44"/>
        <v>3.0381526283464327E-2</v>
      </c>
      <c r="K171" s="100">
        <f t="shared" si="45"/>
        <v>3.0254454526863452E-2</v>
      </c>
      <c r="L171" s="44">
        <f t="shared" si="46"/>
        <v>4.9627483223715618</v>
      </c>
      <c r="M171" s="100">
        <f t="shared" si="47"/>
        <v>6.045037558073027E-2</v>
      </c>
      <c r="N171" s="44"/>
      <c r="O171" s="44"/>
      <c r="P171" s="40">
        <f t="shared" si="48"/>
        <v>44.503446517954039</v>
      </c>
      <c r="Q171" s="101">
        <f t="shared" si="41"/>
        <v>2.0053915373132121E-2</v>
      </c>
      <c r="S171" s="101"/>
    </row>
    <row r="172" spans="1:19">
      <c r="A172" s="44">
        <v>159</v>
      </c>
      <c r="B172" s="44">
        <f t="shared" si="39"/>
        <v>22.84689250749512</v>
      </c>
      <c r="C172" s="44">
        <f t="shared" si="40"/>
        <v>4.8170045624356312</v>
      </c>
      <c r="D172" s="44">
        <f t="shared" si="42"/>
        <v>1085.3430400015006</v>
      </c>
      <c r="E172" s="44">
        <f t="shared" si="35"/>
        <v>218.671933450865</v>
      </c>
      <c r="F172" s="44">
        <f t="shared" si="36"/>
        <v>164.00395008814874</v>
      </c>
      <c r="G172" s="44">
        <f t="shared" si="37"/>
        <v>54.667983362716249</v>
      </c>
      <c r="H172" s="44">
        <f t="shared" si="38"/>
        <v>21.706860800030015</v>
      </c>
      <c r="I172" s="44">
        <f t="shared" si="43"/>
        <v>32.961122562686235</v>
      </c>
      <c r="J172" s="100">
        <f t="shared" si="44"/>
        <v>3.0375312983941912E-2</v>
      </c>
      <c r="K172" s="100">
        <f t="shared" si="45"/>
        <v>3.0252590762949769E-2</v>
      </c>
      <c r="L172" s="44">
        <f t="shared" si="46"/>
        <v>4.9633394778821689</v>
      </c>
      <c r="M172" s="100">
        <f t="shared" si="47"/>
        <v>6.044317567574653E-2</v>
      </c>
      <c r="N172" s="44"/>
      <c r="O172" s="44"/>
      <c r="P172" s="40">
        <f t="shared" si="48"/>
        <v>45.395832745547054</v>
      </c>
      <c r="Q172" s="101">
        <f t="shared" si="41"/>
        <v>2.0052070062326503E-2</v>
      </c>
      <c r="S172" s="101"/>
    </row>
    <row r="173" spans="1:19">
      <c r="A173" s="44">
        <v>160</v>
      </c>
      <c r="B173" s="44">
        <f t="shared" si="39"/>
        <v>23.303830357645023</v>
      </c>
      <c r="C173" s="44">
        <f t="shared" si="40"/>
        <v>4.8651746080599878</v>
      </c>
      <c r="D173" s="44">
        <f t="shared" si="42"/>
        <v>1118.304162564187</v>
      </c>
      <c r="E173" s="44">
        <f t="shared" si="35"/>
        <v>225.28693240668903</v>
      </c>
      <c r="F173" s="44">
        <f t="shared" si="36"/>
        <v>168.96519930501677</v>
      </c>
      <c r="G173" s="44">
        <f t="shared" si="37"/>
        <v>56.321733101672258</v>
      </c>
      <c r="H173" s="44">
        <f t="shared" si="38"/>
        <v>22.36608325128374</v>
      </c>
      <c r="I173" s="44">
        <f t="shared" si="43"/>
        <v>33.955649850388518</v>
      </c>
      <c r="J173" s="100">
        <f t="shared" si="44"/>
        <v>3.0369313063122207E-2</v>
      </c>
      <c r="K173" s="100">
        <f t="shared" si="45"/>
        <v>3.0250790997420837E-2</v>
      </c>
      <c r="L173" s="44">
        <f t="shared" si="46"/>
        <v>4.9639104701617534</v>
      </c>
      <c r="M173" s="100">
        <f t="shared" si="47"/>
        <v>6.0436222974469607E-2</v>
      </c>
      <c r="N173" s="44"/>
      <c r="O173" s="44"/>
      <c r="P173" s="40">
        <f t="shared" si="48"/>
        <v>46.306032271372743</v>
      </c>
      <c r="Q173" s="101">
        <f t="shared" si="41"/>
        <v>2.0050288116258249E-2</v>
      </c>
      <c r="S173" s="101"/>
    </row>
    <row r="174" spans="1:19">
      <c r="A174" s="44">
        <v>161</v>
      </c>
      <c r="B174" s="44">
        <f t="shared" si="39"/>
        <v>23.769906964797922</v>
      </c>
      <c r="C174" s="44">
        <f t="shared" si="40"/>
        <v>4.9138263541405873</v>
      </c>
      <c r="D174" s="44">
        <f t="shared" si="42"/>
        <v>1152.2598124145754</v>
      </c>
      <c r="E174" s="44">
        <f t="shared" si="35"/>
        <v>232.10164876946158</v>
      </c>
      <c r="F174" s="44">
        <f t="shared" si="36"/>
        <v>174.07623657709618</v>
      </c>
      <c r="G174" s="44">
        <f t="shared" si="37"/>
        <v>58.025412192365394</v>
      </c>
      <c r="H174" s="44">
        <f t="shared" si="38"/>
        <v>23.045196248291511</v>
      </c>
      <c r="I174" s="44">
        <f t="shared" si="43"/>
        <v>34.980215944073883</v>
      </c>
      <c r="J174" s="100">
        <f t="shared" si="44"/>
        <v>3.0363519145391281E-2</v>
      </c>
      <c r="K174" s="100">
        <f t="shared" si="45"/>
        <v>3.024905301862154E-2</v>
      </c>
      <c r="L174" s="44">
        <f t="shared" si="46"/>
        <v>4.9644619869076188</v>
      </c>
      <c r="M174" s="100">
        <f t="shared" si="47"/>
        <v>6.0429508935946362E-2</v>
      </c>
      <c r="N174" s="44"/>
      <c r="O174" s="44"/>
      <c r="P174" s="40">
        <f t="shared" si="48"/>
        <v>47.234401877852974</v>
      </c>
      <c r="Q174" s="101">
        <f t="shared" si="41"/>
        <v>2.004856734516999E-2</v>
      </c>
      <c r="S174" s="101"/>
    </row>
    <row r="175" spans="1:19">
      <c r="A175" s="44">
        <v>162</v>
      </c>
      <c r="B175" s="44">
        <f t="shared" si="39"/>
        <v>24.24530510409388</v>
      </c>
      <c r="C175" s="44">
        <f t="shared" si="40"/>
        <v>4.962964617681993</v>
      </c>
      <c r="D175" s="44">
        <f t="shared" si="42"/>
        <v>1187.2400283586494</v>
      </c>
      <c r="E175" s="44">
        <f t="shared" si="35"/>
        <v>239.12211430648534</v>
      </c>
      <c r="F175" s="44">
        <f t="shared" si="36"/>
        <v>179.34158572986399</v>
      </c>
      <c r="G175" s="44">
        <f t="shared" si="37"/>
        <v>59.780528576621336</v>
      </c>
      <c r="H175" s="44">
        <f t="shared" si="38"/>
        <v>23.744800567172987</v>
      </c>
      <c r="I175" s="44">
        <f t="shared" si="43"/>
        <v>36.035728009448349</v>
      </c>
      <c r="J175" s="100">
        <f t="shared" si="44"/>
        <v>3.0357924113288706E-2</v>
      </c>
      <c r="K175" s="100">
        <f t="shared" si="45"/>
        <v>3.0247374692270925E-2</v>
      </c>
      <c r="L175" s="44">
        <f t="shared" si="46"/>
        <v>4.9649946923643844</v>
      </c>
      <c r="M175" s="100">
        <f t="shared" si="47"/>
        <v>6.0423025317905575E-2</v>
      </c>
      <c r="N175" s="44"/>
      <c r="O175" s="44"/>
      <c r="P175" s="40">
        <f t="shared" si="48"/>
        <v>48.181305475067028</v>
      </c>
      <c r="Q175" s="101">
        <f t="shared" si="41"/>
        <v>2.0046905635911789E-2</v>
      </c>
      <c r="S175" s="101"/>
    </row>
    <row r="176" spans="1:19">
      <c r="A176" s="44">
        <v>163</v>
      </c>
      <c r="B176" s="44">
        <f t="shared" si="39"/>
        <v>24.73021120617576</v>
      </c>
      <c r="C176" s="44">
        <f t="shared" si="40"/>
        <v>5.012594263858813</v>
      </c>
      <c r="D176" s="44">
        <f t="shared" si="42"/>
        <v>1223.2757563680977</v>
      </c>
      <c r="E176" s="44">
        <f t="shared" si="35"/>
        <v>246.3545429418827</v>
      </c>
      <c r="F176" s="44">
        <f t="shared" si="36"/>
        <v>184.76590720641201</v>
      </c>
      <c r="G176" s="44">
        <f t="shared" si="37"/>
        <v>61.588635735470675</v>
      </c>
      <c r="H176" s="44">
        <f t="shared" si="38"/>
        <v>24.465515127361954</v>
      </c>
      <c r="I176" s="44">
        <f t="shared" si="43"/>
        <v>37.123120608108721</v>
      </c>
      <c r="J176" s="100">
        <f t="shared" si="44"/>
        <v>3.0352521098254644E-2</v>
      </c>
      <c r="K176" s="100">
        <f t="shared" si="45"/>
        <v>3.0245753958696914E-2</v>
      </c>
      <c r="L176" s="44">
        <f t="shared" si="46"/>
        <v>4.9655092281236302</v>
      </c>
      <c r="M176" s="100">
        <f t="shared" si="47"/>
        <v>6.0416764166072084E-2</v>
      </c>
      <c r="N176" s="44"/>
      <c r="O176" s="44"/>
      <c r="P176" s="40">
        <f t="shared" si="48"/>
        <v>49.147114243440313</v>
      </c>
      <c r="Q176" s="101">
        <f t="shared" si="41"/>
        <v>2.0045300949204765E-2</v>
      </c>
      <c r="S176" s="101"/>
    </row>
    <row r="177" spans="1:19">
      <c r="A177" s="44">
        <v>164</v>
      </c>
      <c r="B177" s="44">
        <f t="shared" si="39"/>
        <v>25.224815430299277</v>
      </c>
      <c r="C177" s="44">
        <f t="shared" si="40"/>
        <v>5.0627202064974011</v>
      </c>
      <c r="D177" s="44">
        <f t="shared" si="42"/>
        <v>1260.3988769762066</v>
      </c>
      <c r="E177" s="44">
        <f t="shared" si="35"/>
        <v>253.80533625778543</v>
      </c>
      <c r="F177" s="44">
        <f t="shared" si="36"/>
        <v>190.35400219333906</v>
      </c>
      <c r="G177" s="44">
        <f t="shared" si="37"/>
        <v>63.451334064446357</v>
      </c>
      <c r="H177" s="44">
        <f t="shared" si="38"/>
        <v>25.207977539524133</v>
      </c>
      <c r="I177" s="44">
        <f t="shared" si="43"/>
        <v>38.24335652492222</v>
      </c>
      <c r="J177" s="100">
        <f t="shared" si="44"/>
        <v>3.0347303471726816E-2</v>
      </c>
      <c r="K177" s="100">
        <f t="shared" si="45"/>
        <v>3.0244188830162711E-2</v>
      </c>
      <c r="L177" s="44">
        <f t="shared" si="46"/>
        <v>4.9660062138963168</v>
      </c>
      <c r="M177" s="100">
        <f t="shared" si="47"/>
        <v>6.0410717803879001E-2</v>
      </c>
      <c r="N177" s="44"/>
      <c r="O177" s="44"/>
      <c r="P177" s="40">
        <f t="shared" si="48"/>
        <v>50.132206779283671</v>
      </c>
      <c r="Q177" s="101">
        <f t="shared" si="41"/>
        <v>2.0043751316992896E-2</v>
      </c>
      <c r="S177" s="101"/>
    </row>
    <row r="178" spans="1:19">
      <c r="A178" s="44">
        <v>165</v>
      </c>
      <c r="B178" s="44">
        <f t="shared" si="39"/>
        <v>25.729311738905263</v>
      </c>
      <c r="C178" s="44">
        <f t="shared" si="40"/>
        <v>5.1133474085623751</v>
      </c>
      <c r="D178" s="44">
        <f t="shared" si="42"/>
        <v>1298.6422335011289</v>
      </c>
      <c r="E178" s="44">
        <f t="shared" si="35"/>
        <v>261.48108916165944</v>
      </c>
      <c r="F178" s="44">
        <f t="shared" si="36"/>
        <v>196.11081687124459</v>
      </c>
      <c r="G178" s="44">
        <f t="shared" si="37"/>
        <v>65.37027229041486</v>
      </c>
      <c r="H178" s="44">
        <f t="shared" si="38"/>
        <v>25.972844670022578</v>
      </c>
      <c r="I178" s="44">
        <f t="shared" si="43"/>
        <v>39.397427620392278</v>
      </c>
      <c r="J178" s="100">
        <f t="shared" si="44"/>
        <v>3.0342264836565914E-2</v>
      </c>
      <c r="K178" s="100">
        <f t="shared" si="45"/>
        <v>3.024267738830318E-2</v>
      </c>
      <c r="L178" s="44">
        <f t="shared" si="46"/>
        <v>4.9664862482588541</v>
      </c>
      <c r="M178" s="100">
        <f t="shared" si="47"/>
        <v>6.0404878822562673E-2</v>
      </c>
      <c r="N178" s="44"/>
      <c r="O178" s="44"/>
      <c r="P178" s="40">
        <f t="shared" si="48"/>
        <v>51.136969243240841</v>
      </c>
      <c r="Q178" s="101">
        <f t="shared" si="41"/>
        <v>2.004225483990409E-2</v>
      </c>
      <c r="S178" s="101"/>
    </row>
    <row r="179" spans="1:19">
      <c r="A179" s="44">
        <v>166</v>
      </c>
      <c r="B179" s="44">
        <f t="shared" si="39"/>
        <v>26.243897973683367</v>
      </c>
      <c r="C179" s="44">
        <f t="shared" si="40"/>
        <v>5.1644808826479993</v>
      </c>
      <c r="D179" s="44">
        <f t="shared" si="42"/>
        <v>1338.0396611215212</v>
      </c>
      <c r="E179" s="44">
        <f t="shared" si="35"/>
        <v>269.38859572478106</v>
      </c>
      <c r="F179" s="44">
        <f t="shared" si="36"/>
        <v>202.04144679358581</v>
      </c>
      <c r="G179" s="44">
        <f t="shared" si="37"/>
        <v>67.347148931195264</v>
      </c>
      <c r="H179" s="44">
        <f t="shared" si="38"/>
        <v>26.760793222430426</v>
      </c>
      <c r="I179" s="44">
        <f t="shared" si="43"/>
        <v>40.586355708764842</v>
      </c>
      <c r="J179" s="100">
        <f t="shared" si="44"/>
        <v>3.0337399018802291E-2</v>
      </c>
      <c r="K179" s="100">
        <f t="shared" si="45"/>
        <v>3.0241217781653174E-2</v>
      </c>
      <c r="L179" s="44">
        <f t="shared" si="46"/>
        <v>4.966949909373743</v>
      </c>
      <c r="M179" s="100">
        <f t="shared" si="47"/>
        <v>6.0399240071624852E-2</v>
      </c>
      <c r="N179" s="44"/>
      <c r="O179" s="44"/>
      <c r="P179" s="40">
        <f t="shared" si="48"/>
        <v>52.161795511702358</v>
      </c>
      <c r="Q179" s="101">
        <f t="shared" si="41"/>
        <v>2.0040809684805011E-2</v>
      </c>
      <c r="S179" s="101"/>
    </row>
    <row r="180" spans="1:19">
      <c r="A180" s="44">
        <v>167</v>
      </c>
      <c r="B180" s="44">
        <f t="shared" si="39"/>
        <v>26.768775933157034</v>
      </c>
      <c r="C180" s="44">
        <f t="shared" si="40"/>
        <v>5.2161256914744794</v>
      </c>
      <c r="D180" s="44">
        <f t="shared" si="42"/>
        <v>1378.6260168302861</v>
      </c>
      <c r="E180" s="44">
        <f t="shared" si="35"/>
        <v>277.53485519703258</v>
      </c>
      <c r="F180" s="44">
        <f t="shared" si="36"/>
        <v>208.15114139777444</v>
      </c>
      <c r="G180" s="44">
        <f t="shared" si="37"/>
        <v>69.383713799258146</v>
      </c>
      <c r="H180" s="44">
        <f t="shared" si="38"/>
        <v>27.57252033660572</v>
      </c>
      <c r="I180" s="44">
        <f t="shared" si="43"/>
        <v>41.811193462652426</v>
      </c>
      <c r="J180" s="100">
        <f t="shared" si="44"/>
        <v>3.0332700059687353E-2</v>
      </c>
      <c r="K180" s="100">
        <f t="shared" si="45"/>
        <v>3.0239808223263085E-2</v>
      </c>
      <c r="L180" s="44">
        <f t="shared" si="46"/>
        <v>4.9673977556856661</v>
      </c>
      <c r="M180" s="100">
        <f t="shared" si="47"/>
        <v>6.0393794649647503E-2</v>
      </c>
      <c r="N180" s="44"/>
      <c r="O180" s="44"/>
      <c r="P180" s="40">
        <f t="shared" si="48"/>
        <v>53.207087331244857</v>
      </c>
      <c r="Q180" s="101">
        <f t="shared" si="41"/>
        <v>2.0039414082438749E-2</v>
      </c>
      <c r="S180" s="101"/>
    </row>
    <row r="181" spans="1:19">
      <c r="A181" s="44">
        <v>168</v>
      </c>
      <c r="B181" s="44">
        <f t="shared" si="39"/>
        <v>27.304151451820175</v>
      </c>
      <c r="C181" s="44">
        <f t="shared" si="40"/>
        <v>5.2682869483892238</v>
      </c>
      <c r="D181" s="44">
        <f t="shared" si="42"/>
        <v>1420.4372102929385</v>
      </c>
      <c r="E181" s="44">
        <f t="shared" si="35"/>
        <v>285.92707820334289</v>
      </c>
      <c r="F181" s="44">
        <f t="shared" si="36"/>
        <v>214.44530865250715</v>
      </c>
      <c r="G181" s="44">
        <f t="shared" si="37"/>
        <v>71.481769550835722</v>
      </c>
      <c r="H181" s="44">
        <f t="shared" si="38"/>
        <v>28.40874420585877</v>
      </c>
      <c r="I181" s="44">
        <f t="shared" si="43"/>
        <v>43.073025344976955</v>
      </c>
      <c r="J181" s="100">
        <f t="shared" si="44"/>
        <v>3.0328162208039605E-2</v>
      </c>
      <c r="K181" s="100">
        <f t="shared" si="45"/>
        <v>3.023844698840563E-2</v>
      </c>
      <c r="L181" s="44">
        <f t="shared" si="46"/>
        <v>4.9678303265938508</v>
      </c>
      <c r="M181" s="100">
        <f t="shared" si="47"/>
        <v>6.0388535895446405E-2</v>
      </c>
      <c r="N181" s="44"/>
      <c r="O181" s="44"/>
      <c r="P181" s="40">
        <f t="shared" si="48"/>
        <v>54.273254476156609</v>
      </c>
      <c r="Q181" s="101">
        <f t="shared" si="41"/>
        <v>2.0038066325154123E-2</v>
      </c>
      <c r="S181" s="101"/>
    </row>
    <row r="182" spans="1:19">
      <c r="A182" s="44">
        <v>169</v>
      </c>
      <c r="B182" s="44">
        <f t="shared" si="39"/>
        <v>27.850234480856578</v>
      </c>
      <c r="C182" s="44">
        <f t="shared" si="40"/>
        <v>5.3209698178731157</v>
      </c>
      <c r="D182" s="44">
        <f t="shared" si="42"/>
        <v>1463.5102356379155</v>
      </c>
      <c r="E182" s="44">
        <f t="shared" si="35"/>
        <v>294.57269312726049</v>
      </c>
      <c r="F182" s="44">
        <f t="shared" si="36"/>
        <v>220.92951984544538</v>
      </c>
      <c r="G182" s="44">
        <f t="shared" si="37"/>
        <v>73.643173281815123</v>
      </c>
      <c r="H182" s="44">
        <f t="shared" si="38"/>
        <v>29.270204712758311</v>
      </c>
      <c r="I182" s="44">
        <f t="shared" si="43"/>
        <v>44.372968569056809</v>
      </c>
      <c r="J182" s="100">
        <f t="shared" si="44"/>
        <v>3.0323779912871992E-2</v>
      </c>
      <c r="K182" s="100">
        <f t="shared" si="45"/>
        <v>3.0237132412373687E-2</v>
      </c>
      <c r="L182" s="44">
        <f t="shared" si="46"/>
        <v>4.9682481431014844</v>
      </c>
      <c r="M182" s="100">
        <f t="shared" si="47"/>
        <v>6.0383457379550622E-2</v>
      </c>
      <c r="N182" s="44"/>
      <c r="O182" s="44"/>
      <c r="P182" s="40">
        <f t="shared" si="48"/>
        <v>55.360714909111501</v>
      </c>
      <c r="Q182" s="101">
        <f t="shared" si="41"/>
        <v>2.0036764764726538E-2</v>
      </c>
      <c r="S182" s="101"/>
    </row>
    <row r="183" spans="1:19">
      <c r="A183" s="44">
        <v>170</v>
      </c>
      <c r="B183" s="44">
        <f t="shared" si="39"/>
        <v>28.407239170473709</v>
      </c>
      <c r="C183" s="44">
        <f t="shared" si="40"/>
        <v>5.3741795160518473</v>
      </c>
      <c r="D183" s="44">
        <f t="shared" si="42"/>
        <v>1507.8832042069723</v>
      </c>
      <c r="E183" s="44">
        <f t="shared" si="35"/>
        <v>303.47935268730748</v>
      </c>
      <c r="F183" s="44">
        <f t="shared" si="36"/>
        <v>227.60951451548061</v>
      </c>
      <c r="G183" s="44">
        <f t="shared" si="37"/>
        <v>75.869838171826871</v>
      </c>
      <c r="H183" s="44">
        <f t="shared" si="38"/>
        <v>30.157664084139448</v>
      </c>
      <c r="I183" s="44">
        <f t="shared" si="43"/>
        <v>45.712174087687423</v>
      </c>
      <c r="J183" s="100">
        <f t="shared" si="44"/>
        <v>3.0319547816292217E-2</v>
      </c>
      <c r="K183" s="100">
        <f t="shared" si="45"/>
        <v>3.0235862888347082E-2</v>
      </c>
      <c r="L183" s="44">
        <f t="shared" si="46"/>
        <v>4.9686517084430202</v>
      </c>
      <c r="M183" s="100">
        <f t="shared" si="47"/>
        <v>6.0378552895994433E-2</v>
      </c>
      <c r="N183" s="44"/>
      <c r="O183" s="44"/>
      <c r="P183" s="40">
        <f t="shared" si="48"/>
        <v>56.469894945053724</v>
      </c>
      <c r="Q183" s="101">
        <f t="shared" si="41"/>
        <v>2.0035507810244518E-2</v>
      </c>
      <c r="S183" s="101"/>
    </row>
    <row r="184" spans="1:19">
      <c r="A184" s="44">
        <v>171</v>
      </c>
      <c r="B184" s="44">
        <f t="shared" si="39"/>
        <v>28.975383953883185</v>
      </c>
      <c r="C184" s="44">
        <f t="shared" si="40"/>
        <v>5.4279213112123657</v>
      </c>
      <c r="D184" s="44">
        <f t="shared" si="42"/>
        <v>1553.5953782946597</v>
      </c>
      <c r="E184" s="44">
        <f t="shared" si="35"/>
        <v>312.6549407119382</v>
      </c>
      <c r="F184" s="44">
        <f t="shared" si="36"/>
        <v>234.49120553395363</v>
      </c>
      <c r="G184" s="44">
        <f t="shared" si="37"/>
        <v>78.163735177984549</v>
      </c>
      <c r="H184" s="44">
        <f t="shared" si="38"/>
        <v>31.071907565893195</v>
      </c>
      <c r="I184" s="44">
        <f t="shared" si="43"/>
        <v>47.09182761209135</v>
      </c>
      <c r="J184" s="100">
        <f t="shared" si="44"/>
        <v>3.0315460746661971E-2</v>
      </c>
      <c r="K184" s="100">
        <f t="shared" si="45"/>
        <v>3.0234636865345031E-2</v>
      </c>
      <c r="L184" s="44">
        <f t="shared" si="46"/>
        <v>4.969041508690089</v>
      </c>
      <c r="M184" s="100">
        <f t="shared" si="47"/>
        <v>6.0373816454409999E-2</v>
      </c>
      <c r="N184" s="44"/>
      <c r="O184" s="44"/>
      <c r="P184" s="40">
        <f t="shared" si="48"/>
        <v>57.601229418358031</v>
      </c>
      <c r="Q184" s="101">
        <f t="shared" si="41"/>
        <v>2.003429392608427E-2</v>
      </c>
      <c r="S184" s="101"/>
    </row>
    <row r="185" spans="1:19">
      <c r="A185" s="44">
        <v>172</v>
      </c>
      <c r="B185" s="44">
        <f t="shared" si="39"/>
        <v>29.55489163296085</v>
      </c>
      <c r="C185" s="44">
        <f t="shared" si="40"/>
        <v>5.4822005243244893</v>
      </c>
      <c r="D185" s="44">
        <f t="shared" si="42"/>
        <v>1600.6872059067509</v>
      </c>
      <c r="E185" s="44">
        <f t="shared" si="35"/>
        <v>322.10757911909946</v>
      </c>
      <c r="F185" s="44">
        <f t="shared" si="36"/>
        <v>241.58068433932459</v>
      </c>
      <c r="G185" s="44">
        <f t="shared" si="37"/>
        <v>80.526894779774864</v>
      </c>
      <c r="H185" s="44">
        <f t="shared" si="38"/>
        <v>32.013744118135023</v>
      </c>
      <c r="I185" s="44">
        <f t="shared" si="43"/>
        <v>48.513150661639841</v>
      </c>
      <c r="J185" s="100">
        <f t="shared" si="44"/>
        <v>3.0311513712008277E-2</v>
      </c>
      <c r="K185" s="100">
        <f t="shared" si="45"/>
        <v>3.0233452846249318E-2</v>
      </c>
      <c r="L185" s="44">
        <f t="shared" si="46"/>
        <v>4.9694180133367674</v>
      </c>
      <c r="M185" s="100">
        <f t="shared" si="47"/>
        <v>6.0369242272408849E-2</v>
      </c>
      <c r="N185" s="44"/>
      <c r="O185" s="44"/>
      <c r="P185" s="40">
        <f t="shared" si="48"/>
        <v>58.755161853330634</v>
      </c>
      <c r="Q185" s="101">
        <f t="shared" si="41"/>
        <v>2.0033121629949698E-2</v>
      </c>
      <c r="S185" s="101"/>
    </row>
    <row r="186" spans="1:19">
      <c r="A186" s="44">
        <v>173</v>
      </c>
      <c r="B186" s="44">
        <f t="shared" si="39"/>
        <v>30.145989465620065</v>
      </c>
      <c r="C186" s="44">
        <f t="shared" si="40"/>
        <v>5.537022529567734</v>
      </c>
      <c r="D186" s="44">
        <f t="shared" si="42"/>
        <v>1649.2003565683908</v>
      </c>
      <c r="E186" s="44">
        <f t="shared" si="35"/>
        <v>331.84563510657398</v>
      </c>
      <c r="F186" s="44">
        <f t="shared" si="36"/>
        <v>248.88422632993047</v>
      </c>
      <c r="G186" s="44">
        <f t="shared" si="37"/>
        <v>82.961408776643495</v>
      </c>
      <c r="H186" s="44">
        <f t="shared" si="38"/>
        <v>32.984007131367818</v>
      </c>
      <c r="I186" s="44">
        <f t="shared" si="43"/>
        <v>49.977401645275677</v>
      </c>
      <c r="J186" s="100">
        <f t="shared" si="44"/>
        <v>3.0307701893674065E-2</v>
      </c>
      <c r="K186" s="100">
        <f t="shared" si="45"/>
        <v>3.0232309385908217E-2</v>
      </c>
      <c r="L186" s="44">
        <f t="shared" si="46"/>
        <v>4.9697816758648683</v>
      </c>
      <c r="M186" s="100">
        <f t="shared" si="47"/>
        <v>6.0364824768241426E-2</v>
      </c>
      <c r="N186" s="44"/>
      <c r="O186" s="44"/>
      <c r="P186" s="40">
        <f t="shared" si="48"/>
        <v>59.932144638118459</v>
      </c>
      <c r="Q186" s="101">
        <f t="shared" si="41"/>
        <v>2.0031989490998322E-2</v>
      </c>
      <c r="S186" s="101"/>
    </row>
    <row r="187" spans="1:19">
      <c r="A187" s="44">
        <v>174</v>
      </c>
      <c r="B187" s="44">
        <f t="shared" si="39"/>
        <v>30.748909254932467</v>
      </c>
      <c r="C187" s="44">
        <f t="shared" si="40"/>
        <v>5.5923927548634111</v>
      </c>
      <c r="D187" s="44">
        <f t="shared" si="42"/>
        <v>1699.1777582136665</v>
      </c>
      <c r="E187" s="44">
        <f t="shared" si="35"/>
        <v>341.87772855946923</v>
      </c>
      <c r="F187" s="44">
        <f t="shared" si="36"/>
        <v>256.40829641960192</v>
      </c>
      <c r="G187" s="44">
        <f t="shared" si="37"/>
        <v>85.469432139867308</v>
      </c>
      <c r="H187" s="44">
        <f t="shared" si="38"/>
        <v>33.983555164273334</v>
      </c>
      <c r="I187" s="44">
        <f t="shared" si="43"/>
        <v>51.485876975593975</v>
      </c>
      <c r="J187" s="100">
        <f t="shared" si="44"/>
        <v>3.0304020640201188E-2</v>
      </c>
      <c r="K187" s="100">
        <f t="shared" si="45"/>
        <v>3.0231205089298201E-2</v>
      </c>
      <c r="L187" s="44">
        <f t="shared" si="46"/>
        <v>4.9701329342899756</v>
      </c>
      <c r="M187" s="100">
        <f t="shared" si="47"/>
        <v>6.0360558553723562E-2</v>
      </c>
      <c r="N187" s="44"/>
      <c r="O187" s="44"/>
      <c r="P187" s="40">
        <f t="shared" si="48"/>
        <v>61.132639202093962</v>
      </c>
      <c r="Q187" s="101">
        <f t="shared" si="41"/>
        <v>2.003089612801803E-2</v>
      </c>
      <c r="S187" s="101"/>
    </row>
    <row r="188" spans="1:19">
      <c r="A188" s="44">
        <v>175</v>
      </c>
      <c r="B188" s="44">
        <f t="shared" si="39"/>
        <v>31.363887440031117</v>
      </c>
      <c r="C188" s="44">
        <f t="shared" si="40"/>
        <v>5.6483166824120454</v>
      </c>
      <c r="D188" s="44">
        <f t="shared" si="42"/>
        <v>1750.6636351892605</v>
      </c>
      <c r="E188" s="44">
        <f t="shared" si="35"/>
        <v>352.21273968141116</v>
      </c>
      <c r="F188" s="44">
        <f t="shared" si="36"/>
        <v>264.15955476105836</v>
      </c>
      <c r="G188" s="44">
        <f t="shared" si="37"/>
        <v>88.053184920352791</v>
      </c>
      <c r="H188" s="44">
        <f t="shared" si="38"/>
        <v>35.013272703785212</v>
      </c>
      <c r="I188" s="44">
        <f t="shared" si="43"/>
        <v>53.039912216567579</v>
      </c>
      <c r="J188" s="100">
        <f t="shared" si="44"/>
        <v>3.0300465461436329E-2</v>
      </c>
      <c r="K188" s="100">
        <f t="shared" si="45"/>
        <v>3.0230138609757869E-2</v>
      </c>
      <c r="L188" s="44">
        <f t="shared" si="46"/>
        <v>4.9704722116888718</v>
      </c>
      <c r="M188" s="100">
        <f t="shared" si="47"/>
        <v>6.0356438427419695E-2</v>
      </c>
      <c r="N188" s="44"/>
      <c r="O188" s="44"/>
      <c r="P188" s="40">
        <f t="shared" si="48"/>
        <v>62.357116196785725</v>
      </c>
      <c r="Q188" s="101">
        <f t="shared" si="41"/>
        <v>2.0029840207681091E-2</v>
      </c>
      <c r="S188" s="101"/>
    </row>
    <row r="189" spans="1:19">
      <c r="A189" s="44">
        <v>176</v>
      </c>
      <c r="B189" s="44">
        <f t="shared" si="39"/>
        <v>31.99116518883174</v>
      </c>
      <c r="C189" s="44">
        <f t="shared" si="40"/>
        <v>5.7047998492361662</v>
      </c>
      <c r="D189" s="44">
        <f t="shared" si="42"/>
        <v>1803.703547405828</v>
      </c>
      <c r="E189" s="44">
        <f t="shared" si="35"/>
        <v>362.8598168561997</v>
      </c>
      <c r="F189" s="44">
        <f t="shared" si="36"/>
        <v>272.14486264214975</v>
      </c>
      <c r="G189" s="44">
        <f t="shared" si="37"/>
        <v>90.714954214049925</v>
      </c>
      <c r="H189" s="44">
        <f t="shared" si="38"/>
        <v>36.074070948116564</v>
      </c>
      <c r="I189" s="44">
        <f t="shared" si="43"/>
        <v>54.640883265933361</v>
      </c>
      <c r="J189" s="100">
        <f t="shared" si="44"/>
        <v>3.0297032022849689E-2</v>
      </c>
      <c r="K189" s="100">
        <f t="shared" si="45"/>
        <v>3.0229108647288543E-2</v>
      </c>
      <c r="L189" s="44">
        <f t="shared" si="46"/>
        <v>4.9707999167089651</v>
      </c>
      <c r="M189" s="100">
        <f t="shared" si="47"/>
        <v>6.0352459368073305E-2</v>
      </c>
      <c r="N189" s="44"/>
      <c r="O189" s="44"/>
      <c r="P189" s="40">
        <f t="shared" si="48"/>
        <v>63.606055680425698</v>
      </c>
      <c r="Q189" s="101">
        <f t="shared" si="41"/>
        <v>2.0028820442859908E-2</v>
      </c>
      <c r="S189" s="101"/>
    </row>
    <row r="190" spans="1:19">
      <c r="A190" s="44">
        <v>177</v>
      </c>
      <c r="B190" s="44">
        <f t="shared" si="39"/>
        <v>32.630988492608374</v>
      </c>
      <c r="C190" s="44">
        <f t="shared" si="40"/>
        <v>5.7618478477285278</v>
      </c>
      <c r="D190" s="44">
        <f t="shared" si="42"/>
        <v>1858.3444306717613</v>
      </c>
      <c r="E190" s="44">
        <f t="shared" si="35"/>
        <v>373.82838474688481</v>
      </c>
      <c r="F190" s="44">
        <f t="shared" si="36"/>
        <v>280.37128856016363</v>
      </c>
      <c r="G190" s="44">
        <f t="shared" si="37"/>
        <v>93.457096186721202</v>
      </c>
      <c r="H190" s="44">
        <f t="shared" si="38"/>
        <v>37.166888613435226</v>
      </c>
      <c r="I190" s="44">
        <f t="shared" si="43"/>
        <v>56.290207573285976</v>
      </c>
      <c r="J190" s="100">
        <f t="shared" si="44"/>
        <v>3.0293716140061062E-2</v>
      </c>
      <c r="K190" s="100">
        <f t="shared" si="45"/>
        <v>3.0228113946912782E-2</v>
      </c>
      <c r="L190" s="44">
        <f t="shared" si="46"/>
        <v>4.9711164440603577</v>
      </c>
      <c r="M190" s="100">
        <f t="shared" si="47"/>
        <v>6.034861652827489E-2</v>
      </c>
      <c r="N190" s="44"/>
      <c r="O190" s="44"/>
      <c r="P190" s="40">
        <f t="shared" si="48"/>
        <v>64.879947306185429</v>
      </c>
      <c r="Q190" s="101">
        <f t="shared" si="41"/>
        <v>2.0027835591002727E-2</v>
      </c>
      <c r="S190" s="101"/>
    </row>
    <row r="191" spans="1:19">
      <c r="A191" s="44">
        <v>178</v>
      </c>
      <c r="B191" s="44">
        <f t="shared" si="39"/>
        <v>33.28360826246054</v>
      </c>
      <c r="C191" s="44">
        <f t="shared" si="40"/>
        <v>5.8194663262058128</v>
      </c>
      <c r="D191" s="44">
        <f t="shared" si="42"/>
        <v>1914.6346382450472</v>
      </c>
      <c r="E191" s="44">
        <f t="shared" si="35"/>
        <v>385.12815263943287</v>
      </c>
      <c r="F191" s="44">
        <f t="shared" si="36"/>
        <v>288.84611447957468</v>
      </c>
      <c r="G191" s="44">
        <f t="shared" si="37"/>
        <v>96.282038159858217</v>
      </c>
      <c r="H191" s="44">
        <f t="shared" si="38"/>
        <v>38.292692764900941</v>
      </c>
      <c r="I191" s="44">
        <f t="shared" si="43"/>
        <v>57.989345394957276</v>
      </c>
      <c r="J191" s="100">
        <f t="shared" si="44"/>
        <v>3.0290513773562365E-2</v>
      </c>
      <c r="K191" s="100">
        <f t="shared" si="45"/>
        <v>3.022715329709116E-2</v>
      </c>
      <c r="L191" s="44">
        <f t="shared" si="46"/>
        <v>4.9714221749911349</v>
      </c>
      <c r="M191" s="100">
        <f t="shared" si="47"/>
        <v>6.034490522835851E-2</v>
      </c>
      <c r="N191" s="44"/>
      <c r="O191" s="44"/>
      <c r="P191" s="40">
        <f t="shared" si="48"/>
        <v>66.179290514174951</v>
      </c>
      <c r="Q191" s="101">
        <f t="shared" si="41"/>
        <v>2.0026884452565639E-2</v>
      </c>
      <c r="S191" s="101"/>
    </row>
    <row r="192" spans="1:19">
      <c r="A192" s="44">
        <v>179</v>
      </c>
      <c r="B192" s="44">
        <f t="shared" si="39"/>
        <v>33.949280427709752</v>
      </c>
      <c r="C192" s="44">
        <f t="shared" si="40"/>
        <v>5.8776609894678709</v>
      </c>
      <c r="D192" s="44">
        <f t="shared" si="42"/>
        <v>1972.6239836400046</v>
      </c>
      <c r="E192" s="44">
        <f t="shared" si="35"/>
        <v>396.76912303836917</v>
      </c>
      <c r="F192" s="44">
        <f t="shared" si="36"/>
        <v>297.57684227877689</v>
      </c>
      <c r="G192" s="44">
        <f t="shared" si="37"/>
        <v>99.192280759592293</v>
      </c>
      <c r="H192" s="44">
        <f t="shared" si="38"/>
        <v>39.452479672800095</v>
      </c>
      <c r="I192" s="44">
        <f t="shared" si="43"/>
        <v>59.739801086792198</v>
      </c>
      <c r="J192" s="100">
        <f t="shared" si="44"/>
        <v>3.0287421023632136E-2</v>
      </c>
      <c r="K192" s="100">
        <f t="shared" si="45"/>
        <v>3.0226225528194213E-2</v>
      </c>
      <c r="L192" s="44">
        <f t="shared" si="46"/>
        <v>4.9717174777464823</v>
      </c>
      <c r="M192" s="100">
        <f t="shared" si="47"/>
        <v>6.0341320950517932E-2</v>
      </c>
      <c r="N192" s="44"/>
      <c r="O192" s="44"/>
      <c r="P192" s="40">
        <f t="shared" si="48"/>
        <v>67.504594727279482</v>
      </c>
      <c r="Q192" s="101">
        <f t="shared" si="41"/>
        <v>2.0025965869499059E-2</v>
      </c>
      <c r="S192" s="101"/>
    </row>
    <row r="193" spans="1:19">
      <c r="A193" s="44">
        <v>180</v>
      </c>
      <c r="B193" s="44">
        <f t="shared" si="39"/>
        <v>34.628266036263945</v>
      </c>
      <c r="C193" s="44">
        <f t="shared" si="40"/>
        <v>5.9364375993625496</v>
      </c>
      <c r="D193" s="44">
        <f t="shared" ref="D193:D245" si="49">D192+I192</f>
        <v>2032.3637847267967</v>
      </c>
      <c r="E193" s="44">
        <f t="shared" si="35"/>
        <v>408.76160052201391</v>
      </c>
      <c r="F193" s="44">
        <f t="shared" si="36"/>
        <v>306.57120039151044</v>
      </c>
      <c r="G193" s="44">
        <f t="shared" si="37"/>
        <v>102.19040013050348</v>
      </c>
      <c r="H193" s="44">
        <f t="shared" si="38"/>
        <v>40.647275694535935</v>
      </c>
      <c r="I193" s="44">
        <f t="shared" ref="I193:I245" si="50">G193-H193</f>
        <v>61.543124435967542</v>
      </c>
      <c r="J193" s="100">
        <f t="shared" ref="J193:J245" si="51">(D193-D192)/D192</f>
        <v>3.0284434125431567E-2</v>
      </c>
      <c r="K193" s="100">
        <f t="shared" ref="K193:K245" si="52">(E193-E192)/E192</f>
        <v>3.0225329511049209E-2</v>
      </c>
      <c r="L193" s="44">
        <f t="shared" ref="L193:L245" si="53">D193/E193</f>
        <v>4.9720027080120595</v>
      </c>
      <c r="M193" s="100">
        <f t="shared" ref="M193:M245" si="54">alpha/L193</f>
        <v>6.0337859333135416E-2</v>
      </c>
      <c r="N193" s="44"/>
      <c r="O193" s="44"/>
      <c r="P193" s="40">
        <f t="shared" ref="P193:P245" si="55">E193/C193</f>
        <v>68.856379550912223</v>
      </c>
      <c r="Q193" s="101">
        <f t="shared" si="41"/>
        <v>2.0025078723811183E-2</v>
      </c>
      <c r="S193" s="101"/>
    </row>
    <row r="194" spans="1:19">
      <c r="A194" s="44">
        <v>181</v>
      </c>
      <c r="B194" s="44">
        <f t="shared" si="39"/>
        <v>35.320831356989224</v>
      </c>
      <c r="C194" s="44">
        <f t="shared" si="40"/>
        <v>5.9958019753561755</v>
      </c>
      <c r="D194" s="44">
        <f t="shared" si="49"/>
        <v>2093.9069091627644</v>
      </c>
      <c r="E194" s="44">
        <f t="shared" si="35"/>
        <v>421.11620086513682</v>
      </c>
      <c r="F194" s="44">
        <f t="shared" si="36"/>
        <v>315.83715064885263</v>
      </c>
      <c r="G194" s="44">
        <f t="shared" si="37"/>
        <v>105.2790502162842</v>
      </c>
      <c r="H194" s="44">
        <f t="shared" si="38"/>
        <v>41.878138183255288</v>
      </c>
      <c r="I194" s="44">
        <f t="shared" si="50"/>
        <v>63.400912033028916</v>
      </c>
      <c r="J194" s="100">
        <f t="shared" si="51"/>
        <v>3.0281549444279587E-2</v>
      </c>
      <c r="K194" s="100">
        <f t="shared" si="52"/>
        <v>3.0224464155501202E-2</v>
      </c>
      <c r="L194" s="44">
        <f t="shared" si="53"/>
        <v>4.9722782093423703</v>
      </c>
      <c r="M194" s="100">
        <f t="shared" si="54"/>
        <v>6.0334516165312831E-2</v>
      </c>
      <c r="N194" s="44"/>
      <c r="O194" s="44"/>
      <c r="P194" s="40">
        <f t="shared" si="55"/>
        <v>70.235174976758756</v>
      </c>
      <c r="Q194" s="101">
        <f t="shared" si="41"/>
        <v>2.002422193613964E-2</v>
      </c>
      <c r="S194" s="101"/>
    </row>
    <row r="195" spans="1:19">
      <c r="A195" s="44">
        <v>182</v>
      </c>
      <c r="B195" s="44">
        <f t="shared" si="39"/>
        <v>36.027247984129012</v>
      </c>
      <c r="C195" s="44">
        <f t="shared" si="40"/>
        <v>6.0557599951097369</v>
      </c>
      <c r="D195" s="44">
        <f t="shared" si="49"/>
        <v>2157.3078211957932</v>
      </c>
      <c r="E195" s="44">
        <f t="shared" si="35"/>
        <v>433.84386043712163</v>
      </c>
      <c r="F195" s="44">
        <f t="shared" si="36"/>
        <v>325.3828953278412</v>
      </c>
      <c r="G195" s="44">
        <f t="shared" si="37"/>
        <v>108.46096510928041</v>
      </c>
      <c r="H195" s="44">
        <f t="shared" si="38"/>
        <v>43.146156423915862</v>
      </c>
      <c r="I195" s="44">
        <f t="shared" si="50"/>
        <v>65.31480868536454</v>
      </c>
      <c r="J195" s="100">
        <f t="shared" si="51"/>
        <v>3.0278763471093983E-2</v>
      </c>
      <c r="K195" s="100">
        <f t="shared" si="52"/>
        <v>3.0223628409064392E-2</v>
      </c>
      <c r="L195" s="44">
        <f t="shared" si="53"/>
        <v>4.972544313574442</v>
      </c>
      <c r="M195" s="100">
        <f t="shared" si="54"/>
        <v>6.0331287381599881E-2</v>
      </c>
      <c r="N195" s="44"/>
      <c r="O195" s="44"/>
      <c r="P195" s="40">
        <f t="shared" si="55"/>
        <v>71.641521590595985</v>
      </c>
      <c r="Q195" s="101">
        <f t="shared" si="41"/>
        <v>2.0023394464420394E-2</v>
      </c>
      <c r="S195" s="101"/>
    </row>
    <row r="196" spans="1:19">
      <c r="A196" s="44">
        <v>183</v>
      </c>
      <c r="B196" s="44">
        <f t="shared" si="39"/>
        <v>36.747792943811596</v>
      </c>
      <c r="C196" s="44">
        <f t="shared" si="40"/>
        <v>6.1163175950608339</v>
      </c>
      <c r="D196" s="44">
        <f t="shared" si="49"/>
        <v>2222.6226298811575</v>
      </c>
      <c r="E196" s="44">
        <f t="shared" si="35"/>
        <v>446.95584588395008</v>
      </c>
      <c r="F196" s="44">
        <f t="shared" si="36"/>
        <v>335.21688441296254</v>
      </c>
      <c r="G196" s="44">
        <f t="shared" si="37"/>
        <v>111.73896147098752</v>
      </c>
      <c r="H196" s="44">
        <f t="shared" si="38"/>
        <v>44.45245259762315</v>
      </c>
      <c r="I196" s="44">
        <f t="shared" si="50"/>
        <v>67.286508873364369</v>
      </c>
      <c r="J196" s="100">
        <f t="shared" si="51"/>
        <v>3.0276072817999818E-2</v>
      </c>
      <c r="K196" s="100">
        <f t="shared" si="52"/>
        <v>3.0222821255595025E-2</v>
      </c>
      <c r="L196" s="44">
        <f t="shared" si="53"/>
        <v>4.972801341227453</v>
      </c>
      <c r="M196" s="100">
        <f t="shared" si="54"/>
        <v>6.0328169056910283E-2</v>
      </c>
      <c r="N196" s="44"/>
      <c r="O196" s="44"/>
      <c r="P196" s="40">
        <f t="shared" si="55"/>
        <v>73.075970784264769</v>
      </c>
      <c r="Q196" s="101">
        <f t="shared" si="41"/>
        <v>2.0022595302569283E-2</v>
      </c>
      <c r="S196" s="101"/>
    </row>
    <row r="197" spans="1:19">
      <c r="A197" s="44">
        <v>184</v>
      </c>
      <c r="B197" s="44">
        <f t="shared" si="39"/>
        <v>37.48274880268783</v>
      </c>
      <c r="C197" s="44">
        <f t="shared" si="40"/>
        <v>6.1774807710114423</v>
      </c>
      <c r="D197" s="44">
        <f t="shared" si="49"/>
        <v>2289.9091387545218</v>
      </c>
      <c r="E197" s="44">
        <f t="shared" si="35"/>
        <v>460.46376410258347</v>
      </c>
      <c r="F197" s="44">
        <f t="shared" si="36"/>
        <v>345.34782307693763</v>
      </c>
      <c r="G197" s="44">
        <f t="shared" si="37"/>
        <v>115.11594102564587</v>
      </c>
      <c r="H197" s="44">
        <f t="shared" si="38"/>
        <v>45.798182775090439</v>
      </c>
      <c r="I197" s="44">
        <f t="shared" si="50"/>
        <v>69.317758250555428</v>
      </c>
      <c r="J197" s="100">
        <f t="shared" si="51"/>
        <v>3.0273474214091857E-2</v>
      </c>
      <c r="K197" s="100">
        <f t="shared" si="52"/>
        <v>3.0222041714027963E-2</v>
      </c>
      <c r="L197" s="44">
        <f t="shared" si="53"/>
        <v>4.9730496018886932</v>
      </c>
      <c r="M197" s="100">
        <f t="shared" si="54"/>
        <v>6.0325157401620179E-2</v>
      </c>
      <c r="N197" s="44"/>
      <c r="O197" s="44"/>
      <c r="P197" s="40">
        <f t="shared" si="55"/>
        <v>74.539084971881095</v>
      </c>
      <c r="Q197" s="101">
        <f t="shared" si="41"/>
        <v>2.0021823479235597E-2</v>
      </c>
      <c r="S197" s="101"/>
    </row>
    <row r="198" spans="1:19">
      <c r="A198" s="44">
        <v>185</v>
      </c>
      <c r="B198" s="44">
        <f t="shared" si="39"/>
        <v>38.232403778741585</v>
      </c>
      <c r="C198" s="44">
        <f t="shared" si="40"/>
        <v>6.2392555787215569</v>
      </c>
      <c r="D198" s="44">
        <f t="shared" si="49"/>
        <v>2359.2268970050773</v>
      </c>
      <c r="E198" s="44">
        <f t="shared" si="35"/>
        <v>474.37957251656906</v>
      </c>
      <c r="F198" s="44">
        <f t="shared" si="36"/>
        <v>355.78467938742676</v>
      </c>
      <c r="G198" s="44">
        <f t="shared" si="37"/>
        <v>118.59489312914226</v>
      </c>
      <c r="H198" s="44">
        <f t="shared" si="38"/>
        <v>47.184537940101549</v>
      </c>
      <c r="I198" s="44">
        <f t="shared" si="50"/>
        <v>71.410355189040715</v>
      </c>
      <c r="J198" s="100">
        <f t="shared" si="51"/>
        <v>3.0270964501350171E-2</v>
      </c>
      <c r="K198" s="100">
        <f t="shared" si="52"/>
        <v>3.022128883715024E-2</v>
      </c>
      <c r="L198" s="44">
        <f t="shared" si="53"/>
        <v>4.9732893945863879</v>
      </c>
      <c r="M198" s="100">
        <f t="shared" si="54"/>
        <v>6.0322248756841147E-2</v>
      </c>
      <c r="N198" s="44"/>
      <c r="O198" s="44"/>
      <c r="P198" s="40">
        <f t="shared" si="55"/>
        <v>76.031437810369511</v>
      </c>
      <c r="Q198" s="101">
        <f t="shared" si="41"/>
        <v>2.0021078056584485E-2</v>
      </c>
      <c r="S198" s="101"/>
    </row>
    <row r="199" spans="1:19">
      <c r="A199" s="44">
        <v>186</v>
      </c>
      <c r="B199" s="44">
        <f t="shared" si="39"/>
        <v>38.997051854316418</v>
      </c>
      <c r="C199" s="44">
        <f t="shared" si="40"/>
        <v>6.3016481345087723</v>
      </c>
      <c r="D199" s="44">
        <f t="shared" si="49"/>
        <v>2430.637252194118</v>
      </c>
      <c r="E199" s="44">
        <f t="shared" si="35"/>
        <v>488.71558966196744</v>
      </c>
      <c r="F199" s="44">
        <f t="shared" si="36"/>
        <v>366.53669224647558</v>
      </c>
      <c r="G199" s="44">
        <f t="shared" si="37"/>
        <v>122.17889741549186</v>
      </c>
      <c r="H199" s="44">
        <f t="shared" si="38"/>
        <v>48.612745043882363</v>
      </c>
      <c r="I199" s="44">
        <f t="shared" si="50"/>
        <v>73.566152371609491</v>
      </c>
      <c r="J199" s="100">
        <f t="shared" si="51"/>
        <v>3.026854063070096E-2</v>
      </c>
      <c r="K199" s="100">
        <f t="shared" si="52"/>
        <v>3.0220561710417371E-2</v>
      </c>
      <c r="L199" s="44">
        <f t="shared" si="53"/>
        <v>4.9735210081498114</v>
      </c>
      <c r="M199" s="100">
        <f t="shared" si="54"/>
        <v>6.0319439589861579E-2</v>
      </c>
      <c r="N199" s="44"/>
      <c r="O199" s="44"/>
      <c r="P199" s="40">
        <f t="shared" si="55"/>
        <v>77.553614424405481</v>
      </c>
      <c r="Q199" s="101">
        <f t="shared" si="41"/>
        <v>2.0020358129126017E-2</v>
      </c>
      <c r="S199" s="101"/>
    </row>
    <row r="200" spans="1:19">
      <c r="A200" s="44">
        <v>187</v>
      </c>
      <c r="B200" s="44">
        <f t="shared" si="39"/>
        <v>39.776992891402749</v>
      </c>
      <c r="C200" s="44">
        <f t="shared" si="40"/>
        <v>6.3646646158538598</v>
      </c>
      <c r="D200" s="44">
        <f t="shared" si="49"/>
        <v>2504.2034045657274</v>
      </c>
      <c r="E200" s="44">
        <f t="shared" si="35"/>
        <v>503.4845060929764</v>
      </c>
      <c r="F200" s="44">
        <f t="shared" si="36"/>
        <v>377.61337956973227</v>
      </c>
      <c r="G200" s="44">
        <f t="shared" si="37"/>
        <v>125.8711265232441</v>
      </c>
      <c r="H200" s="44">
        <f t="shared" si="38"/>
        <v>50.084068091314549</v>
      </c>
      <c r="I200" s="44">
        <f t="shared" si="50"/>
        <v>75.787058431929552</v>
      </c>
      <c r="J200" s="100">
        <f t="shared" si="51"/>
        <v>3.0266199658217939E-2</v>
      </c>
      <c r="K200" s="100">
        <f t="shared" si="52"/>
        <v>3.0219859450819356E-2</v>
      </c>
      <c r="L200" s="44">
        <f t="shared" si="53"/>
        <v>4.9737447215571047</v>
      </c>
      <c r="M200" s="100">
        <f t="shared" si="54"/>
        <v>6.031672648975047E-2</v>
      </c>
      <c r="N200" s="44"/>
      <c r="O200" s="44"/>
      <c r="P200" s="40">
        <f t="shared" si="55"/>
        <v>79.106211635855502</v>
      </c>
      <c r="Q200" s="101">
        <f t="shared" si="41"/>
        <v>2.001966282259349E-2</v>
      </c>
      <c r="S200" s="101"/>
    </row>
    <row r="201" spans="1:19">
      <c r="A201" s="44">
        <v>188</v>
      </c>
      <c r="B201" s="44">
        <f t="shared" si="39"/>
        <v>40.572532749230803</v>
      </c>
      <c r="C201" s="44">
        <f t="shared" si="40"/>
        <v>6.4283112620123983</v>
      </c>
      <c r="D201" s="44">
        <f t="shared" si="49"/>
        <v>2579.9904629976568</v>
      </c>
      <c r="E201" s="44">
        <f t="shared" si="35"/>
        <v>518.69939561690239</v>
      </c>
      <c r="F201" s="44">
        <f t="shared" si="36"/>
        <v>389.02454671267679</v>
      </c>
      <c r="G201" s="44">
        <f t="shared" si="37"/>
        <v>129.6748489042256</v>
      </c>
      <c r="H201" s="44">
        <f t="shared" si="38"/>
        <v>51.599809259953133</v>
      </c>
      <c r="I201" s="44">
        <f t="shared" si="50"/>
        <v>78.075039644272465</v>
      </c>
      <c r="J201" s="100">
        <f t="shared" si="51"/>
        <v>3.0263938741458656E-2</v>
      </c>
      <c r="K201" s="100">
        <f t="shared" si="52"/>
        <v>3.0219181205779388E-2</v>
      </c>
      <c r="L201" s="44">
        <f t="shared" si="53"/>
        <v>4.9739608042712451</v>
      </c>
      <c r="M201" s="100">
        <f t="shared" si="54"/>
        <v>6.0314106163117262E-2</v>
      </c>
      <c r="N201" s="44"/>
      <c r="O201" s="44"/>
      <c r="P201" s="40">
        <f t="shared" si="55"/>
        <v>80.689838197804121</v>
      </c>
      <c r="Q201" s="101">
        <f t="shared" si="41"/>
        <v>2.0018991292851E-2</v>
      </c>
      <c r="S201" s="101"/>
    </row>
    <row r="202" spans="1:19">
      <c r="A202" s="44">
        <v>189</v>
      </c>
      <c r="B202" s="44">
        <f t="shared" si="39"/>
        <v>41.383983404215421</v>
      </c>
      <c r="C202" s="44">
        <f t="shared" si="40"/>
        <v>6.4925943746325228</v>
      </c>
      <c r="D202" s="44">
        <f t="shared" si="49"/>
        <v>2658.065502641929</v>
      </c>
      <c r="E202" s="44">
        <f t="shared" si="35"/>
        <v>534.3737268684265</v>
      </c>
      <c r="F202" s="44">
        <f t="shared" si="36"/>
        <v>400.78029515131988</v>
      </c>
      <c r="G202" s="44">
        <f t="shared" si="37"/>
        <v>133.59343171710663</v>
      </c>
      <c r="H202" s="44">
        <f t="shared" si="38"/>
        <v>53.16131005283858</v>
      </c>
      <c r="I202" s="44">
        <f t="shared" si="50"/>
        <v>80.432121664268038</v>
      </c>
      <c r="J202" s="100">
        <f t="shared" si="51"/>
        <v>3.0261755135930962E-2</v>
      </c>
      <c r="K202" s="100">
        <f t="shared" si="52"/>
        <v>3.0218526152092827E-2</v>
      </c>
      <c r="L202" s="44">
        <f t="shared" si="53"/>
        <v>4.9741695165645705</v>
      </c>
      <c r="M202" s="100">
        <f t="shared" si="54"/>
        <v>6.0311575430021969E-2</v>
      </c>
      <c r="N202" s="44"/>
      <c r="O202" s="44"/>
      <c r="P202" s="40">
        <f t="shared" si="55"/>
        <v>82.305115033259995</v>
      </c>
      <c r="Q202" s="101">
        <f t="shared" si="41"/>
        <v>2.0018342724844266E-2</v>
      </c>
      <c r="S202" s="101"/>
    </row>
    <row r="203" spans="1:19">
      <c r="A203" s="44">
        <v>190</v>
      </c>
      <c r="B203" s="44">
        <f t="shared" si="39"/>
        <v>42.211663072299729</v>
      </c>
      <c r="C203" s="44">
        <f t="shared" si="40"/>
        <v>6.557520318378848</v>
      </c>
      <c r="D203" s="44">
        <f t="shared" si="49"/>
        <v>2738.4976243061969</v>
      </c>
      <c r="E203" s="44">
        <f t="shared" si="35"/>
        <v>550.52137523341617</v>
      </c>
      <c r="F203" s="44">
        <f t="shared" si="36"/>
        <v>412.89103142506212</v>
      </c>
      <c r="G203" s="44">
        <f t="shared" si="37"/>
        <v>137.63034380835404</v>
      </c>
      <c r="H203" s="44">
        <f t="shared" si="38"/>
        <v>54.769952486123941</v>
      </c>
      <c r="I203" s="44">
        <f t="shared" si="50"/>
        <v>82.8603913222301</v>
      </c>
      <c r="J203" s="100">
        <f t="shared" si="51"/>
        <v>3.0259646191684926E-2</v>
      </c>
      <c r="K203" s="100">
        <f t="shared" si="52"/>
        <v>3.0217893494912669E-2</v>
      </c>
      <c r="L203" s="44">
        <f t="shared" si="53"/>
        <v>4.974371109832199</v>
      </c>
      <c r="M203" s="100">
        <f t="shared" si="54"/>
        <v>6.0309131220030732E-2</v>
      </c>
      <c r="N203" s="44"/>
      <c r="O203" s="44"/>
      <c r="P203" s="40">
        <f t="shared" si="55"/>
        <v>83.952675478635229</v>
      </c>
      <c r="Q203" s="101">
        <f t="shared" si="41"/>
        <v>2.0017716331596703E-2</v>
      </c>
      <c r="S203" s="101"/>
    </row>
    <row r="204" spans="1:19">
      <c r="A204" s="44">
        <v>191</v>
      </c>
      <c r="B204" s="44">
        <f t="shared" si="39"/>
        <v>43.055896333745721</v>
      </c>
      <c r="C204" s="44">
        <f t="shared" si="40"/>
        <v>6.6230955215626368</v>
      </c>
      <c r="D204" s="44">
        <f t="shared" si="49"/>
        <v>2821.358015628427</v>
      </c>
      <c r="E204" s="44">
        <f t="shared" si="35"/>
        <v>567.15663513283107</v>
      </c>
      <c r="F204" s="44">
        <f t="shared" si="36"/>
        <v>425.3674763496233</v>
      </c>
      <c r="G204" s="44">
        <f t="shared" si="37"/>
        <v>141.78915878320777</v>
      </c>
      <c r="H204" s="44">
        <f t="shared" si="38"/>
        <v>56.427160312568539</v>
      </c>
      <c r="I204" s="44">
        <f t="shared" si="50"/>
        <v>85.361998470639236</v>
      </c>
      <c r="J204" s="100">
        <f t="shared" si="51"/>
        <v>3.0257609350025586E-2</v>
      </c>
      <c r="K204" s="100">
        <f t="shared" si="52"/>
        <v>3.0217282466755632E-2</v>
      </c>
      <c r="L204" s="44">
        <f t="shared" si="53"/>
        <v>4.9745658268948052</v>
      </c>
      <c r="M204" s="100">
        <f t="shared" si="54"/>
        <v>6.0306770568410439E-2</v>
      </c>
      <c r="N204" s="44"/>
      <c r="O204" s="44"/>
      <c r="P204" s="40">
        <f t="shared" si="55"/>
        <v>85.633165532092093</v>
      </c>
      <c r="Q204" s="101">
        <f t="shared" si="41"/>
        <v>2.0017111353223347E-2</v>
      </c>
      <c r="S204" s="101"/>
    </row>
    <row r="205" spans="1:19">
      <c r="A205" s="44">
        <v>192</v>
      </c>
      <c r="B205" s="44">
        <f t="shared" si="39"/>
        <v>43.917014260420636</v>
      </c>
      <c r="C205" s="44">
        <f t="shared" si="40"/>
        <v>6.6893264767782634</v>
      </c>
      <c r="D205" s="44">
        <f t="shared" si="49"/>
        <v>2906.7200140990662</v>
      </c>
      <c r="E205" s="44">
        <f t="shared" si="35"/>
        <v>584.29423267760512</v>
      </c>
      <c r="F205" s="44">
        <f t="shared" si="36"/>
        <v>438.22067450820384</v>
      </c>
      <c r="G205" s="44">
        <f t="shared" si="37"/>
        <v>146.07355816940128</v>
      </c>
      <c r="H205" s="44">
        <f t="shared" si="38"/>
        <v>58.134400281981328</v>
      </c>
      <c r="I205" s="44">
        <f t="shared" si="50"/>
        <v>87.939157887419952</v>
      </c>
      <c r="J205" s="100">
        <f t="shared" si="51"/>
        <v>3.0255642140342053E-2</v>
      </c>
      <c r="K205" s="100">
        <f t="shared" si="52"/>
        <v>3.021669232655691E-2</v>
      </c>
      <c r="L205" s="44">
        <f t="shared" si="53"/>
        <v>4.9747539022910425</v>
      </c>
      <c r="M205" s="100">
        <f t="shared" si="54"/>
        <v>6.0304490612458204E-2</v>
      </c>
      <c r="N205" s="44"/>
      <c r="O205" s="44"/>
      <c r="P205" s="40">
        <f t="shared" si="55"/>
        <v>87.347244106855868</v>
      </c>
      <c r="Q205" s="101">
        <f t="shared" si="41"/>
        <v>2.0016527055996811E-2</v>
      </c>
      <c r="S205" s="101"/>
    </row>
    <row r="206" spans="1:19">
      <c r="A206" s="44">
        <v>193</v>
      </c>
      <c r="B206" s="44">
        <f t="shared" si="39"/>
        <v>44.795354545629053</v>
      </c>
      <c r="C206" s="44">
        <f t="shared" si="40"/>
        <v>6.7562197415460465</v>
      </c>
      <c r="D206" s="44">
        <f t="shared" si="49"/>
        <v>2994.6591719864864</v>
      </c>
      <c r="E206" s="44">
        <f t="shared" ref="E206:E269" si="56">(B206*C206)^(1-alpha)*(D206^alpha)</f>
        <v>601.94933870570412</v>
      </c>
      <c r="F206" s="44">
        <f t="shared" ref="F206:F269" si="57">(1-s)*E206</f>
        <v>451.46200402927809</v>
      </c>
      <c r="G206" s="44">
        <f t="shared" ref="G206:G269" si="58">s*E206</f>
        <v>150.48733467642603</v>
      </c>
      <c r="H206" s="44">
        <f t="shared" ref="H206:H269" si="59">dep*D206</f>
        <v>59.893183439729732</v>
      </c>
      <c r="I206" s="44">
        <f t="shared" si="50"/>
        <v>90.594151236696291</v>
      </c>
      <c r="J206" s="100">
        <f t="shared" si="51"/>
        <v>3.0253742177048577E-2</v>
      </c>
      <c r="K206" s="100">
        <f t="shared" si="52"/>
        <v>3.0216122358750923E-2</v>
      </c>
      <c r="L206" s="44">
        <f t="shared" si="53"/>
        <v>4.9749355625600069</v>
      </c>
      <c r="M206" s="100">
        <f t="shared" si="54"/>
        <v>6.0302288587960266E-2</v>
      </c>
      <c r="N206" s="44"/>
      <c r="O206" s="44"/>
      <c r="P206" s="40">
        <f t="shared" si="55"/>
        <v>89.095583289592383</v>
      </c>
      <c r="Q206" s="101">
        <f t="shared" si="41"/>
        <v>2.0015962731436521E-2</v>
      </c>
      <c r="S206" s="101"/>
    </row>
    <row r="207" spans="1:19">
      <c r="A207" s="44">
        <v>194</v>
      </c>
      <c r="B207" s="44">
        <f t="shared" ref="B207:B270" si="60">(1+g)*B206</f>
        <v>45.691261636541633</v>
      </c>
      <c r="C207" s="44">
        <f t="shared" ref="C207:C270" si="61">(1+n)*C206</f>
        <v>6.8237819389615071</v>
      </c>
      <c r="D207" s="44">
        <f t="shared" si="49"/>
        <v>3085.2533232231826</v>
      </c>
      <c r="E207" s="44">
        <f t="shared" si="56"/>
        <v>620.13758221290072</v>
      </c>
      <c r="F207" s="44">
        <f t="shared" si="57"/>
        <v>465.10318665967554</v>
      </c>
      <c r="G207" s="44">
        <f t="shared" si="58"/>
        <v>155.03439555322518</v>
      </c>
      <c r="H207" s="44">
        <f t="shared" si="59"/>
        <v>61.705066464463656</v>
      </c>
      <c r="I207" s="44">
        <f t="shared" si="50"/>
        <v>93.329329088761526</v>
      </c>
      <c r="J207" s="100">
        <f t="shared" si="51"/>
        <v>3.0251907156633531E-2</v>
      </c>
      <c r="K207" s="100">
        <f t="shared" si="52"/>
        <v>3.021557187238463E-2</v>
      </c>
      <c r="L207" s="44">
        <f t="shared" si="53"/>
        <v>4.9751110265140772</v>
      </c>
      <c r="M207" s="100">
        <f t="shared" si="54"/>
        <v>6.0300161825775717E-2</v>
      </c>
      <c r="N207" s="44"/>
      <c r="O207" s="44"/>
      <c r="P207" s="40">
        <f t="shared" si="55"/>
        <v>90.878868603951574</v>
      </c>
      <c r="Q207" s="101">
        <f t="shared" si="41"/>
        <v>2.0015417695430287E-2</v>
      </c>
      <c r="S207" s="101"/>
    </row>
    <row r="208" spans="1:19">
      <c r="A208" s="44">
        <v>195</v>
      </c>
      <c r="B208" s="44">
        <f t="shared" si="60"/>
        <v>46.605086869272469</v>
      </c>
      <c r="C208" s="44">
        <f t="shared" si="61"/>
        <v>6.8920197583511218</v>
      </c>
      <c r="D208" s="44">
        <f t="shared" si="49"/>
        <v>3178.582652311944</v>
      </c>
      <c r="E208" s="44">
        <f t="shared" si="56"/>
        <v>638.87506418916121</v>
      </c>
      <c r="F208" s="44">
        <f t="shared" si="57"/>
        <v>479.15629814187093</v>
      </c>
      <c r="G208" s="44">
        <f t="shared" si="58"/>
        <v>159.7187660472903</v>
      </c>
      <c r="H208" s="44">
        <f t="shared" si="59"/>
        <v>63.571653046238879</v>
      </c>
      <c r="I208" s="44">
        <f t="shared" si="50"/>
        <v>96.147113001051423</v>
      </c>
      <c r="J208" s="100">
        <f t="shared" si="51"/>
        <v>3.0250134854813045E-2</v>
      </c>
      <c r="K208" s="100">
        <f t="shared" si="52"/>
        <v>3.0215040200269105E-2</v>
      </c>
      <c r="L208" s="44">
        <f t="shared" si="53"/>
        <v>4.9752805055024245</v>
      </c>
      <c r="M208" s="100">
        <f t="shared" si="54"/>
        <v>6.0298107748540851E-2</v>
      </c>
      <c r="N208" s="44"/>
      <c r="O208" s="44"/>
      <c r="P208" s="40">
        <f t="shared" si="55"/>
        <v>92.697799279381144</v>
      </c>
      <c r="Q208" s="101">
        <f t="shared" ref="Q208:Q271" si="62">(P208-P207)/P207</f>
        <v>2.0014891287395271E-2</v>
      </c>
      <c r="S208" s="101"/>
    </row>
    <row r="209" spans="1:19">
      <c r="A209" s="44">
        <v>196</v>
      </c>
      <c r="B209" s="44">
        <f t="shared" si="60"/>
        <v>47.537188606657921</v>
      </c>
      <c r="C209" s="44">
        <f t="shared" si="61"/>
        <v>6.9609399559346334</v>
      </c>
      <c r="D209" s="44">
        <f t="shared" si="49"/>
        <v>3274.7297653129954</v>
      </c>
      <c r="E209" s="44">
        <f t="shared" si="56"/>
        <v>658.17837187289012</v>
      </c>
      <c r="F209" s="44">
        <f t="shared" si="57"/>
        <v>493.63377890466757</v>
      </c>
      <c r="G209" s="44">
        <f t="shared" si="58"/>
        <v>164.54459296822253</v>
      </c>
      <c r="H209" s="44">
        <f t="shared" si="59"/>
        <v>65.49459530625991</v>
      </c>
      <c r="I209" s="44">
        <f t="shared" si="50"/>
        <v>99.049997661962621</v>
      </c>
      <c r="J209" s="100">
        <f t="shared" si="51"/>
        <v>3.0248423123784025E-2</v>
      </c>
      <c r="K209" s="100">
        <f t="shared" si="52"/>
        <v>3.0214526698155025E-2</v>
      </c>
      <c r="L209" s="44">
        <f t="shared" si="53"/>
        <v>4.9754442036655426</v>
      </c>
      <c r="M209" s="100">
        <f t="shared" si="54"/>
        <v>6.0296123867489455E-2</v>
      </c>
      <c r="N209" s="44"/>
      <c r="O209" s="44"/>
      <c r="P209" s="40">
        <f t="shared" si="55"/>
        <v>94.553088525315061</v>
      </c>
      <c r="Q209" s="101">
        <f t="shared" si="62"/>
        <v>2.0014382869460324E-2</v>
      </c>
      <c r="S209" s="101"/>
    </row>
    <row r="210" spans="1:19">
      <c r="A210" s="44">
        <v>197</v>
      </c>
      <c r="B210" s="44">
        <f t="shared" si="60"/>
        <v>48.487932378791079</v>
      </c>
      <c r="C210" s="44">
        <f t="shared" si="61"/>
        <v>7.0305493554939797</v>
      </c>
      <c r="D210" s="44">
        <f t="shared" si="49"/>
        <v>3373.779762974958</v>
      </c>
      <c r="E210" s="44">
        <f t="shared" si="56"/>
        <v>678.06459343564904</v>
      </c>
      <c r="F210" s="44">
        <f t="shared" si="57"/>
        <v>508.54844507673681</v>
      </c>
      <c r="G210" s="44">
        <f t="shared" si="58"/>
        <v>169.51614835891226</v>
      </c>
      <c r="H210" s="44">
        <f t="shared" si="59"/>
        <v>67.475595259499158</v>
      </c>
      <c r="I210" s="44">
        <f t="shared" si="50"/>
        <v>102.0405530994131</v>
      </c>
      <c r="J210" s="100">
        <f t="shared" si="51"/>
        <v>3.0246769889574539E-2</v>
      </c>
      <c r="K210" s="100">
        <f t="shared" si="52"/>
        <v>3.0214030743932467E-2</v>
      </c>
      <c r="L210" s="44">
        <f t="shared" si="53"/>
        <v>4.9756023181811262</v>
      </c>
      <c r="M210" s="100">
        <f t="shared" si="54"/>
        <v>6.0294207779384497E-2</v>
      </c>
      <c r="N210" s="44"/>
      <c r="O210" s="44"/>
      <c r="P210" s="40">
        <f t="shared" si="55"/>
        <v>96.445463810844259</v>
      </c>
      <c r="Q210" s="101">
        <f t="shared" si="62"/>
        <v>2.0013891825675742E-2</v>
      </c>
      <c r="S210" s="101"/>
    </row>
    <row r="211" spans="1:19">
      <c r="A211" s="44">
        <v>198</v>
      </c>
      <c r="B211" s="44">
        <f t="shared" si="60"/>
        <v>49.457691026366902</v>
      </c>
      <c r="C211" s="44">
        <f t="shared" si="61"/>
        <v>7.1008548490489192</v>
      </c>
      <c r="D211" s="44">
        <f t="shared" si="49"/>
        <v>3475.820316074371</v>
      </c>
      <c r="E211" s="44">
        <f t="shared" si="56"/>
        <v>698.55133311035513</v>
      </c>
      <c r="F211" s="44">
        <f t="shared" si="57"/>
        <v>523.91349983276632</v>
      </c>
      <c r="G211" s="44">
        <f t="shared" si="58"/>
        <v>174.63783327758878</v>
      </c>
      <c r="H211" s="44">
        <f t="shared" si="59"/>
        <v>69.516406321487423</v>
      </c>
      <c r="I211" s="44">
        <f t="shared" si="50"/>
        <v>105.12142695610136</v>
      </c>
      <c r="J211" s="100">
        <f t="shared" si="51"/>
        <v>3.0245173149487069E-2</v>
      </c>
      <c r="K211" s="100">
        <f t="shared" si="52"/>
        <v>3.0213551736867614E-2</v>
      </c>
      <c r="L211" s="44">
        <f t="shared" si="53"/>
        <v>4.9757550395015437</v>
      </c>
      <c r="M211" s="100">
        <f t="shared" si="54"/>
        <v>6.0292357163557853E-2</v>
      </c>
      <c r="N211" s="44"/>
      <c r="O211" s="44"/>
      <c r="P211" s="40">
        <f t="shared" si="55"/>
        <v>98.375667149979606</v>
      </c>
      <c r="Q211" s="101">
        <f t="shared" si="62"/>
        <v>2.0013417561255124E-2</v>
      </c>
      <c r="S211" s="101"/>
    </row>
    <row r="212" spans="1:19">
      <c r="A212" s="44">
        <v>199</v>
      </c>
      <c r="B212" s="44">
        <f t="shared" si="60"/>
        <v>50.446844846894244</v>
      </c>
      <c r="C212" s="44">
        <f t="shared" si="61"/>
        <v>7.1718633975394086</v>
      </c>
      <c r="D212" s="44">
        <f t="shared" si="49"/>
        <v>3580.9417430304725</v>
      </c>
      <c r="E212" s="44">
        <f t="shared" si="56"/>
        <v>719.65672677635519</v>
      </c>
      <c r="F212" s="44">
        <f t="shared" si="57"/>
        <v>539.74254508226636</v>
      </c>
      <c r="G212" s="44">
        <f t="shared" si="58"/>
        <v>179.9141816940888</v>
      </c>
      <c r="H212" s="44">
        <f t="shared" si="59"/>
        <v>71.618834860609454</v>
      </c>
      <c r="I212" s="44">
        <f t="shared" si="50"/>
        <v>108.29534683347934</v>
      </c>
      <c r="J212" s="100">
        <f t="shared" si="51"/>
        <v>3.0243630969631577E-2</v>
      </c>
      <c r="K212" s="100">
        <f t="shared" si="52"/>
        <v>3.02130890968694E-2</v>
      </c>
      <c r="L212" s="44">
        <f t="shared" si="53"/>
        <v>4.9759025515831903</v>
      </c>
      <c r="M212" s="100">
        <f t="shared" si="54"/>
        <v>6.0290569779054164E-2</v>
      </c>
      <c r="N212" s="44"/>
      <c r="O212" s="44"/>
      <c r="P212" s="40">
        <f t="shared" si="55"/>
        <v>100.34445539261971</v>
      </c>
      <c r="Q212" s="101">
        <f t="shared" si="62"/>
        <v>2.001295950185086E-2</v>
      </c>
      <c r="S212" s="101"/>
    </row>
    <row r="213" spans="1:19">
      <c r="A213" s="44">
        <v>200</v>
      </c>
      <c r="B213" s="44">
        <f t="shared" si="60"/>
        <v>51.455781743832127</v>
      </c>
      <c r="C213" s="44">
        <f t="shared" si="61"/>
        <v>7.2435820315148032</v>
      </c>
      <c r="D213" s="44">
        <f t="shared" si="49"/>
        <v>3689.237089863952</v>
      </c>
      <c r="E213" s="44">
        <f t="shared" si="56"/>
        <v>741.39945801516035</v>
      </c>
      <c r="F213" s="44">
        <f t="shared" si="57"/>
        <v>556.04959351137029</v>
      </c>
      <c r="G213" s="44">
        <f t="shared" si="58"/>
        <v>185.34986450379009</v>
      </c>
      <c r="H213" s="44">
        <f t="shared" si="59"/>
        <v>73.78474179727904</v>
      </c>
      <c r="I213" s="44">
        <f t="shared" si="50"/>
        <v>111.56512270651105</v>
      </c>
      <c r="J213" s="100">
        <f t="shared" si="51"/>
        <v>3.0242141482545174E-2</v>
      </c>
      <c r="K213" s="100">
        <f t="shared" si="52"/>
        <v>3.0212642263763714E-2</v>
      </c>
      <c r="L213" s="44">
        <f t="shared" si="53"/>
        <v>4.9760450321080665</v>
      </c>
      <c r="M213" s="100">
        <f t="shared" si="54"/>
        <v>6.02888434618742E-2</v>
      </c>
      <c r="N213" s="44"/>
      <c r="O213" s="44"/>
      <c r="P213" s="40">
        <f t="shared" si="55"/>
        <v>102.35260052133576</v>
      </c>
      <c r="Q213" s="101">
        <f t="shared" si="62"/>
        <v>2.0012517092835306E-2</v>
      </c>
      <c r="S213" s="101"/>
    </row>
    <row r="214" spans="1:19">
      <c r="A214" s="44">
        <v>201</v>
      </c>
      <c r="B214" s="44">
        <f t="shared" si="60"/>
        <v>52.484897378708773</v>
      </c>
      <c r="C214" s="44">
        <f t="shared" si="61"/>
        <v>7.316017851829951</v>
      </c>
      <c r="D214" s="44">
        <f t="shared" si="49"/>
        <v>3800.8022125704629</v>
      </c>
      <c r="E214" s="44">
        <f t="shared" si="56"/>
        <v>763.79877465107052</v>
      </c>
      <c r="F214" s="44">
        <f t="shared" si="57"/>
        <v>572.84908098830283</v>
      </c>
      <c r="G214" s="44">
        <f t="shared" si="58"/>
        <v>190.94969366276763</v>
      </c>
      <c r="H214" s="44">
        <f t="shared" si="59"/>
        <v>76.016044251409255</v>
      </c>
      <c r="I214" s="44">
        <f t="shared" si="50"/>
        <v>114.93364941135837</v>
      </c>
      <c r="J214" s="100">
        <f t="shared" si="51"/>
        <v>3.0240702884895127E-2</v>
      </c>
      <c r="K214" s="100">
        <f t="shared" si="52"/>
        <v>3.021221069661497E-2</v>
      </c>
      <c r="L214" s="44">
        <f t="shared" si="53"/>
        <v>4.9761826526977604</v>
      </c>
      <c r="M214" s="100">
        <f t="shared" si="54"/>
        <v>6.0287176122315295E-2</v>
      </c>
      <c r="N214" s="44"/>
      <c r="O214" s="44"/>
      <c r="P214" s="40">
        <f t="shared" si="55"/>
        <v>104.40088995409189</v>
      </c>
      <c r="Q214" s="101">
        <f t="shared" si="62"/>
        <v>2.0012089798628636E-2</v>
      </c>
      <c r="S214" s="101"/>
    </row>
    <row r="215" spans="1:19">
      <c r="A215" s="44">
        <v>202</v>
      </c>
      <c r="B215" s="44">
        <f t="shared" si="60"/>
        <v>53.534595326282947</v>
      </c>
      <c r="C215" s="44">
        <f t="shared" si="61"/>
        <v>7.3891780303482504</v>
      </c>
      <c r="D215" s="44">
        <f t="shared" si="49"/>
        <v>3915.7358619818215</v>
      </c>
      <c r="E215" s="44">
        <f t="shared" si="56"/>
        <v>786.87450579132303</v>
      </c>
      <c r="F215" s="44">
        <f t="shared" si="57"/>
        <v>590.1558793434923</v>
      </c>
      <c r="G215" s="44">
        <f t="shared" si="58"/>
        <v>196.71862644783076</v>
      </c>
      <c r="H215" s="44">
        <f t="shared" si="59"/>
        <v>78.314717239636437</v>
      </c>
      <c r="I215" s="44">
        <f t="shared" si="50"/>
        <v>118.40390920819432</v>
      </c>
      <c r="J215" s="100">
        <f t="shared" si="51"/>
        <v>3.0239313435262809E-2</v>
      </c>
      <c r="K215" s="100">
        <f t="shared" si="52"/>
        <v>3.0211793873058123E-2</v>
      </c>
      <c r="L215" s="44">
        <f t="shared" si="53"/>
        <v>4.9763155791201399</v>
      </c>
      <c r="M215" s="100">
        <f t="shared" si="54"/>
        <v>6.0285565742404713E-2</v>
      </c>
      <c r="N215" s="44"/>
      <c r="O215" s="44"/>
      <c r="P215" s="40">
        <f t="shared" si="55"/>
        <v>106.49012685301857</v>
      </c>
      <c r="Q215" s="101">
        <f t="shared" si="62"/>
        <v>2.0011677102037825E-2</v>
      </c>
      <c r="S215" s="101"/>
    </row>
    <row r="216" spans="1:19">
      <c r="A216" s="44">
        <v>203</v>
      </c>
      <c r="B216" s="44">
        <f t="shared" si="60"/>
        <v>54.605287232808607</v>
      </c>
      <c r="C216" s="44">
        <f t="shared" si="61"/>
        <v>7.4630698106517332</v>
      </c>
      <c r="D216" s="44">
        <f t="shared" si="49"/>
        <v>4034.1397711900158</v>
      </c>
      <c r="E216" s="44">
        <f t="shared" si="56"/>
        <v>810.64707938084734</v>
      </c>
      <c r="F216" s="44">
        <f t="shared" si="57"/>
        <v>607.98530953563545</v>
      </c>
      <c r="G216" s="44">
        <f t="shared" si="58"/>
        <v>202.66176984521184</v>
      </c>
      <c r="H216" s="44">
        <f t="shared" si="59"/>
        <v>80.682795423800314</v>
      </c>
      <c r="I216" s="44">
        <f t="shared" si="50"/>
        <v>121.97897442141152</v>
      </c>
      <c r="J216" s="100">
        <f t="shared" si="51"/>
        <v>3.023797145200394E-2</v>
      </c>
      <c r="K216" s="100">
        <f t="shared" si="52"/>
        <v>3.0211391288649445E-2</v>
      </c>
      <c r="L216" s="44">
        <f t="shared" si="53"/>
        <v>4.9764439714890409</v>
      </c>
      <c r="M216" s="100">
        <f t="shared" si="54"/>
        <v>6.0284010373422257E-2</v>
      </c>
      <c r="N216" s="44"/>
      <c r="O216" s="44"/>
      <c r="P216" s="40">
        <f t="shared" si="55"/>
        <v>108.62113043935942</v>
      </c>
      <c r="Q216" s="101">
        <f t="shared" si="62"/>
        <v>2.0011278503613197E-2</v>
      </c>
      <c r="S216" s="101"/>
    </row>
    <row r="217" spans="1:19">
      <c r="A217" s="44">
        <v>204</v>
      </c>
      <c r="B217" s="44">
        <f t="shared" si="60"/>
        <v>55.69739297746478</v>
      </c>
      <c r="C217" s="44">
        <f t="shared" si="61"/>
        <v>7.5377005087582507</v>
      </c>
      <c r="D217" s="44">
        <f t="shared" si="49"/>
        <v>4156.1187456114276</v>
      </c>
      <c r="E217" s="44">
        <f t="shared" si="56"/>
        <v>835.13754028718688</v>
      </c>
      <c r="F217" s="44">
        <f t="shared" si="57"/>
        <v>626.35315521539019</v>
      </c>
      <c r="G217" s="44">
        <f t="shared" si="58"/>
        <v>208.78438507179672</v>
      </c>
      <c r="H217" s="44">
        <f t="shared" si="59"/>
        <v>83.122374912228551</v>
      </c>
      <c r="I217" s="44">
        <f t="shared" si="50"/>
        <v>125.66201015956817</v>
      </c>
      <c r="J217" s="100">
        <f t="shared" si="51"/>
        <v>3.023667531118527E-2</v>
      </c>
      <c r="K217" s="100">
        <f t="shared" si="52"/>
        <v>3.0211002456265873E-2</v>
      </c>
      <c r="L217" s="44">
        <f t="shared" si="53"/>
        <v>4.9765679844570547</v>
      </c>
      <c r="M217" s="100">
        <f t="shared" si="54"/>
        <v>6.0282508133510423E-2</v>
      </c>
      <c r="N217" s="44"/>
      <c r="O217" s="44"/>
      <c r="P217" s="40">
        <f t="shared" si="55"/>
        <v>110.79473631471811</v>
      </c>
      <c r="Q217" s="101">
        <f t="shared" si="62"/>
        <v>2.0010893521055381E-2</v>
      </c>
      <c r="S217" s="101"/>
    </row>
    <row r="218" spans="1:19">
      <c r="A218" s="44">
        <v>205</v>
      </c>
      <c r="B218" s="44">
        <f t="shared" si="60"/>
        <v>56.811340837014079</v>
      </c>
      <c r="C218" s="44">
        <f t="shared" si="61"/>
        <v>7.6130775138458331</v>
      </c>
      <c r="D218" s="44">
        <f t="shared" si="49"/>
        <v>4281.7807557709957</v>
      </c>
      <c r="E218" s="44">
        <f t="shared" si="56"/>
        <v>860.36756893156848</v>
      </c>
      <c r="F218" s="44">
        <f t="shared" si="57"/>
        <v>645.27567669867631</v>
      </c>
      <c r="G218" s="44">
        <f t="shared" si="58"/>
        <v>215.09189223289212</v>
      </c>
      <c r="H218" s="44">
        <f t="shared" si="59"/>
        <v>85.63561511541991</v>
      </c>
      <c r="I218" s="44">
        <f t="shared" si="50"/>
        <v>129.45627711747221</v>
      </c>
      <c r="J218" s="100">
        <f t="shared" si="51"/>
        <v>3.0235423444592017E-2</v>
      </c>
      <c r="K218" s="100">
        <f t="shared" si="52"/>
        <v>3.0210626905486142E-2</v>
      </c>
      <c r="L218" s="44">
        <f t="shared" si="53"/>
        <v>4.976687767401839</v>
      </c>
      <c r="M218" s="100">
        <f t="shared" si="54"/>
        <v>6.028105720536691E-2</v>
      </c>
      <c r="N218" s="44"/>
      <c r="O218" s="44"/>
      <c r="P218" s="40">
        <f t="shared" si="55"/>
        <v>113.0117967887265</v>
      </c>
      <c r="Q218" s="101">
        <f t="shared" si="62"/>
        <v>2.0010521688600062E-2</v>
      </c>
      <c r="S218" s="101"/>
    </row>
    <row r="219" spans="1:19">
      <c r="A219" s="44">
        <v>206</v>
      </c>
      <c r="B219" s="44">
        <f t="shared" si="60"/>
        <v>57.947567653754362</v>
      </c>
      <c r="C219" s="44">
        <f t="shared" si="61"/>
        <v>7.6892082889842914</v>
      </c>
      <c r="D219" s="44">
        <f t="shared" si="49"/>
        <v>4411.2370328884681</v>
      </c>
      <c r="E219" s="44">
        <f t="shared" si="56"/>
        <v>886.35950048264351</v>
      </c>
      <c r="F219" s="44">
        <f t="shared" si="57"/>
        <v>664.76962536198266</v>
      </c>
      <c r="G219" s="44">
        <f t="shared" si="58"/>
        <v>221.58987512066088</v>
      </c>
      <c r="H219" s="44">
        <f t="shared" si="59"/>
        <v>88.22474065776936</v>
      </c>
      <c r="I219" s="44">
        <f t="shared" si="50"/>
        <v>133.36513446289152</v>
      </c>
      <c r="J219" s="100">
        <f t="shared" si="51"/>
        <v>3.0234214337805796E-2</v>
      </c>
      <c r="K219" s="100">
        <f t="shared" si="52"/>
        <v>3.0210264182031668E-2</v>
      </c>
      <c r="L219" s="44">
        <f t="shared" si="53"/>
        <v>4.9768034646060046</v>
      </c>
      <c r="M219" s="100">
        <f t="shared" si="54"/>
        <v>6.0279655834018328E-2</v>
      </c>
      <c r="N219" s="44"/>
      <c r="O219" s="44"/>
      <c r="P219" s="40">
        <f t="shared" si="55"/>
        <v>115.27318121326734</v>
      </c>
      <c r="Q219" s="101">
        <f t="shared" si="62"/>
        <v>2.001016255646703E-2</v>
      </c>
      <c r="S219" s="101"/>
    </row>
    <row r="220" spans="1:19">
      <c r="A220" s="44">
        <v>207</v>
      </c>
      <c r="B220" s="44">
        <f t="shared" si="60"/>
        <v>59.106519006829451</v>
      </c>
      <c r="C220" s="44">
        <f t="shared" si="61"/>
        <v>7.7661003718741348</v>
      </c>
      <c r="D220" s="44">
        <f t="shared" si="49"/>
        <v>4544.6021673513596</v>
      </c>
      <c r="E220" s="44">
        <f t="shared" si="56"/>
        <v>913.1363446298725</v>
      </c>
      <c r="F220" s="44">
        <f t="shared" si="57"/>
        <v>684.8522584724044</v>
      </c>
      <c r="G220" s="44">
        <f t="shared" si="58"/>
        <v>228.28408615746812</v>
      </c>
      <c r="H220" s="44">
        <f t="shared" si="59"/>
        <v>90.892043347027197</v>
      </c>
      <c r="I220" s="44">
        <f t="shared" si="50"/>
        <v>137.39204281044093</v>
      </c>
      <c r="J220" s="100">
        <f t="shared" si="51"/>
        <v>3.0233046528348614E-2</v>
      </c>
      <c r="K220" s="100">
        <f t="shared" si="52"/>
        <v>3.0209913847201238E-2</v>
      </c>
      <c r="L220" s="44">
        <f t="shared" si="53"/>
        <v>4.9769152154308927</v>
      </c>
      <c r="M220" s="100">
        <f t="shared" si="54"/>
        <v>6.027830232467131E-2</v>
      </c>
      <c r="N220" s="44"/>
      <c r="O220" s="44"/>
      <c r="P220" s="40">
        <f t="shared" si="55"/>
        <v>117.57977632337916</v>
      </c>
      <c r="Q220" s="101">
        <f t="shared" si="62"/>
        <v>2.0009815690298235E-2</v>
      </c>
      <c r="S220" s="101"/>
    </row>
    <row r="221" spans="1:19">
      <c r="A221" s="44">
        <v>208</v>
      </c>
      <c r="B221" s="44">
        <f t="shared" si="60"/>
        <v>60.288649386966043</v>
      </c>
      <c r="C221" s="44">
        <f t="shared" si="61"/>
        <v>7.8437613755928766</v>
      </c>
      <c r="D221" s="44">
        <f t="shared" si="49"/>
        <v>4681.9942101618008</v>
      </c>
      <c r="E221" s="44">
        <f t="shared" si="56"/>
        <v>940.7218059540628</v>
      </c>
      <c r="F221" s="44">
        <f t="shared" si="57"/>
        <v>705.5413544655471</v>
      </c>
      <c r="G221" s="44">
        <f t="shared" si="58"/>
        <v>235.1804514885157</v>
      </c>
      <c r="H221" s="44">
        <f t="shared" si="59"/>
        <v>93.639884203236022</v>
      </c>
      <c r="I221" s="44">
        <f t="shared" si="50"/>
        <v>141.54056728527968</v>
      </c>
      <c r="J221" s="100">
        <f t="shared" si="51"/>
        <v>3.0231918603892804E-2</v>
      </c>
      <c r="K221" s="100">
        <f t="shared" si="52"/>
        <v>3.0209575477331045E-2</v>
      </c>
      <c r="L221" s="44">
        <f t="shared" si="53"/>
        <v>4.9770231544844528</v>
      </c>
      <c r="M221" s="100">
        <f t="shared" si="54"/>
        <v>6.0276995040638028E-2</v>
      </c>
      <c r="N221" s="44"/>
      <c r="O221" s="44"/>
      <c r="P221" s="40">
        <f t="shared" si="55"/>
        <v>119.93248658497819</v>
      </c>
      <c r="Q221" s="101">
        <f t="shared" si="62"/>
        <v>2.000948067062468E-2</v>
      </c>
      <c r="S221" s="101"/>
    </row>
    <row r="222" spans="1:19">
      <c r="A222" s="44">
        <v>209</v>
      </c>
      <c r="B222" s="44">
        <f t="shared" si="60"/>
        <v>61.494422374705366</v>
      </c>
      <c r="C222" s="44">
        <f t="shared" si="61"/>
        <v>7.9221989893488054</v>
      </c>
      <c r="D222" s="44">
        <f t="shared" si="49"/>
        <v>4823.5347774470802</v>
      </c>
      <c r="E222" s="44">
        <f t="shared" si="56"/>
        <v>969.14030491310893</v>
      </c>
      <c r="F222" s="44">
        <f t="shared" si="57"/>
        <v>726.85522868483167</v>
      </c>
      <c r="G222" s="44">
        <f t="shared" si="58"/>
        <v>242.28507622827723</v>
      </c>
      <c r="H222" s="44">
        <f t="shared" si="59"/>
        <v>96.470695548941606</v>
      </c>
      <c r="I222" s="44">
        <f t="shared" si="50"/>
        <v>145.81438067933561</v>
      </c>
      <c r="J222" s="100">
        <f t="shared" si="51"/>
        <v>3.023082920053163E-2</v>
      </c>
      <c r="K222" s="100">
        <f t="shared" si="52"/>
        <v>3.0209248663290646E-2</v>
      </c>
      <c r="L222" s="44">
        <f t="shared" si="53"/>
        <v>4.9771274117833206</v>
      </c>
      <c r="M222" s="100">
        <f t="shared" si="54"/>
        <v>6.0275732401334894E-2</v>
      </c>
      <c r="N222" s="44"/>
      <c r="O222" s="44"/>
      <c r="P222" s="40">
        <f t="shared" si="55"/>
        <v>122.33223454953522</v>
      </c>
      <c r="Q222" s="101">
        <f t="shared" si="62"/>
        <v>2.0009157092366964E-2</v>
      </c>
      <c r="S222" s="101"/>
    </row>
    <row r="223" spans="1:19">
      <c r="A223" s="44">
        <v>210</v>
      </c>
      <c r="B223" s="44">
        <f t="shared" si="60"/>
        <v>62.724310822199477</v>
      </c>
      <c r="C223" s="44">
        <f t="shared" si="61"/>
        <v>8.0014209792422939</v>
      </c>
      <c r="D223" s="44">
        <f t="shared" si="49"/>
        <v>4969.3491581264161</v>
      </c>
      <c r="E223" s="44">
        <f t="shared" si="56"/>
        <v>998.41699946148481</v>
      </c>
      <c r="F223" s="44">
        <f t="shared" si="57"/>
        <v>748.81274959611358</v>
      </c>
      <c r="G223" s="44">
        <f t="shared" si="58"/>
        <v>249.6042498653712</v>
      </c>
      <c r="H223" s="44">
        <f t="shared" si="59"/>
        <v>99.386983162528324</v>
      </c>
      <c r="I223" s="44">
        <f t="shared" si="50"/>
        <v>150.21726670284289</v>
      </c>
      <c r="J223" s="100">
        <f t="shared" si="51"/>
        <v>3.0229777001112481E-2</v>
      </c>
      <c r="K223" s="100">
        <f t="shared" si="52"/>
        <v>3.0208933009963669E-2</v>
      </c>
      <c r="L223" s="44">
        <f t="shared" si="53"/>
        <v>4.9772281129094651</v>
      </c>
      <c r="M223" s="100">
        <f t="shared" si="54"/>
        <v>6.0274512880349664E-2</v>
      </c>
      <c r="N223" s="44"/>
      <c r="O223" s="44"/>
      <c r="P223" s="40">
        <f t="shared" si="55"/>
        <v>124.77996121584286</v>
      </c>
      <c r="Q223" s="101">
        <f t="shared" si="62"/>
        <v>2.0008844564320474E-2</v>
      </c>
      <c r="S223" s="101"/>
    </row>
    <row r="224" spans="1:19">
      <c r="A224" s="44">
        <v>211</v>
      </c>
      <c r="B224" s="44">
        <f t="shared" si="60"/>
        <v>63.978797038643471</v>
      </c>
      <c r="C224" s="44">
        <f t="shared" si="61"/>
        <v>8.0814351890347176</v>
      </c>
      <c r="D224" s="44">
        <f t="shared" si="49"/>
        <v>5119.5664248292587</v>
      </c>
      <c r="E224" s="44">
        <f t="shared" si="56"/>
        <v>1028.57780732266</v>
      </c>
      <c r="F224" s="44">
        <f t="shared" si="57"/>
        <v>771.43335549199492</v>
      </c>
      <c r="G224" s="44">
        <f t="shared" si="58"/>
        <v>257.14445183066499</v>
      </c>
      <c r="H224" s="44">
        <f t="shared" si="59"/>
        <v>102.39132849658517</v>
      </c>
      <c r="I224" s="44">
        <f t="shared" si="50"/>
        <v>154.75312333407982</v>
      </c>
      <c r="J224" s="100">
        <f t="shared" si="51"/>
        <v>3.0228760733624668E-2</v>
      </c>
      <c r="K224" s="100">
        <f t="shared" si="52"/>
        <v>3.0208628135781904E-2</v>
      </c>
      <c r="L224" s="44">
        <f t="shared" si="53"/>
        <v>4.9773253791613987</v>
      </c>
      <c r="M224" s="100">
        <f t="shared" si="54"/>
        <v>6.0273335003576817E-2</v>
      </c>
      <c r="N224" s="44"/>
      <c r="O224" s="44"/>
      <c r="P224" s="40">
        <f t="shared" si="55"/>
        <v>127.27662639901934</v>
      </c>
      <c r="Q224" s="101">
        <f t="shared" si="62"/>
        <v>2.0008542708694819E-2</v>
      </c>
      <c r="S224" s="101"/>
    </row>
    <row r="225" spans="1:19">
      <c r="A225" s="44">
        <v>212</v>
      </c>
      <c r="B225" s="44">
        <f t="shared" si="60"/>
        <v>65.258372979416336</v>
      </c>
      <c r="C225" s="44">
        <f t="shared" si="61"/>
        <v>8.1622495409250657</v>
      </c>
      <c r="D225" s="44">
        <f t="shared" si="49"/>
        <v>5274.3195481633384</v>
      </c>
      <c r="E225" s="44">
        <f t="shared" si="56"/>
        <v>1059.6494289341279</v>
      </c>
      <c r="F225" s="44">
        <f t="shared" si="57"/>
        <v>794.73707170059583</v>
      </c>
      <c r="G225" s="44">
        <f t="shared" si="58"/>
        <v>264.91235723353196</v>
      </c>
      <c r="H225" s="44">
        <f t="shared" si="59"/>
        <v>105.48639096326677</v>
      </c>
      <c r="I225" s="44">
        <f t="shared" si="50"/>
        <v>159.42596627026518</v>
      </c>
      <c r="J225" s="100">
        <f t="shared" si="51"/>
        <v>3.0227779169647317E-2</v>
      </c>
      <c r="K225" s="100">
        <f t="shared" si="52"/>
        <v>3.0208333672243882E-2</v>
      </c>
      <c r="L225" s="44">
        <f t="shared" si="53"/>
        <v>4.9774193277003231</v>
      </c>
      <c r="M225" s="100">
        <f t="shared" si="54"/>
        <v>6.0272197347416692E-2</v>
      </c>
      <c r="N225" s="44"/>
      <c r="O225" s="44"/>
      <c r="P225" s="40">
        <f t="shared" si="55"/>
        <v>129.82320910688952</v>
      </c>
      <c r="Q225" s="101">
        <f t="shared" si="62"/>
        <v>2.0008251160637362E-2</v>
      </c>
      <c r="S225" s="101"/>
    </row>
    <row r="226" spans="1:19">
      <c r="A226" s="44">
        <v>213</v>
      </c>
      <c r="B226" s="44">
        <f t="shared" si="60"/>
        <v>66.563540439004669</v>
      </c>
      <c r="C226" s="44">
        <f t="shared" si="61"/>
        <v>8.2438720363343165</v>
      </c>
      <c r="D226" s="44">
        <f t="shared" si="49"/>
        <v>5433.7455144336036</v>
      </c>
      <c r="E226" s="44">
        <f t="shared" si="56"/>
        <v>1091.659371085389</v>
      </c>
      <c r="F226" s="44">
        <f t="shared" si="57"/>
        <v>818.74452831404176</v>
      </c>
      <c r="G226" s="44">
        <f t="shared" si="58"/>
        <v>272.91484277134725</v>
      </c>
      <c r="H226" s="44">
        <f t="shared" si="59"/>
        <v>108.67491028867208</v>
      </c>
      <c r="I226" s="44">
        <f t="shared" si="50"/>
        <v>164.23993248267516</v>
      </c>
      <c r="J226" s="100">
        <f t="shared" si="51"/>
        <v>3.0226831122847249E-2</v>
      </c>
      <c r="K226" s="100">
        <f t="shared" si="52"/>
        <v>3.020804926348054E-2</v>
      </c>
      <c r="L226" s="44">
        <f t="shared" si="53"/>
        <v>4.9775100716911984</v>
      </c>
      <c r="M226" s="100">
        <f t="shared" si="54"/>
        <v>6.0271098537038138E-2</v>
      </c>
      <c r="N226" s="44"/>
      <c r="O226" s="44"/>
      <c r="P226" s="40">
        <f t="shared" si="55"/>
        <v>132.42070792389464</v>
      </c>
      <c r="Q226" s="101">
        <f t="shared" si="62"/>
        <v>2.000796956780259E-2</v>
      </c>
      <c r="S226" s="101"/>
    </row>
    <row r="227" spans="1:19">
      <c r="A227" s="44">
        <v>214</v>
      </c>
      <c r="B227" s="44">
        <f t="shared" si="60"/>
        <v>67.894811247784759</v>
      </c>
      <c r="C227" s="44">
        <f t="shared" si="61"/>
        <v>8.3263107566976604</v>
      </c>
      <c r="D227" s="44">
        <f t="shared" si="49"/>
        <v>5597.9854469162783</v>
      </c>
      <c r="E227" s="44">
        <f t="shared" si="56"/>
        <v>1124.6359712697899</v>
      </c>
      <c r="F227" s="44">
        <f t="shared" si="57"/>
        <v>843.47697845234245</v>
      </c>
      <c r="G227" s="44">
        <f t="shared" si="58"/>
        <v>281.15899281744748</v>
      </c>
      <c r="H227" s="44">
        <f t="shared" si="59"/>
        <v>111.95970893832556</v>
      </c>
      <c r="I227" s="44">
        <f t="shared" si="50"/>
        <v>169.19928387912194</v>
      </c>
      <c r="J227" s="100">
        <f t="shared" si="51"/>
        <v>3.0225915447531691E-2</v>
      </c>
      <c r="K227" s="100">
        <f t="shared" si="52"/>
        <v>3.0207774565809604E-2</v>
      </c>
      <c r="L227" s="44">
        <f t="shared" si="53"/>
        <v>4.9775977204390633</v>
      </c>
      <c r="M227" s="100">
        <f t="shared" si="54"/>
        <v>6.0270037244700765E-2</v>
      </c>
      <c r="N227" s="44"/>
      <c r="O227" s="44"/>
      <c r="P227" s="40">
        <f t="shared" si="55"/>
        <v>135.07014140267776</v>
      </c>
      <c r="Q227" s="101">
        <f t="shared" si="62"/>
        <v>2.0007697589910306E-2</v>
      </c>
      <c r="S227" s="101"/>
    </row>
    <row r="228" spans="1:19">
      <c r="A228" s="44">
        <v>215</v>
      </c>
      <c r="B228" s="44">
        <f t="shared" si="60"/>
        <v>69.252707472740454</v>
      </c>
      <c r="C228" s="44">
        <f t="shared" si="61"/>
        <v>8.4095738642646367</v>
      </c>
      <c r="D228" s="44">
        <f t="shared" si="49"/>
        <v>5767.1847307954004</v>
      </c>
      <c r="E228" s="44">
        <f t="shared" si="56"/>
        <v>1158.6084227717868</v>
      </c>
      <c r="F228" s="44">
        <f t="shared" si="57"/>
        <v>868.95631707884013</v>
      </c>
      <c r="G228" s="44">
        <f t="shared" si="58"/>
        <v>289.65210569294669</v>
      </c>
      <c r="H228" s="44">
        <f t="shared" si="59"/>
        <v>115.34369461590801</v>
      </c>
      <c r="I228" s="44">
        <f t="shared" si="50"/>
        <v>174.30841107703867</v>
      </c>
      <c r="J228" s="100">
        <f t="shared" si="51"/>
        <v>3.0225031037250664E-2</v>
      </c>
      <c r="K228" s="100">
        <f t="shared" si="52"/>
        <v>3.020750924731639E-2</v>
      </c>
      <c r="L228" s="44">
        <f t="shared" si="53"/>
        <v>4.977682379520707</v>
      </c>
      <c r="M228" s="100">
        <f t="shared" si="54"/>
        <v>6.0269012188135337E-2</v>
      </c>
      <c r="N228" s="44"/>
      <c r="O228" s="44"/>
      <c r="P228" s="40">
        <f t="shared" si="55"/>
        <v>137.7725484635005</v>
      </c>
      <c r="Q228" s="101">
        <f t="shared" si="62"/>
        <v>2.0007434898333207E-2</v>
      </c>
      <c r="S228" s="101"/>
    </row>
    <row r="229" spans="1:19">
      <c r="A229" s="44">
        <v>216</v>
      </c>
      <c r="B229" s="44">
        <f t="shared" si="60"/>
        <v>70.637761622195271</v>
      </c>
      <c r="C229" s="44">
        <f t="shared" si="61"/>
        <v>8.4936696029072838</v>
      </c>
      <c r="D229" s="44">
        <f t="shared" si="49"/>
        <v>5941.4931418724391</v>
      </c>
      <c r="E229" s="44">
        <f t="shared" si="56"/>
        <v>1193.6068005118543</v>
      </c>
      <c r="F229" s="44">
        <f t="shared" si="57"/>
        <v>895.20510038389079</v>
      </c>
      <c r="G229" s="44">
        <f t="shared" si="58"/>
        <v>298.40170012796358</v>
      </c>
      <c r="H229" s="44">
        <f t="shared" si="59"/>
        <v>118.82986283744879</v>
      </c>
      <c r="I229" s="44">
        <f t="shared" si="50"/>
        <v>179.57183729051479</v>
      </c>
      <c r="J229" s="100">
        <f t="shared" si="51"/>
        <v>3.0224176823446126E-2</v>
      </c>
      <c r="K229" s="100">
        <f t="shared" si="52"/>
        <v>3.0207252987458428E-2</v>
      </c>
      <c r="L229" s="44">
        <f t="shared" si="53"/>
        <v>4.9777641509117982</v>
      </c>
      <c r="M229" s="100">
        <f t="shared" si="54"/>
        <v>6.0268022128980879E-2</v>
      </c>
      <c r="N229" s="44"/>
      <c r="O229" s="44"/>
      <c r="P229" s="40">
        <f t="shared" si="55"/>
        <v>140.52898880164784</v>
      </c>
      <c r="Q229" s="101">
        <f t="shared" si="62"/>
        <v>2.0007181175701303E-2</v>
      </c>
      <c r="S229" s="101"/>
    </row>
    <row r="230" spans="1:19">
      <c r="A230" s="44">
        <v>217</v>
      </c>
      <c r="B230" s="44">
        <f t="shared" si="60"/>
        <v>72.050516854639184</v>
      </c>
      <c r="C230" s="44">
        <f t="shared" si="61"/>
        <v>8.5786062989363572</v>
      </c>
      <c r="D230" s="44">
        <f t="shared" si="49"/>
        <v>6121.0649791629539</v>
      </c>
      <c r="E230" s="44">
        <f t="shared" si="56"/>
        <v>1229.6620876719041</v>
      </c>
      <c r="F230" s="44">
        <f t="shared" si="57"/>
        <v>922.24656575392805</v>
      </c>
      <c r="G230" s="44">
        <f t="shared" si="58"/>
        <v>307.41552191797604</v>
      </c>
      <c r="H230" s="44">
        <f t="shared" si="59"/>
        <v>122.42129958325908</v>
      </c>
      <c r="I230" s="44">
        <f t="shared" si="50"/>
        <v>184.99422233471694</v>
      </c>
      <c r="J230" s="100">
        <f t="shared" si="51"/>
        <v>3.0223351774150743E-2</v>
      </c>
      <c r="K230" s="100">
        <f t="shared" si="52"/>
        <v>3.0207005476668065E-2</v>
      </c>
      <c r="L230" s="44">
        <f t="shared" si="53"/>
        <v>4.9778431331097224</v>
      </c>
      <c r="M230" s="100">
        <f t="shared" si="54"/>
        <v>6.0267065871275484E-2</v>
      </c>
      <c r="N230" s="44"/>
      <c r="O230" s="44"/>
      <c r="P230" s="40">
        <f t="shared" si="55"/>
        <v>143.34054330298002</v>
      </c>
      <c r="Q230" s="101">
        <f t="shared" si="62"/>
        <v>2.00069361155128E-2</v>
      </c>
      <c r="S230" s="101"/>
    </row>
    <row r="231" spans="1:19">
      <c r="A231" s="44">
        <v>218</v>
      </c>
      <c r="B231" s="44">
        <f t="shared" si="60"/>
        <v>73.491527191731976</v>
      </c>
      <c r="C231" s="44">
        <f t="shared" si="61"/>
        <v>8.6643923619257208</v>
      </c>
      <c r="D231" s="44">
        <f t="shared" si="49"/>
        <v>6306.059201497671</v>
      </c>
      <c r="E231" s="44">
        <f t="shared" si="56"/>
        <v>1266.8062031247825</v>
      </c>
      <c r="F231" s="44">
        <f t="shared" si="57"/>
        <v>950.10465234358685</v>
      </c>
      <c r="G231" s="44">
        <f t="shared" si="58"/>
        <v>316.70155078119564</v>
      </c>
      <c r="H231" s="44">
        <f t="shared" si="59"/>
        <v>126.12118402995343</v>
      </c>
      <c r="I231" s="44">
        <f t="shared" si="50"/>
        <v>190.5803667512422</v>
      </c>
      <c r="J231" s="100">
        <f t="shared" si="51"/>
        <v>3.0222554892729587E-2</v>
      </c>
      <c r="K231" s="100">
        <f t="shared" si="52"/>
        <v>3.0206766415969321E-2</v>
      </c>
      <c r="L231" s="44">
        <f t="shared" si="53"/>
        <v>4.9779194212522446</v>
      </c>
      <c r="M231" s="100">
        <f t="shared" si="54"/>
        <v>6.0266142259999066E-2</v>
      </c>
      <c r="N231" s="44"/>
      <c r="O231" s="44"/>
      <c r="P231" s="40">
        <f t="shared" si="55"/>
        <v>146.20831446779334</v>
      </c>
      <c r="Q231" s="101">
        <f t="shared" si="62"/>
        <v>2.0006699421751803E-2</v>
      </c>
      <c r="S231" s="101"/>
    </row>
    <row r="232" spans="1:19">
      <c r="A232" s="44">
        <v>219</v>
      </c>
      <c r="B232" s="44">
        <f t="shared" si="60"/>
        <v>74.961357735566622</v>
      </c>
      <c r="C232" s="44">
        <f t="shared" si="61"/>
        <v>8.7510362855449788</v>
      </c>
      <c r="D232" s="44">
        <f t="shared" si="49"/>
        <v>6496.6395682489128</v>
      </c>
      <c r="E232" s="44">
        <f t="shared" si="56"/>
        <v>1305.0720296921568</v>
      </c>
      <c r="F232" s="44">
        <f t="shared" si="57"/>
        <v>978.80402226911758</v>
      </c>
      <c r="G232" s="44">
        <f t="shared" si="58"/>
        <v>326.26800742303919</v>
      </c>
      <c r="H232" s="44">
        <f t="shared" si="59"/>
        <v>129.93279136497827</v>
      </c>
      <c r="I232" s="44">
        <f t="shared" si="50"/>
        <v>196.33521605806092</v>
      </c>
      <c r="J232" s="100">
        <f t="shared" si="51"/>
        <v>3.0221785216665832E-2</v>
      </c>
      <c r="K232" s="100">
        <f t="shared" si="52"/>
        <v>3.0206535516628653E-2</v>
      </c>
      <c r="L232" s="44">
        <f t="shared" si="53"/>
        <v>4.977993107232062</v>
      </c>
      <c r="M232" s="100">
        <f t="shared" si="54"/>
        <v>6.0265250179667378E-2</v>
      </c>
      <c r="N232" s="44"/>
      <c r="O232" s="44"/>
      <c r="P232" s="40">
        <f t="shared" si="55"/>
        <v>149.13342684315955</v>
      </c>
      <c r="Q232" s="101">
        <f t="shared" si="62"/>
        <v>2.0006470808543196E-2</v>
      </c>
      <c r="S232" s="101"/>
    </row>
    <row r="233" spans="1:19">
      <c r="A233" s="44">
        <v>220</v>
      </c>
      <c r="B233" s="44">
        <f t="shared" si="60"/>
        <v>76.460584890277957</v>
      </c>
      <c r="C233" s="44">
        <f t="shared" si="61"/>
        <v>8.8385466484004294</v>
      </c>
      <c r="D233" s="44">
        <f t="shared" si="49"/>
        <v>6692.9747843069736</v>
      </c>
      <c r="E233" s="44">
        <f t="shared" si="56"/>
        <v>1344.4934432557739</v>
      </c>
      <c r="F233" s="44">
        <f t="shared" si="57"/>
        <v>1008.3700824418304</v>
      </c>
      <c r="G233" s="44">
        <f t="shared" si="58"/>
        <v>336.12336081394346</v>
      </c>
      <c r="H233" s="44">
        <f t="shared" si="59"/>
        <v>133.85949568613947</v>
      </c>
      <c r="I233" s="44">
        <f t="shared" si="50"/>
        <v>202.263865127804</v>
      </c>
      <c r="J233" s="100">
        <f t="shared" si="51"/>
        <v>3.0221041816389453E-2</v>
      </c>
      <c r="K233" s="100">
        <f t="shared" si="52"/>
        <v>3.0206312499790444E-2</v>
      </c>
      <c r="L233" s="44">
        <f t="shared" si="53"/>
        <v>4.9780642798075103</v>
      </c>
      <c r="M233" s="100">
        <f t="shared" si="54"/>
        <v>6.0264388552973898E-2</v>
      </c>
      <c r="N233" s="44"/>
      <c r="O233" s="44"/>
      <c r="P233" s="40">
        <f t="shared" si="55"/>
        <v>152.11702746390955</v>
      </c>
      <c r="Q233" s="101">
        <f t="shared" si="62"/>
        <v>2.0006249999792371E-2</v>
      </c>
      <c r="S233" s="101"/>
    </row>
    <row r="234" spans="1:19">
      <c r="A234" s="44">
        <v>221</v>
      </c>
      <c r="B234" s="44">
        <f t="shared" si="60"/>
        <v>77.989796588083522</v>
      </c>
      <c r="C234" s="44">
        <f t="shared" si="61"/>
        <v>8.9269321148844334</v>
      </c>
      <c r="D234" s="44">
        <f t="shared" si="49"/>
        <v>6895.2386494347775</v>
      </c>
      <c r="E234" s="44">
        <f t="shared" si="56"/>
        <v>1385.1053427478885</v>
      </c>
      <c r="F234" s="44">
        <f t="shared" si="57"/>
        <v>1038.8290070609164</v>
      </c>
      <c r="G234" s="44">
        <f t="shared" si="58"/>
        <v>346.27633568697212</v>
      </c>
      <c r="H234" s="44">
        <f t="shared" si="59"/>
        <v>137.90477298869556</v>
      </c>
      <c r="I234" s="44">
        <f t="shared" si="50"/>
        <v>208.37156269827656</v>
      </c>
      <c r="J234" s="100">
        <f t="shared" si="51"/>
        <v>3.0220323794144906E-2</v>
      </c>
      <c r="K234" s="100">
        <f t="shared" si="52"/>
        <v>3.0206097096145294E-2</v>
      </c>
      <c r="L234" s="44">
        <f t="shared" si="53"/>
        <v>4.9781330247094591</v>
      </c>
      <c r="M234" s="100">
        <f t="shared" si="54"/>
        <v>6.02635563394791E-2</v>
      </c>
      <c r="N234" s="44"/>
      <c r="O234" s="44"/>
      <c r="P234" s="40">
        <f t="shared" si="55"/>
        <v>155.16028630243704</v>
      </c>
      <c r="Q234" s="101">
        <f t="shared" si="62"/>
        <v>2.0006036728856796E-2</v>
      </c>
      <c r="S234" s="101"/>
    </row>
    <row r="235" spans="1:19">
      <c r="A235" s="44">
        <v>222</v>
      </c>
      <c r="B235" s="44">
        <f t="shared" si="60"/>
        <v>79.549592519845191</v>
      </c>
      <c r="C235" s="44">
        <f t="shared" si="61"/>
        <v>9.0162014360332776</v>
      </c>
      <c r="D235" s="44">
        <f t="shared" si="49"/>
        <v>7103.6102121330541</v>
      </c>
      <c r="E235" s="44">
        <f t="shared" si="56"/>
        <v>1426.9436810473917</v>
      </c>
      <c r="F235" s="44">
        <f t="shared" si="57"/>
        <v>1070.2077607855438</v>
      </c>
      <c r="G235" s="44">
        <f t="shared" si="58"/>
        <v>356.73592026184792</v>
      </c>
      <c r="H235" s="44">
        <f t="shared" si="59"/>
        <v>142.07220424266109</v>
      </c>
      <c r="I235" s="44">
        <f t="shared" si="50"/>
        <v>214.66371601918684</v>
      </c>
      <c r="J235" s="100">
        <f t="shared" si="51"/>
        <v>3.0219630282899267E-2</v>
      </c>
      <c r="K235" s="100">
        <f t="shared" si="52"/>
        <v>3.020588904559476E-2</v>
      </c>
      <c r="L235" s="44">
        <f t="shared" si="53"/>
        <v>4.9781994247445907</v>
      </c>
      <c r="M235" s="100">
        <f t="shared" si="54"/>
        <v>6.0262752534344613E-2</v>
      </c>
      <c r="N235" s="44"/>
      <c r="O235" s="44"/>
      <c r="P235" s="40">
        <f t="shared" si="55"/>
        <v>158.26439672749621</v>
      </c>
      <c r="Q235" s="101">
        <f t="shared" si="62"/>
        <v>2.0005830738212594E-2</v>
      </c>
      <c r="S235" s="101"/>
    </row>
    <row r="236" spans="1:19">
      <c r="A236" s="44">
        <v>223</v>
      </c>
      <c r="B236" s="44">
        <f t="shared" si="60"/>
        <v>81.140584370242095</v>
      </c>
      <c r="C236" s="44">
        <f t="shared" si="61"/>
        <v>9.1063634503936104</v>
      </c>
      <c r="D236" s="44">
        <f t="shared" si="49"/>
        <v>7318.2739281522408</v>
      </c>
      <c r="E236" s="44">
        <f t="shared" si="56"/>
        <v>1470.045496809016</v>
      </c>
      <c r="F236" s="44">
        <f t="shared" si="57"/>
        <v>1102.5341226067619</v>
      </c>
      <c r="G236" s="44">
        <f t="shared" si="58"/>
        <v>367.51137420225399</v>
      </c>
      <c r="H236" s="44">
        <f t="shared" si="59"/>
        <v>146.36547856304483</v>
      </c>
      <c r="I236" s="44">
        <f t="shared" si="50"/>
        <v>221.14589563920916</v>
      </c>
      <c r="J236" s="100">
        <f t="shared" si="51"/>
        <v>3.0218960445287164E-2</v>
      </c>
      <c r="K236" s="100">
        <f t="shared" si="52"/>
        <v>3.020568809694513E-2</v>
      </c>
      <c r="L236" s="44">
        <f t="shared" si="53"/>
        <v>4.9782635598951188</v>
      </c>
      <c r="M236" s="100">
        <f t="shared" si="54"/>
        <v>6.0261976167111639E-2</v>
      </c>
      <c r="N236" s="44"/>
      <c r="O236" s="44"/>
      <c r="P236" s="40">
        <f t="shared" si="55"/>
        <v>161.43057597217637</v>
      </c>
      <c r="Q236" s="101">
        <f t="shared" si="62"/>
        <v>2.0005631779153564E-2</v>
      </c>
      <c r="S236" s="101"/>
    </row>
    <row r="237" spans="1:19">
      <c r="A237" s="44">
        <v>224</v>
      </c>
      <c r="B237" s="44">
        <f t="shared" si="60"/>
        <v>82.763396057646943</v>
      </c>
      <c r="C237" s="44">
        <f t="shared" si="61"/>
        <v>9.1974270848975461</v>
      </c>
      <c r="D237" s="44">
        <f t="shared" si="49"/>
        <v>7539.4198237914497</v>
      </c>
      <c r="E237" s="44">
        <f t="shared" si="56"/>
        <v>1514.4489472537728</v>
      </c>
      <c r="F237" s="44">
        <f t="shared" si="57"/>
        <v>1135.8367104403296</v>
      </c>
      <c r="G237" s="44">
        <f t="shared" si="58"/>
        <v>378.61223681344319</v>
      </c>
      <c r="H237" s="44">
        <f t="shared" si="59"/>
        <v>150.78839647582899</v>
      </c>
      <c r="I237" s="44">
        <f t="shared" si="50"/>
        <v>227.8238403376142</v>
      </c>
      <c r="J237" s="100">
        <f t="shared" si="51"/>
        <v>3.0218313472592993E-2</v>
      </c>
      <c r="K237" s="100">
        <f t="shared" si="52"/>
        <v>3.0205494007595035E-2</v>
      </c>
      <c r="L237" s="44">
        <f t="shared" si="53"/>
        <v>4.9783255074151311</v>
      </c>
      <c r="M237" s="100">
        <f t="shared" si="54"/>
        <v>6.0261226300521151E-2</v>
      </c>
      <c r="N237" s="44"/>
      <c r="O237" s="44"/>
      <c r="P237" s="40">
        <f t="shared" si="55"/>
        <v>164.66006561123424</v>
      </c>
      <c r="Q237" s="101">
        <f t="shared" si="62"/>
        <v>2.0005439611480404E-2</v>
      </c>
      <c r="S237" s="101"/>
    </row>
    <row r="238" spans="1:19">
      <c r="A238" s="44">
        <v>225</v>
      </c>
      <c r="B238" s="44">
        <f t="shared" si="60"/>
        <v>84.418663978799884</v>
      </c>
      <c r="C238" s="44">
        <f t="shared" si="61"/>
        <v>9.2894013557465218</v>
      </c>
      <c r="D238" s="44">
        <f t="shared" si="49"/>
        <v>7767.2436641290642</v>
      </c>
      <c r="E238" s="44">
        <f t="shared" si="56"/>
        <v>1560.1933419496629</v>
      </c>
      <c r="F238" s="44">
        <f t="shared" si="57"/>
        <v>1170.1450064622472</v>
      </c>
      <c r="G238" s="44">
        <f t="shared" si="58"/>
        <v>390.04833548741573</v>
      </c>
      <c r="H238" s="44">
        <f t="shared" si="59"/>
        <v>155.34487328258129</v>
      </c>
      <c r="I238" s="44">
        <f t="shared" si="50"/>
        <v>234.70346220483444</v>
      </c>
      <c r="J238" s="100">
        <f t="shared" si="51"/>
        <v>3.0217688583767659E-2</v>
      </c>
      <c r="K238" s="100">
        <f t="shared" si="52"/>
        <v>3.0205306543241873E-2</v>
      </c>
      <c r="L238" s="44">
        <f t="shared" si="53"/>
        <v>4.9783853419236435</v>
      </c>
      <c r="M238" s="100">
        <f t="shared" si="54"/>
        <v>6.0260502029374906E-2</v>
      </c>
      <c r="N238" s="44"/>
      <c r="O238" s="44"/>
      <c r="P238" s="40">
        <f t="shared" si="55"/>
        <v>167.95413204797217</v>
      </c>
      <c r="Q238" s="101">
        <f t="shared" si="62"/>
        <v>2.0005254003209735E-2</v>
      </c>
      <c r="S238" s="101"/>
    </row>
    <row r="239" spans="1:19">
      <c r="A239" s="44">
        <v>226</v>
      </c>
      <c r="B239" s="44">
        <f t="shared" si="60"/>
        <v>86.107037258375883</v>
      </c>
      <c r="C239" s="44">
        <f t="shared" si="61"/>
        <v>9.3822953693039874</v>
      </c>
      <c r="D239" s="44">
        <f t="shared" si="49"/>
        <v>8001.9471263338983</v>
      </c>
      <c r="E239" s="44">
        <f t="shared" si="56"/>
        <v>1607.3191776125573</v>
      </c>
      <c r="F239" s="44">
        <f t="shared" si="57"/>
        <v>1205.4893832094181</v>
      </c>
      <c r="G239" s="44">
        <f t="shared" si="58"/>
        <v>401.82979440313932</v>
      </c>
      <c r="H239" s="44">
        <f t="shared" si="59"/>
        <v>160.03894252667797</v>
      </c>
      <c r="I239" s="44">
        <f t="shared" si="50"/>
        <v>241.79085187646135</v>
      </c>
      <c r="J239" s="100">
        <f t="shared" si="51"/>
        <v>3.0217085024479041E-2</v>
      </c>
      <c r="K239" s="100">
        <f t="shared" si="52"/>
        <v>3.0205125477592763E-2</v>
      </c>
      <c r="L239" s="44">
        <f t="shared" si="53"/>
        <v>4.9784431354944987</v>
      </c>
      <c r="M239" s="100">
        <f t="shared" si="54"/>
        <v>6.0259802479435493E-2</v>
      </c>
      <c r="N239" s="44"/>
      <c r="O239" s="44"/>
      <c r="P239" s="40">
        <f t="shared" si="55"/>
        <v>171.3140670108528</v>
      </c>
      <c r="Q239" s="101">
        <f t="shared" si="62"/>
        <v>2.0005074730289712E-2</v>
      </c>
      <c r="S239" s="101"/>
    </row>
    <row r="240" spans="1:19">
      <c r="A240" s="44">
        <v>227</v>
      </c>
      <c r="B240" s="44">
        <f t="shared" si="60"/>
        <v>87.829178003543404</v>
      </c>
      <c r="C240" s="44">
        <f t="shared" si="61"/>
        <v>9.4761183229970278</v>
      </c>
      <c r="D240" s="44">
        <f t="shared" si="49"/>
        <v>8243.7379782103599</v>
      </c>
      <c r="E240" s="44">
        <f t="shared" si="56"/>
        <v>1655.868173958085</v>
      </c>
      <c r="F240" s="44">
        <f t="shared" si="57"/>
        <v>1241.9011304685637</v>
      </c>
      <c r="G240" s="44">
        <f t="shared" si="58"/>
        <v>413.96704348952125</v>
      </c>
      <c r="H240" s="44">
        <f t="shared" si="59"/>
        <v>164.87475956420721</v>
      </c>
      <c r="I240" s="44">
        <f t="shared" si="50"/>
        <v>249.09228392531404</v>
      </c>
      <c r="J240" s="100">
        <f t="shared" si="51"/>
        <v>3.0216502066196277E-2</v>
      </c>
      <c r="K240" s="100">
        <f t="shared" si="52"/>
        <v>3.0204950592103492E-2</v>
      </c>
      <c r="L240" s="44">
        <f t="shared" si="53"/>
        <v>4.9784989577431382</v>
      </c>
      <c r="M240" s="100">
        <f t="shared" si="54"/>
        <v>6.0259126806365047E-2</v>
      </c>
      <c r="N240" s="44"/>
      <c r="O240" s="44"/>
      <c r="P240" s="40">
        <f t="shared" si="55"/>
        <v>174.74118806004745</v>
      </c>
      <c r="Q240" s="101">
        <f t="shared" si="62"/>
        <v>2.0004901576340162E-2</v>
      </c>
      <c r="S240" s="101"/>
    </row>
    <row r="241" spans="1:19">
      <c r="A241" s="44">
        <v>228</v>
      </c>
      <c r="B241" s="44">
        <f t="shared" si="60"/>
        <v>89.58576156361427</v>
      </c>
      <c r="C241" s="44">
        <f t="shared" si="61"/>
        <v>9.5708795062269978</v>
      </c>
      <c r="D241" s="44">
        <f t="shared" si="49"/>
        <v>8492.8302621356743</v>
      </c>
      <c r="E241" s="44">
        <f t="shared" si="56"/>
        <v>1705.883310636227</v>
      </c>
      <c r="F241" s="44">
        <f t="shared" si="57"/>
        <v>1279.4124829771702</v>
      </c>
      <c r="G241" s="44">
        <f t="shared" si="58"/>
        <v>426.47082765905674</v>
      </c>
      <c r="H241" s="44">
        <f t="shared" si="59"/>
        <v>169.8566052427135</v>
      </c>
      <c r="I241" s="44">
        <f t="shared" si="50"/>
        <v>256.61422241634324</v>
      </c>
      <c r="J241" s="100">
        <f t="shared" si="51"/>
        <v>3.0215939005304251E-2</v>
      </c>
      <c r="K241" s="100">
        <f t="shared" si="52"/>
        <v>3.0204781675698785E-2</v>
      </c>
      <c r="L241" s="44">
        <f t="shared" si="53"/>
        <v>4.978552875910478</v>
      </c>
      <c r="M241" s="100">
        <f t="shared" si="54"/>
        <v>6.0258474194699797E-2</v>
      </c>
      <c r="N241" s="44"/>
      <c r="O241" s="44"/>
      <c r="P241" s="40">
        <f t="shared" si="55"/>
        <v>178.23683910411228</v>
      </c>
      <c r="Q241" s="101">
        <f t="shared" si="62"/>
        <v>2.0004734332375006E-2</v>
      </c>
      <c r="S241" s="101"/>
    </row>
    <row r="242" spans="1:19">
      <c r="A242" s="44">
        <v>229</v>
      </c>
      <c r="B242" s="44">
        <f t="shared" si="60"/>
        <v>91.377476794886562</v>
      </c>
      <c r="C242" s="44">
        <f t="shared" si="61"/>
        <v>9.6665883012892682</v>
      </c>
      <c r="D242" s="44">
        <f t="shared" si="49"/>
        <v>8749.4444845520175</v>
      </c>
      <c r="E242" s="44">
        <f t="shared" si="56"/>
        <v>1757.4088652813368</v>
      </c>
      <c r="F242" s="44">
        <f t="shared" si="57"/>
        <v>1318.0566489610026</v>
      </c>
      <c r="G242" s="44">
        <f t="shared" si="58"/>
        <v>439.35221632033421</v>
      </c>
      <c r="H242" s="44">
        <f t="shared" si="59"/>
        <v>174.98888969104036</v>
      </c>
      <c r="I242" s="44">
        <f t="shared" si="50"/>
        <v>264.36332662929385</v>
      </c>
      <c r="J242" s="100">
        <f t="shared" si="51"/>
        <v>3.0215395162249827E-2</v>
      </c>
      <c r="K242" s="100">
        <f t="shared" si="52"/>
        <v>3.0204618524518473E-2</v>
      </c>
      <c r="L242" s="44">
        <f t="shared" si="53"/>
        <v>4.9786049549439095</v>
      </c>
      <c r="M242" s="100">
        <f t="shared" si="54"/>
        <v>6.0257843856860074E-2</v>
      </c>
      <c r="N242" s="44"/>
      <c r="O242" s="44"/>
      <c r="P242" s="40">
        <f t="shared" si="55"/>
        <v>181.80239092699799</v>
      </c>
      <c r="Q242" s="101">
        <f t="shared" si="62"/>
        <v>2.0004572796552947E-2</v>
      </c>
      <c r="S242" s="101"/>
    </row>
    <row r="243" spans="1:19">
      <c r="A243" s="44">
        <v>230</v>
      </c>
      <c r="B243" s="44">
        <f t="shared" si="60"/>
        <v>93.205026330784293</v>
      </c>
      <c r="C243" s="44">
        <f t="shared" si="61"/>
        <v>9.763254184302161</v>
      </c>
      <c r="D243" s="44">
        <f t="shared" si="49"/>
        <v>9013.807811181312</v>
      </c>
      <c r="E243" s="44">
        <f t="shared" si="56"/>
        <v>1810.4904527112869</v>
      </c>
      <c r="F243" s="44">
        <f t="shared" si="57"/>
        <v>1357.8678395334653</v>
      </c>
      <c r="G243" s="44">
        <f t="shared" si="58"/>
        <v>452.62261317782173</v>
      </c>
      <c r="H243" s="44">
        <f t="shared" si="59"/>
        <v>180.27615622362623</v>
      </c>
      <c r="I243" s="44">
        <f t="shared" si="50"/>
        <v>272.3464569541955</v>
      </c>
      <c r="J243" s="100">
        <f t="shared" si="51"/>
        <v>3.0214869880716807E-2</v>
      </c>
      <c r="K243" s="100">
        <f t="shared" si="52"/>
        <v>3.0204460941678748E-2</v>
      </c>
      <c r="L243" s="44">
        <f t="shared" si="53"/>
        <v>4.9786552575755092</v>
      </c>
      <c r="M243" s="100">
        <f t="shared" si="54"/>
        <v>6.0257235032194836E-2</v>
      </c>
      <c r="N243" s="44"/>
      <c r="O243" s="44"/>
      <c r="P243" s="40">
        <f t="shared" si="55"/>
        <v>185.43924172560028</v>
      </c>
      <c r="Q243" s="101">
        <f t="shared" si="62"/>
        <v>2.0004416773939233E-2</v>
      </c>
      <c r="S243" s="101"/>
    </row>
    <row r="244" spans="1:19">
      <c r="A244" s="44">
        <v>231</v>
      </c>
      <c r="B244" s="44">
        <f t="shared" si="60"/>
        <v>95.069126857399979</v>
      </c>
      <c r="C244" s="44">
        <f t="shared" si="61"/>
        <v>9.860886726145182</v>
      </c>
      <c r="D244" s="44">
        <f t="shared" si="49"/>
        <v>9286.1542681355077</v>
      </c>
      <c r="E244" s="44">
        <f t="shared" si="56"/>
        <v>1865.175065310415</v>
      </c>
      <c r="F244" s="44">
        <f t="shared" si="57"/>
        <v>1398.8812989828111</v>
      </c>
      <c r="G244" s="44">
        <f t="shared" si="58"/>
        <v>466.29376632760375</v>
      </c>
      <c r="H244" s="44">
        <f t="shared" si="59"/>
        <v>185.72308536271015</v>
      </c>
      <c r="I244" s="44">
        <f t="shared" si="50"/>
        <v>280.5706809648936</v>
      </c>
      <c r="J244" s="100">
        <f t="shared" si="51"/>
        <v>3.0214362526829058E-2</v>
      </c>
      <c r="K244" s="100">
        <f t="shared" si="52"/>
        <v>3.0204308737025103E-2</v>
      </c>
      <c r="L244" s="44">
        <f t="shared" si="53"/>
        <v>4.9787038443976002</v>
      </c>
      <c r="M244" s="100">
        <f t="shared" si="54"/>
        <v>6.0256646986058794E-2</v>
      </c>
      <c r="N244" s="44"/>
      <c r="O244" s="44"/>
      <c r="P244" s="40">
        <f t="shared" si="55"/>
        <v>189.14881765805956</v>
      </c>
      <c r="Q244" s="101">
        <f t="shared" si="62"/>
        <v>2.0004266076262534E-2</v>
      </c>
      <c r="S244" s="101"/>
    </row>
    <row r="245" spans="1:19">
      <c r="A245" s="44">
        <v>232</v>
      </c>
      <c r="B245" s="44">
        <f t="shared" si="60"/>
        <v>96.970509394547975</v>
      </c>
      <c r="C245" s="44">
        <f t="shared" si="61"/>
        <v>9.9594955934066345</v>
      </c>
      <c r="D245" s="44">
        <f t="shared" si="49"/>
        <v>9566.7249491004004</v>
      </c>
      <c r="E245" s="44">
        <f t="shared" si="56"/>
        <v>1921.5111146320316</v>
      </c>
      <c r="F245" s="44">
        <f t="shared" si="57"/>
        <v>1441.1333359740238</v>
      </c>
      <c r="G245" s="44">
        <f t="shared" si="58"/>
        <v>480.37777865800791</v>
      </c>
      <c r="H245" s="44">
        <f t="shared" si="59"/>
        <v>191.334498982008</v>
      </c>
      <c r="I245" s="44">
        <f t="shared" si="50"/>
        <v>289.04327967599988</v>
      </c>
      <c r="J245" s="100">
        <f t="shared" si="51"/>
        <v>3.021387248838224E-2</v>
      </c>
      <c r="K245" s="100">
        <f t="shared" si="52"/>
        <v>3.0204161726899791E-2</v>
      </c>
      <c r="L245" s="44">
        <f t="shared" si="53"/>
        <v>4.9787507739357642</v>
      </c>
      <c r="M245" s="100">
        <f t="shared" si="54"/>
        <v>6.0256079008921E-2</v>
      </c>
      <c r="N245" s="44"/>
      <c r="O245" s="44"/>
      <c r="P245" s="40">
        <f t="shared" si="55"/>
        <v>192.9325734030252</v>
      </c>
      <c r="Q245" s="101">
        <f t="shared" si="62"/>
        <v>2.0004120521682899E-2</v>
      </c>
      <c r="S245" s="101"/>
    </row>
    <row r="246" spans="1:19">
      <c r="A246" s="44">
        <v>233</v>
      </c>
      <c r="B246" s="44">
        <f t="shared" si="60"/>
        <v>98.909919582438931</v>
      </c>
      <c r="C246" s="44">
        <f t="shared" si="61"/>
        <v>10.0590905493407</v>
      </c>
      <c r="D246" s="44">
        <f t="shared" ref="D246:D309" si="63">D245+I245</f>
        <v>9855.7682287764001</v>
      </c>
      <c r="E246" s="44">
        <f t="shared" si="56"/>
        <v>1979.5484742573462</v>
      </c>
      <c r="F246" s="44">
        <f t="shared" si="57"/>
        <v>1484.6613556930097</v>
      </c>
      <c r="G246" s="44">
        <f t="shared" si="58"/>
        <v>494.88711856433656</v>
      </c>
      <c r="H246" s="44">
        <f t="shared" si="59"/>
        <v>197.11536457552802</v>
      </c>
      <c r="I246" s="44">
        <f t="shared" ref="I246:I309" si="64">G246-H246</f>
        <v>297.77175398880854</v>
      </c>
      <c r="J246" s="100">
        <f t="shared" ref="J246:J309" si="65">(D246-D245)/D245</f>
        <v>3.0213399174100812E-2</v>
      </c>
      <c r="K246" s="100">
        <f t="shared" ref="K246:K309" si="66">(E246-E245)/E245</f>
        <v>3.0204019733931498E-2</v>
      </c>
      <c r="L246" s="44">
        <f t="shared" ref="L246:L309" si="67">D246/E246</f>
        <v>4.9787961027192935</v>
      </c>
      <c r="M246" s="100">
        <f t="shared" ref="M246:M309" si="68">alpha/L246</f>
        <v>6.0255530415504965E-2</v>
      </c>
      <c r="N246" s="44"/>
      <c r="O246" s="44"/>
      <c r="P246" s="40">
        <f t="shared" ref="P246:P309" si="69">E246/C246</f>
        <v>196.7919927301073</v>
      </c>
      <c r="Q246" s="101">
        <f t="shared" si="62"/>
        <v>2.0003979934585674E-2</v>
      </c>
      <c r="S246" s="101"/>
    </row>
    <row r="247" spans="1:19">
      <c r="A247" s="44">
        <v>234</v>
      </c>
      <c r="B247" s="44">
        <f t="shared" si="60"/>
        <v>100.88811797408771</v>
      </c>
      <c r="C247" s="44">
        <f t="shared" si="61"/>
        <v>10.159681454834107</v>
      </c>
      <c r="D247" s="44">
        <f t="shared" si="63"/>
        <v>10153.539982765209</v>
      </c>
      <c r="E247" s="44">
        <f t="shared" si="56"/>
        <v>2039.3385239487031</v>
      </c>
      <c r="F247" s="44">
        <f t="shared" si="57"/>
        <v>1529.5038929615273</v>
      </c>
      <c r="G247" s="44">
        <f t="shared" si="58"/>
        <v>509.83463098717579</v>
      </c>
      <c r="H247" s="44">
        <f t="shared" si="59"/>
        <v>203.0707996553042</v>
      </c>
      <c r="I247" s="44">
        <f t="shared" si="64"/>
        <v>306.76383133187159</v>
      </c>
      <c r="J247" s="100">
        <f t="shared" si="65"/>
        <v>3.0212942012920848E-2</v>
      </c>
      <c r="K247" s="100">
        <f t="shared" si="66"/>
        <v>3.0203882586804513E-2</v>
      </c>
      <c r="L247" s="44">
        <f t="shared" si="67"/>
        <v>4.9788398853493181</v>
      </c>
      <c r="M247" s="100">
        <f t="shared" si="68"/>
        <v>6.0255000543957403E-2</v>
      </c>
      <c r="N247" s="44"/>
      <c r="O247" s="44"/>
      <c r="P247" s="40">
        <f t="shared" si="69"/>
        <v>200.72858908173342</v>
      </c>
      <c r="Q247" s="101">
        <f t="shared" si="62"/>
        <v>2.0003844145351043E-2</v>
      </c>
      <c r="S247" s="101"/>
    </row>
    <row r="248" spans="1:19">
      <c r="A248" s="44">
        <v>235</v>
      </c>
      <c r="B248" s="44">
        <f t="shared" si="60"/>
        <v>102.90588033356946</v>
      </c>
      <c r="C248" s="44">
        <f t="shared" si="61"/>
        <v>10.261278269382448</v>
      </c>
      <c r="D248" s="44">
        <f t="shared" si="63"/>
        <v>10460.30381409708</v>
      </c>
      <c r="E248" s="44">
        <f t="shared" si="56"/>
        <v>2100.9341951362676</v>
      </c>
      <c r="F248" s="44">
        <f t="shared" si="57"/>
        <v>1575.7006463522007</v>
      </c>
      <c r="G248" s="44">
        <f t="shared" si="58"/>
        <v>525.2335487840669</v>
      </c>
      <c r="H248" s="44">
        <f t="shared" si="59"/>
        <v>209.20607628194162</v>
      </c>
      <c r="I248" s="44">
        <f t="shared" si="64"/>
        <v>316.02747250212531</v>
      </c>
      <c r="J248" s="100">
        <f t="shared" si="65"/>
        <v>3.0212500453297798E-2</v>
      </c>
      <c r="K248" s="100">
        <f t="shared" si="66"/>
        <v>3.0203750120062857E-2</v>
      </c>
      <c r="L248" s="44">
        <f t="shared" si="67"/>
        <v>4.9788821745645491</v>
      </c>
      <c r="M248" s="100">
        <f t="shared" si="68"/>
        <v>6.0254488755046277E-2</v>
      </c>
      <c r="N248" s="44"/>
      <c r="O248" s="44"/>
      <c r="P248" s="40">
        <f t="shared" si="69"/>
        <v>204.74390616664445</v>
      </c>
      <c r="Q248" s="101">
        <f t="shared" si="62"/>
        <v>2.0003712990161359E-2</v>
      </c>
      <c r="S248" s="101"/>
    </row>
    <row r="249" spans="1:19">
      <c r="A249" s="44">
        <v>236</v>
      </c>
      <c r="B249" s="44">
        <f t="shared" si="60"/>
        <v>104.96399794024084</v>
      </c>
      <c r="C249" s="44">
        <f t="shared" si="61"/>
        <v>10.363891052076273</v>
      </c>
      <c r="D249" s="44">
        <f t="shared" si="63"/>
        <v>10776.331286599205</v>
      </c>
      <c r="E249" s="44">
        <f t="shared" si="56"/>
        <v>2164.3900177783967</v>
      </c>
      <c r="F249" s="44">
        <f t="shared" si="57"/>
        <v>1623.2925133337976</v>
      </c>
      <c r="G249" s="44">
        <f t="shared" si="58"/>
        <v>541.09750444459917</v>
      </c>
      <c r="H249" s="44">
        <f t="shared" si="59"/>
        <v>215.5266257319841</v>
      </c>
      <c r="I249" s="44">
        <f t="shared" si="64"/>
        <v>325.57087871261507</v>
      </c>
      <c r="J249" s="100">
        <f t="shared" si="65"/>
        <v>3.0212073962538496E-2</v>
      </c>
      <c r="K249" s="100">
        <f t="shared" si="66"/>
        <v>3.020362217390312E-2</v>
      </c>
      <c r="L249" s="44">
        <f t="shared" si="67"/>
        <v>4.9789230213048183</v>
      </c>
      <c r="M249" s="100">
        <f t="shared" si="68"/>
        <v>6.0253994431385981E-2</v>
      </c>
      <c r="N249" s="44"/>
      <c r="O249" s="44"/>
      <c r="P249" s="40">
        <f t="shared" si="69"/>
        <v>208.83951856525826</v>
      </c>
      <c r="Q249" s="101">
        <f t="shared" si="62"/>
        <v>2.0003586310795119E-2</v>
      </c>
      <c r="S249" s="101"/>
    </row>
    <row r="250" spans="1:19">
      <c r="A250" s="44">
        <v>237</v>
      </c>
      <c r="B250" s="44">
        <f t="shared" si="60"/>
        <v>107.06327789904566</v>
      </c>
      <c r="C250" s="44">
        <f t="shared" si="61"/>
        <v>10.467529962597036</v>
      </c>
      <c r="D250" s="44">
        <f t="shared" si="63"/>
        <v>11101.90216531182</v>
      </c>
      <c r="E250" s="44">
        <f t="shared" si="56"/>
        <v>2229.7621686372022</v>
      </c>
      <c r="F250" s="44">
        <f t="shared" si="57"/>
        <v>1672.3216264779016</v>
      </c>
      <c r="G250" s="44">
        <f t="shared" si="58"/>
        <v>557.44054215930055</v>
      </c>
      <c r="H250" s="44">
        <f t="shared" si="59"/>
        <v>222.0380433062364</v>
      </c>
      <c r="I250" s="44">
        <f t="shared" si="64"/>
        <v>335.40249885306412</v>
      </c>
      <c r="J250" s="100">
        <f t="shared" si="65"/>
        <v>3.0211662026154978E-2</v>
      </c>
      <c r="K250" s="100">
        <f t="shared" si="66"/>
        <v>3.0203498593985256E-2</v>
      </c>
      <c r="L250" s="44">
        <f t="shared" si="67"/>
        <v>4.9789624747724277</v>
      </c>
      <c r="M250" s="100">
        <f t="shared" si="68"/>
        <v>6.025351697668941E-2</v>
      </c>
      <c r="N250" s="44"/>
      <c r="O250" s="44"/>
      <c r="P250" s="40">
        <f t="shared" si="69"/>
        <v>213.01703234714117</v>
      </c>
      <c r="Q250" s="101">
        <f t="shared" si="62"/>
        <v>2.0003463954440772E-2</v>
      </c>
      <c r="S250" s="101"/>
    </row>
    <row r="251" spans="1:19">
      <c r="A251" s="44">
        <v>238</v>
      </c>
      <c r="B251" s="44">
        <f t="shared" si="60"/>
        <v>109.20454345702657</v>
      </c>
      <c r="C251" s="44">
        <f t="shared" si="61"/>
        <v>10.572205262223006</v>
      </c>
      <c r="D251" s="44">
        <f t="shared" si="63"/>
        <v>11437.304664164883</v>
      </c>
      <c r="E251" s="44">
        <f t="shared" si="56"/>
        <v>2297.1085210120254</v>
      </c>
      <c r="F251" s="44">
        <f t="shared" si="57"/>
        <v>1722.8313907590191</v>
      </c>
      <c r="G251" s="44">
        <f t="shared" si="58"/>
        <v>574.27713025300636</v>
      </c>
      <c r="H251" s="44">
        <f t="shared" si="59"/>
        <v>228.74609328329768</v>
      </c>
      <c r="I251" s="44">
        <f t="shared" si="64"/>
        <v>345.53103696970868</v>
      </c>
      <c r="J251" s="100">
        <f t="shared" si="65"/>
        <v>3.0211264147241131E-2</v>
      </c>
      <c r="K251" s="100">
        <f t="shared" si="66"/>
        <v>3.0203379231240772E-2</v>
      </c>
      <c r="L251" s="44">
        <f t="shared" si="67"/>
        <v>4.9790005824914223</v>
      </c>
      <c r="M251" s="100">
        <f t="shared" si="68"/>
        <v>6.0253055815045552E-2</v>
      </c>
      <c r="N251" s="44"/>
      <c r="O251" s="44"/>
      <c r="P251" s="40">
        <f t="shared" si="69"/>
        <v>217.27808570082709</v>
      </c>
      <c r="Q251" s="101">
        <f t="shared" si="62"/>
        <v>2.0003345773505748E-2</v>
      </c>
      <c r="S251" s="101"/>
    </row>
    <row r="252" spans="1:19">
      <c r="A252" s="44">
        <v>239</v>
      </c>
      <c r="B252" s="44">
        <f t="shared" si="60"/>
        <v>111.38863432616711</v>
      </c>
      <c r="C252" s="44">
        <f t="shared" si="61"/>
        <v>10.677927314845236</v>
      </c>
      <c r="D252" s="44">
        <f t="shared" si="63"/>
        <v>11782.835701134592</v>
      </c>
      <c r="E252" s="44">
        <f t="shared" si="56"/>
        <v>2366.4886959748719</v>
      </c>
      <c r="F252" s="44">
        <f t="shared" si="57"/>
        <v>1774.8665219811539</v>
      </c>
      <c r="G252" s="44">
        <f t="shared" si="58"/>
        <v>591.62217399371798</v>
      </c>
      <c r="H252" s="44">
        <f t="shared" si="59"/>
        <v>235.65671402269186</v>
      </c>
      <c r="I252" s="44">
        <f t="shared" si="64"/>
        <v>355.96545997102612</v>
      </c>
      <c r="J252" s="100">
        <f t="shared" si="65"/>
        <v>3.0210879845871327E-2</v>
      </c>
      <c r="K252" s="100">
        <f t="shared" si="66"/>
        <v>3.0203263941696579E-2</v>
      </c>
      <c r="L252" s="44">
        <f t="shared" si="67"/>
        <v>4.9790373903648284</v>
      </c>
      <c r="M252" s="100">
        <f t="shared" si="68"/>
        <v>6.0252610390222061E-2</v>
      </c>
      <c r="N252" s="44"/>
      <c r="O252" s="44"/>
      <c r="P252" s="40">
        <f t="shared" si="69"/>
        <v>221.62434957623339</v>
      </c>
      <c r="Q252" s="101">
        <f t="shared" si="62"/>
        <v>2.0003231625442056E-2</v>
      </c>
      <c r="S252" s="101"/>
    </row>
    <row r="253" spans="1:19">
      <c r="A253" s="44">
        <v>240</v>
      </c>
      <c r="B253" s="44">
        <f t="shared" si="60"/>
        <v>113.61640701269044</v>
      </c>
      <c r="C253" s="44">
        <f t="shared" si="61"/>
        <v>10.784706587993689</v>
      </c>
      <c r="D253" s="44">
        <f t="shared" si="63"/>
        <v>12138.801161105619</v>
      </c>
      <c r="E253" s="44">
        <f t="shared" si="56"/>
        <v>2437.9641151531546</v>
      </c>
      <c r="F253" s="44">
        <f t="shared" si="57"/>
        <v>1828.473086364866</v>
      </c>
      <c r="G253" s="44">
        <f t="shared" si="58"/>
        <v>609.49102878828865</v>
      </c>
      <c r="H253" s="44">
        <f t="shared" si="59"/>
        <v>242.77602322211237</v>
      </c>
      <c r="I253" s="44">
        <f t="shared" si="64"/>
        <v>366.71500556617627</v>
      </c>
      <c r="J253" s="100">
        <f t="shared" si="65"/>
        <v>3.0210508658518421E-2</v>
      </c>
      <c r="K253" s="100">
        <f t="shared" si="66"/>
        <v>3.0203152586299787E-2</v>
      </c>
      <c r="L253" s="44">
        <f t="shared" si="67"/>
        <v>4.9790729427299434</v>
      </c>
      <c r="M253" s="100">
        <f t="shared" si="68"/>
        <v>6.025218016499171E-2</v>
      </c>
      <c r="N253" s="44"/>
      <c r="O253" s="44"/>
      <c r="P253" s="40">
        <f t="shared" si="69"/>
        <v>226.05752833992457</v>
      </c>
      <c r="Q253" s="101">
        <f t="shared" si="62"/>
        <v>2.0003121372574102E-2</v>
      </c>
      <c r="S253" s="101"/>
    </row>
    <row r="254" spans="1:19">
      <c r="A254" s="44">
        <v>241</v>
      </c>
      <c r="B254" s="44">
        <f t="shared" si="60"/>
        <v>115.88873515294425</v>
      </c>
      <c r="C254" s="44">
        <f t="shared" si="61"/>
        <v>10.892553653873627</v>
      </c>
      <c r="D254" s="44">
        <f t="shared" si="63"/>
        <v>12505.516166671796</v>
      </c>
      <c r="E254" s="44">
        <f t="shared" si="56"/>
        <v>2511.5980551064717</v>
      </c>
      <c r="F254" s="44">
        <f t="shared" si="57"/>
        <v>1883.6985413298539</v>
      </c>
      <c r="G254" s="44">
        <f t="shared" si="58"/>
        <v>627.89951377661794</v>
      </c>
      <c r="H254" s="44">
        <f t="shared" si="59"/>
        <v>250.11032333343593</v>
      </c>
      <c r="I254" s="44">
        <f t="shared" si="64"/>
        <v>377.78919044318201</v>
      </c>
      <c r="J254" s="100">
        <f t="shared" si="65"/>
        <v>3.0210150137493143E-2</v>
      </c>
      <c r="K254" s="100">
        <f t="shared" si="66"/>
        <v>3.0203045030747482E-2</v>
      </c>
      <c r="L254" s="44">
        <f t="shared" si="67"/>
        <v>4.9791072824117402</v>
      </c>
      <c r="M254" s="100">
        <f t="shared" si="68"/>
        <v>6.0251764620482005E-2</v>
      </c>
      <c r="N254" s="44"/>
      <c r="O254" s="44"/>
      <c r="P254" s="40">
        <f t="shared" si="69"/>
        <v>230.57936044347997</v>
      </c>
      <c r="Q254" s="101">
        <f t="shared" si="62"/>
        <v>2.000301488192811E-2</v>
      </c>
      <c r="S254" s="101"/>
    </row>
    <row r="255" spans="1:19">
      <c r="A255" s="44">
        <v>242</v>
      </c>
      <c r="B255" s="44">
        <f t="shared" si="60"/>
        <v>118.20650985600314</v>
      </c>
      <c r="C255" s="44">
        <f t="shared" si="61"/>
        <v>11.001479190412363</v>
      </c>
      <c r="D255" s="44">
        <f t="shared" si="63"/>
        <v>12883.305357114978</v>
      </c>
      <c r="E255" s="44">
        <f t="shared" si="56"/>
        <v>2587.4557033455626</v>
      </c>
      <c r="F255" s="44">
        <f t="shared" si="57"/>
        <v>1940.5917775091721</v>
      </c>
      <c r="G255" s="44">
        <f t="shared" si="58"/>
        <v>646.86392583639065</v>
      </c>
      <c r="H255" s="44">
        <f t="shared" si="59"/>
        <v>257.66610714229955</v>
      </c>
      <c r="I255" s="44">
        <f t="shared" si="64"/>
        <v>389.1978186940911</v>
      </c>
      <c r="J255" s="100">
        <f t="shared" si="65"/>
        <v>3.0209803850401652E-2</v>
      </c>
      <c r="K255" s="100">
        <f t="shared" si="66"/>
        <v>3.0202941145323944E-2</v>
      </c>
      <c r="L255" s="44">
        <f t="shared" si="67"/>
        <v>4.9791404507744623</v>
      </c>
      <c r="M255" s="100">
        <f t="shared" si="68"/>
        <v>6.0251363255546968E-2</v>
      </c>
      <c r="N255" s="44"/>
      <c r="O255" s="44"/>
      <c r="P255" s="40">
        <f t="shared" si="69"/>
        <v>235.19161910522854</v>
      </c>
      <c r="Q255" s="101">
        <f t="shared" si="62"/>
        <v>2.0002912025073184E-2</v>
      </c>
      <c r="S255" s="101"/>
    </row>
    <row r="256" spans="1:19">
      <c r="A256" s="44">
        <v>243</v>
      </c>
      <c r="B256" s="44">
        <f t="shared" si="60"/>
        <v>120.5706400531232</v>
      </c>
      <c r="C256" s="44">
        <f t="shared" si="61"/>
        <v>11.111493982316487</v>
      </c>
      <c r="D256" s="44">
        <f t="shared" si="63"/>
        <v>13272.503175809068</v>
      </c>
      <c r="E256" s="44">
        <f t="shared" si="56"/>
        <v>2665.604216043047</v>
      </c>
      <c r="F256" s="44">
        <f t="shared" si="57"/>
        <v>1999.2031620322853</v>
      </c>
      <c r="G256" s="44">
        <f t="shared" si="58"/>
        <v>666.40105401076175</v>
      </c>
      <c r="H256" s="44">
        <f t="shared" si="59"/>
        <v>265.45006351618139</v>
      </c>
      <c r="I256" s="44">
        <f t="shared" si="64"/>
        <v>400.95099049458037</v>
      </c>
      <c r="J256" s="100">
        <f t="shared" si="65"/>
        <v>3.020946937962243E-2</v>
      </c>
      <c r="K256" s="100">
        <f t="shared" si="66"/>
        <v>3.0202840804748436E-2</v>
      </c>
      <c r="L256" s="44">
        <f t="shared" si="67"/>
        <v>4.9791724877714287</v>
      </c>
      <c r="M256" s="100">
        <f t="shared" si="68"/>
        <v>6.025097558616082E-2</v>
      </c>
      <c r="N256" s="44"/>
      <c r="O256" s="44"/>
      <c r="P256" s="40">
        <f t="shared" si="69"/>
        <v>239.89611300561859</v>
      </c>
      <c r="Q256" s="101">
        <f t="shared" si="62"/>
        <v>2.0002812677968686E-2</v>
      </c>
      <c r="S256" s="101"/>
    </row>
    <row r="257" spans="1:19">
      <c r="A257" s="44">
        <v>244</v>
      </c>
      <c r="B257" s="44">
        <f t="shared" si="60"/>
        <v>122.98205285418567</v>
      </c>
      <c r="C257" s="44">
        <f t="shared" si="61"/>
        <v>11.222608922139653</v>
      </c>
      <c r="D257" s="44">
        <f t="shared" si="63"/>
        <v>13673.454166303649</v>
      </c>
      <c r="E257" s="44">
        <f t="shared" si="56"/>
        <v>2746.1127774870042</v>
      </c>
      <c r="F257" s="44">
        <f t="shared" si="57"/>
        <v>2059.5845831152533</v>
      </c>
      <c r="G257" s="44">
        <f t="shared" si="58"/>
        <v>686.52819437175106</v>
      </c>
      <c r="H257" s="44">
        <f t="shared" si="59"/>
        <v>273.46908332607296</v>
      </c>
      <c r="I257" s="44">
        <f t="shared" si="64"/>
        <v>413.05911104567809</v>
      </c>
      <c r="J257" s="100">
        <f t="shared" si="65"/>
        <v>3.020914632180071E-2</v>
      </c>
      <c r="K257" s="100">
        <f t="shared" si="66"/>
        <v>3.0202743888013518E-2</v>
      </c>
      <c r="L257" s="44">
        <f t="shared" si="67"/>
        <v>4.9792034319931924</v>
      </c>
      <c r="M257" s="100">
        <f t="shared" si="68"/>
        <v>6.0250601144831904E-2</v>
      </c>
      <c r="N257" s="44"/>
      <c r="O257" s="44"/>
      <c r="P257" s="40">
        <f t="shared" si="69"/>
        <v>244.69468699649229</v>
      </c>
      <c r="Q257" s="101">
        <f t="shared" si="62"/>
        <v>2.0002716720805388E-2</v>
      </c>
      <c r="S257" s="101"/>
    </row>
    <row r="258" spans="1:19">
      <c r="A258" s="44">
        <v>245</v>
      </c>
      <c r="B258" s="44">
        <f t="shared" si="60"/>
        <v>125.44169391126938</v>
      </c>
      <c r="C258" s="44">
        <f t="shared" si="61"/>
        <v>11.334835011361049</v>
      </c>
      <c r="D258" s="44">
        <f t="shared" si="63"/>
        <v>14086.513277349328</v>
      </c>
      <c r="E258" s="44">
        <f t="shared" si="56"/>
        <v>2829.0526613300863</v>
      </c>
      <c r="F258" s="44">
        <f t="shared" si="57"/>
        <v>2121.7894959975647</v>
      </c>
      <c r="G258" s="44">
        <f t="shared" si="58"/>
        <v>707.26316533252157</v>
      </c>
      <c r="H258" s="44">
        <f t="shared" si="59"/>
        <v>281.73026554698657</v>
      </c>
      <c r="I258" s="44">
        <f t="shared" si="64"/>
        <v>425.53289978553499</v>
      </c>
      <c r="J258" s="100">
        <f t="shared" si="65"/>
        <v>3.0208834287359987E-2</v>
      </c>
      <c r="K258" s="100">
        <f t="shared" si="66"/>
        <v>3.0202650278253019E-2</v>
      </c>
      <c r="L258" s="44">
        <f t="shared" si="67"/>
        <v>4.9792333207139796</v>
      </c>
      <c r="M258" s="100">
        <f t="shared" si="68"/>
        <v>6.0250239480037569E-2</v>
      </c>
      <c r="N258" s="44"/>
      <c r="O258" s="44"/>
      <c r="P258" s="40">
        <f t="shared" si="69"/>
        <v>249.58922282454847</v>
      </c>
      <c r="Q258" s="101">
        <f t="shared" si="62"/>
        <v>2.0002624037874353E-2</v>
      </c>
      <c r="S258" s="101"/>
    </row>
    <row r="259" spans="1:19">
      <c r="A259" s="44">
        <v>246</v>
      </c>
      <c r="B259" s="44">
        <f t="shared" si="60"/>
        <v>127.95052778949477</v>
      </c>
      <c r="C259" s="44">
        <f t="shared" si="61"/>
        <v>11.44818336147466</v>
      </c>
      <c r="D259" s="44">
        <f t="shared" si="63"/>
        <v>14512.046177134864</v>
      </c>
      <c r="E259" s="44">
        <f t="shared" si="56"/>
        <v>2914.4972936883232</v>
      </c>
      <c r="F259" s="44">
        <f t="shared" si="57"/>
        <v>2185.8729702662422</v>
      </c>
      <c r="G259" s="44">
        <f t="shared" si="58"/>
        <v>728.62432342208081</v>
      </c>
      <c r="H259" s="44">
        <f t="shared" si="59"/>
        <v>290.24092354269726</v>
      </c>
      <c r="I259" s="44">
        <f t="shared" si="64"/>
        <v>438.38339987938355</v>
      </c>
      <c r="J259" s="100">
        <f t="shared" si="65"/>
        <v>3.0208532900031369E-2</v>
      </c>
      <c r="K259" s="100">
        <f t="shared" si="66"/>
        <v>3.02025598625884E-2</v>
      </c>
      <c r="L259" s="44">
        <f t="shared" si="67"/>
        <v>4.979262189936617</v>
      </c>
      <c r="M259" s="100">
        <f t="shared" si="68"/>
        <v>6.0249890155677624E-2</v>
      </c>
      <c r="N259" s="44"/>
      <c r="O259" s="44"/>
      <c r="P259" s="40">
        <f t="shared" si="69"/>
        <v>254.58163986927107</v>
      </c>
      <c r="Q259" s="101">
        <f t="shared" si="62"/>
        <v>2.0002534517414142E-2</v>
      </c>
      <c r="S259" s="101"/>
    </row>
    <row r="260" spans="1:19">
      <c r="A260" s="44">
        <v>247</v>
      </c>
      <c r="B260" s="44">
        <f t="shared" si="60"/>
        <v>130.50953834528468</v>
      </c>
      <c r="C260" s="44">
        <f t="shared" si="61"/>
        <v>11.562665195089407</v>
      </c>
      <c r="D260" s="44">
        <f t="shared" si="63"/>
        <v>14950.429577014247</v>
      </c>
      <c r="E260" s="44">
        <f t="shared" si="56"/>
        <v>3002.5223181455244</v>
      </c>
      <c r="F260" s="44">
        <f t="shared" si="57"/>
        <v>2251.8917386091434</v>
      </c>
      <c r="G260" s="44">
        <f t="shared" si="58"/>
        <v>750.63057953638111</v>
      </c>
      <c r="H260" s="44">
        <f t="shared" si="59"/>
        <v>299.00859154028495</v>
      </c>
      <c r="I260" s="44">
        <f t="shared" si="64"/>
        <v>451.62198799609615</v>
      </c>
      <c r="J260" s="100">
        <f t="shared" si="65"/>
        <v>3.0208241796398017E-2</v>
      </c>
      <c r="K260" s="100">
        <f t="shared" si="66"/>
        <v>3.0202472531997007E-2</v>
      </c>
      <c r="L260" s="44">
        <f t="shared" si="67"/>
        <v>4.9792900744358892</v>
      </c>
      <c r="M260" s="100">
        <f t="shared" si="68"/>
        <v>6.0249552750546956E-2</v>
      </c>
      <c r="N260" s="44"/>
      <c r="O260" s="44"/>
      <c r="P260" s="40">
        <f t="shared" si="69"/>
        <v>259.67389589561731</v>
      </c>
      <c r="Q260" s="101">
        <f t="shared" si="62"/>
        <v>2.0002448051482161E-2</v>
      </c>
      <c r="S260" s="101"/>
    </row>
    <row r="261" spans="1:19">
      <c r="A261" s="44">
        <v>248</v>
      </c>
      <c r="B261" s="44">
        <f t="shared" si="60"/>
        <v>133.11972911219038</v>
      </c>
      <c r="C261" s="44">
        <f t="shared" si="61"/>
        <v>11.678291847040301</v>
      </c>
      <c r="D261" s="44">
        <f t="shared" si="63"/>
        <v>15402.051565010343</v>
      </c>
      <c r="E261" s="44">
        <f t="shared" si="56"/>
        <v>3093.2056627208049</v>
      </c>
      <c r="F261" s="44">
        <f t="shared" si="57"/>
        <v>2319.9042470406039</v>
      </c>
      <c r="G261" s="44">
        <f t="shared" si="58"/>
        <v>773.30141568020122</v>
      </c>
      <c r="H261" s="44">
        <f t="shared" si="59"/>
        <v>308.04103130020684</v>
      </c>
      <c r="I261" s="44">
        <f t="shared" si="64"/>
        <v>465.26038437999438</v>
      </c>
      <c r="J261" s="100">
        <f t="shared" si="65"/>
        <v>3.0207960625455749E-2</v>
      </c>
      <c r="K261" s="100">
        <f t="shared" si="66"/>
        <v>3.0202388181177629E-2</v>
      </c>
      <c r="L261" s="44">
        <f t="shared" si="67"/>
        <v>4.9793170078004421</v>
      </c>
      <c r="M261" s="100">
        <f t="shared" si="68"/>
        <v>6.0249226857825959E-2</v>
      </c>
      <c r="N261" s="44"/>
      <c r="O261" s="44"/>
      <c r="P261" s="40">
        <f t="shared" si="69"/>
        <v>264.86798782175788</v>
      </c>
      <c r="Q261" s="101">
        <f t="shared" si="62"/>
        <v>2.000236453581947E-2</v>
      </c>
      <c r="S261" s="101"/>
    </row>
    <row r="262" spans="1:19">
      <c r="A262" s="44">
        <v>249</v>
      </c>
      <c r="B262" s="44">
        <f t="shared" si="60"/>
        <v>135.7821236944342</v>
      </c>
      <c r="C262" s="44">
        <f t="shared" si="61"/>
        <v>11.795074765510703</v>
      </c>
      <c r="D262" s="44">
        <f t="shared" si="63"/>
        <v>15867.311949390338</v>
      </c>
      <c r="E262" s="44">
        <f t="shared" si="56"/>
        <v>3186.6276088585528</v>
      </c>
      <c r="F262" s="44">
        <f t="shared" si="57"/>
        <v>2389.9707066439146</v>
      </c>
      <c r="G262" s="44">
        <f t="shared" si="58"/>
        <v>796.65690221463819</v>
      </c>
      <c r="H262" s="44">
        <f t="shared" si="59"/>
        <v>317.34623898780677</v>
      </c>
      <c r="I262" s="44">
        <f t="shared" si="64"/>
        <v>479.31066322683142</v>
      </c>
      <c r="J262" s="100">
        <f t="shared" si="65"/>
        <v>3.0207689048188355E-2</v>
      </c>
      <c r="K262" s="100">
        <f t="shared" si="66"/>
        <v>3.0202306708430542E-2</v>
      </c>
      <c r="L262" s="44">
        <f t="shared" si="67"/>
        <v>4.9793430224732145</v>
      </c>
      <c r="M262" s="100">
        <f t="shared" si="68"/>
        <v>6.0248912084588921E-2</v>
      </c>
      <c r="N262" s="44"/>
      <c r="O262" s="44"/>
      <c r="P262" s="40">
        <f t="shared" si="69"/>
        <v>270.16595250217375</v>
      </c>
      <c r="Q262" s="101">
        <f t="shared" si="62"/>
        <v>2.0002283869733337E-2</v>
      </c>
      <c r="S262" s="101"/>
    </row>
    <row r="263" spans="1:19">
      <c r="A263" s="44">
        <v>250</v>
      </c>
      <c r="B263" s="44">
        <f t="shared" si="60"/>
        <v>138.4977661683229</v>
      </c>
      <c r="C263" s="44">
        <f t="shared" si="61"/>
        <v>11.91302551316581</v>
      </c>
      <c r="D263" s="44">
        <f t="shared" si="63"/>
        <v>16346.62261261717</v>
      </c>
      <c r="E263" s="44">
        <f t="shared" si="56"/>
        <v>3282.8708625018703</v>
      </c>
      <c r="F263" s="44">
        <f t="shared" si="57"/>
        <v>2462.1531468764028</v>
      </c>
      <c r="G263" s="44">
        <f t="shared" si="58"/>
        <v>820.71771562546758</v>
      </c>
      <c r="H263" s="44">
        <f t="shared" si="59"/>
        <v>326.93245225234341</v>
      </c>
      <c r="I263" s="44">
        <f t="shared" si="64"/>
        <v>493.78526337312417</v>
      </c>
      <c r="J263" s="100">
        <f t="shared" si="65"/>
        <v>3.0207426737157466E-2</v>
      </c>
      <c r="K263" s="100">
        <f t="shared" si="66"/>
        <v>3.0202228015526352E-2</v>
      </c>
      <c r="L263" s="44">
        <f t="shared" si="67"/>
        <v>4.9793681497905267</v>
      </c>
      <c r="M263" s="100">
        <f t="shared" si="68"/>
        <v>6.0248608051328853E-2</v>
      </c>
      <c r="N263" s="44"/>
      <c r="O263" s="44"/>
      <c r="P263" s="40">
        <f t="shared" si="69"/>
        <v>275.56986752641217</v>
      </c>
      <c r="Q263" s="101">
        <f t="shared" si="62"/>
        <v>2.000220595596677E-2</v>
      </c>
      <c r="S263" s="101"/>
    </row>
    <row r="264" spans="1:19">
      <c r="A264" s="44">
        <v>251</v>
      </c>
      <c r="B264" s="44">
        <f t="shared" si="60"/>
        <v>141.26772149168937</v>
      </c>
      <c r="C264" s="44">
        <f t="shared" si="61"/>
        <v>12.032155768297468</v>
      </c>
      <c r="D264" s="44">
        <f t="shared" si="63"/>
        <v>16840.407875990295</v>
      </c>
      <c r="E264" s="44">
        <f t="shared" si="56"/>
        <v>3382.0206273124304</v>
      </c>
      <c r="F264" s="44">
        <f t="shared" si="57"/>
        <v>2536.5154704843226</v>
      </c>
      <c r="G264" s="44">
        <f t="shared" si="58"/>
        <v>845.5051568281076</v>
      </c>
      <c r="H264" s="44">
        <f t="shared" si="59"/>
        <v>336.80815751980589</v>
      </c>
      <c r="I264" s="44">
        <f t="shared" si="64"/>
        <v>508.69699930830171</v>
      </c>
      <c r="J264" s="100">
        <f t="shared" si="65"/>
        <v>3.0207173376107451E-2</v>
      </c>
      <c r="K264" s="100">
        <f t="shared" si="66"/>
        <v>3.0202152007587114E-2</v>
      </c>
      <c r="L264" s="44">
        <f t="shared" si="67"/>
        <v>4.9793924200198507</v>
      </c>
      <c r="M264" s="100">
        <f t="shared" si="68"/>
        <v>6.0248314391498393E-2</v>
      </c>
      <c r="N264" s="44"/>
      <c r="O264" s="44"/>
      <c r="P264" s="40">
        <f t="shared" si="69"/>
        <v>281.08185203381731</v>
      </c>
      <c r="Q264" s="101">
        <f t="shared" si="62"/>
        <v>2.0002130700581208E-2</v>
      </c>
      <c r="S264" s="101"/>
    </row>
    <row r="265" spans="1:19">
      <c r="A265" s="44">
        <v>252</v>
      </c>
      <c r="B265" s="44">
        <f t="shared" si="60"/>
        <v>144.09307592152317</v>
      </c>
      <c r="C265" s="44">
        <f t="shared" si="61"/>
        <v>12.152477325980442</v>
      </c>
      <c r="D265" s="44">
        <f t="shared" si="63"/>
        <v>17349.104875298595</v>
      </c>
      <c r="E265" s="44">
        <f t="shared" si="56"/>
        <v>3484.1646801016054</v>
      </c>
      <c r="F265" s="44">
        <f t="shared" si="57"/>
        <v>2613.1235100762042</v>
      </c>
      <c r="G265" s="44">
        <f t="shared" si="58"/>
        <v>871.04117002540136</v>
      </c>
      <c r="H265" s="44">
        <f t="shared" si="59"/>
        <v>346.98209750597192</v>
      </c>
      <c r="I265" s="44">
        <f t="shared" si="64"/>
        <v>524.05907251942949</v>
      </c>
      <c r="J265" s="100">
        <f t="shared" si="65"/>
        <v>3.0206928659581918E-2</v>
      </c>
      <c r="K265" s="100">
        <f t="shared" si="66"/>
        <v>3.0202078592981619E-2</v>
      </c>
      <c r="L265" s="44">
        <f t="shared" si="67"/>
        <v>4.9794158623962224</v>
      </c>
      <c r="M265" s="100">
        <f t="shared" si="68"/>
        <v>6.024803075106732E-2</v>
      </c>
      <c r="N265" s="44"/>
      <c r="O265" s="44"/>
      <c r="P265" s="40">
        <f t="shared" si="69"/>
        <v>286.70406754455792</v>
      </c>
      <c r="Q265" s="101">
        <f t="shared" si="62"/>
        <v>2.000205801285309E-2</v>
      </c>
      <c r="S265" s="101"/>
    </row>
    <row r="266" spans="1:19">
      <c r="A266" s="44">
        <v>253</v>
      </c>
      <c r="B266" s="44">
        <f t="shared" si="60"/>
        <v>146.97493743995364</v>
      </c>
      <c r="C266" s="44">
        <f t="shared" si="61"/>
        <v>12.274002099240246</v>
      </c>
      <c r="D266" s="44">
        <f t="shared" si="63"/>
        <v>17873.163947818026</v>
      </c>
      <c r="E266" s="44">
        <f t="shared" si="56"/>
        <v>3589.3934485395785</v>
      </c>
      <c r="F266" s="44">
        <f t="shared" si="57"/>
        <v>2692.0450864046838</v>
      </c>
      <c r="G266" s="44">
        <f t="shared" si="58"/>
        <v>897.34836213489461</v>
      </c>
      <c r="H266" s="44">
        <f t="shared" si="59"/>
        <v>357.46327895636051</v>
      </c>
      <c r="I266" s="44">
        <f t="shared" si="64"/>
        <v>539.88508317853416</v>
      </c>
      <c r="J266" s="100">
        <f t="shared" si="65"/>
        <v>3.0206692292556164E-2</v>
      </c>
      <c r="K266" s="100">
        <f t="shared" si="66"/>
        <v>3.0202007683202949E-2</v>
      </c>
      <c r="L266" s="44">
        <f t="shared" si="67"/>
        <v>4.9794385051574954</v>
      </c>
      <c r="M266" s="100">
        <f t="shared" si="68"/>
        <v>6.0247756788094173E-2</v>
      </c>
      <c r="N266" s="44"/>
      <c r="O266" s="44"/>
      <c r="P266" s="40">
        <f t="shared" si="69"/>
        <v>292.43871880727153</v>
      </c>
      <c r="Q266" s="101">
        <f t="shared" si="62"/>
        <v>2.0001987805151614E-2</v>
      </c>
      <c r="S266" s="101"/>
    </row>
    <row r="267" spans="1:19">
      <c r="A267" s="44">
        <v>254</v>
      </c>
      <c r="B267" s="44">
        <f t="shared" si="60"/>
        <v>149.91443618875272</v>
      </c>
      <c r="C267" s="44">
        <f t="shared" si="61"/>
        <v>12.396742120232648</v>
      </c>
      <c r="D267" s="44">
        <f t="shared" si="63"/>
        <v>18413.049030996561</v>
      </c>
      <c r="E267" s="44">
        <f t="shared" si="56"/>
        <v>3697.8000912112798</v>
      </c>
      <c r="F267" s="44">
        <f t="shared" si="57"/>
        <v>2773.3500684084597</v>
      </c>
      <c r="G267" s="44">
        <f t="shared" si="58"/>
        <v>924.45002280281994</v>
      </c>
      <c r="H267" s="44">
        <f t="shared" si="59"/>
        <v>368.26098061993122</v>
      </c>
      <c r="I267" s="44">
        <f t="shared" si="64"/>
        <v>556.18904218288867</v>
      </c>
      <c r="J267" s="100">
        <f t="shared" si="65"/>
        <v>3.0206463990078519E-2</v>
      </c>
      <c r="K267" s="100">
        <f t="shared" si="66"/>
        <v>3.0201939192764975E-2</v>
      </c>
      <c r="L267" s="44">
        <f t="shared" si="67"/>
        <v>4.9794603755783458</v>
      </c>
      <c r="M267" s="100">
        <f t="shared" si="68"/>
        <v>6.024749217231317E-2</v>
      </c>
      <c r="N267" s="44"/>
      <c r="O267" s="44"/>
      <c r="P267" s="40">
        <f t="shared" si="69"/>
        <v>298.28805466366219</v>
      </c>
      <c r="Q267" s="101">
        <f t="shared" si="62"/>
        <v>2.0001919992836539E-2</v>
      </c>
      <c r="S267" s="101"/>
    </row>
    <row r="268" spans="1:19">
      <c r="A268" s="44">
        <v>255</v>
      </c>
      <c r="B268" s="44">
        <f t="shared" si="60"/>
        <v>152.91272491252778</v>
      </c>
      <c r="C268" s="44">
        <f t="shared" si="61"/>
        <v>12.520709541434975</v>
      </c>
      <c r="D268" s="44">
        <f t="shared" si="63"/>
        <v>18969.238073179451</v>
      </c>
      <c r="E268" s="44">
        <f t="shared" si="56"/>
        <v>3809.4805800900331</v>
      </c>
      <c r="F268" s="44">
        <f t="shared" si="57"/>
        <v>2857.110435067525</v>
      </c>
      <c r="G268" s="44">
        <f t="shared" si="58"/>
        <v>952.37014502250827</v>
      </c>
      <c r="H268" s="44">
        <f t="shared" si="59"/>
        <v>379.38476146358903</v>
      </c>
      <c r="I268" s="44">
        <f t="shared" si="64"/>
        <v>572.98538355891924</v>
      </c>
      <c r="J268" s="100">
        <f t="shared" si="65"/>
        <v>3.0206243476927727E-2</v>
      </c>
      <c r="K268" s="100">
        <f t="shared" si="66"/>
        <v>3.0201873039104821E-2</v>
      </c>
      <c r="L268" s="44">
        <f t="shared" si="67"/>
        <v>4.9794815000031143</v>
      </c>
      <c r="M268" s="100">
        <f t="shared" si="68"/>
        <v>6.0247236584735249E-2</v>
      </c>
      <c r="N268" s="44"/>
      <c r="O268" s="44"/>
      <c r="P268" s="40">
        <f t="shared" si="69"/>
        <v>304.25436893039176</v>
      </c>
      <c r="Q268" s="101">
        <f t="shared" si="62"/>
        <v>2.0001854494163196E-2</v>
      </c>
      <c r="S268" s="101"/>
    </row>
    <row r="269" spans="1:19">
      <c r="A269" s="44">
        <v>256</v>
      </c>
      <c r="B269" s="44">
        <f t="shared" si="60"/>
        <v>155.97097941077834</v>
      </c>
      <c r="C269" s="44">
        <f t="shared" si="61"/>
        <v>12.645916636849325</v>
      </c>
      <c r="D269" s="44">
        <f t="shared" si="63"/>
        <v>19542.223456738371</v>
      </c>
      <c r="E269" s="44">
        <f t="shared" si="56"/>
        <v>3924.5337855018884</v>
      </c>
      <c r="F269" s="44">
        <f t="shared" si="57"/>
        <v>2943.4003391264164</v>
      </c>
      <c r="G269" s="44">
        <f t="shared" si="58"/>
        <v>981.13344637547209</v>
      </c>
      <c r="H269" s="44">
        <f t="shared" si="59"/>
        <v>390.84446913476745</v>
      </c>
      <c r="I269" s="44">
        <f t="shared" si="64"/>
        <v>590.28897724070464</v>
      </c>
      <c r="J269" s="100">
        <f t="shared" si="65"/>
        <v>3.0206030487279427E-2</v>
      </c>
      <c r="K269" s="100">
        <f t="shared" si="66"/>
        <v>3.0201809142477928E-2</v>
      </c>
      <c r="L269" s="44">
        <f t="shared" si="67"/>
        <v>4.9795019038775372</v>
      </c>
      <c r="M269" s="100">
        <f t="shared" si="68"/>
        <v>6.0246989717262694E-2</v>
      </c>
      <c r="N269" s="44"/>
      <c r="O269" s="44"/>
      <c r="P269" s="40">
        <f t="shared" si="69"/>
        <v>310.34000129860647</v>
      </c>
      <c r="Q269" s="101">
        <f t="shared" si="62"/>
        <v>2.0001791230176199E-2</v>
      </c>
      <c r="S269" s="101"/>
    </row>
    <row r="270" spans="1:19">
      <c r="A270" s="44">
        <v>257</v>
      </c>
      <c r="B270" s="44">
        <f t="shared" si="60"/>
        <v>159.09039899899392</v>
      </c>
      <c r="C270" s="44">
        <f t="shared" si="61"/>
        <v>12.772375803217818</v>
      </c>
      <c r="D270" s="44">
        <f t="shared" si="63"/>
        <v>20132.512433979075</v>
      </c>
      <c r="E270" s="44">
        <f t="shared" ref="E270:E313" si="70">(B270*C270)^(1-alpha)*(D270^alpha)</f>
        <v>4043.0615636558618</v>
      </c>
      <c r="F270" s="44">
        <f t="shared" ref="F270:F313" si="71">(1-s)*E270</f>
        <v>3032.2961727418965</v>
      </c>
      <c r="G270" s="44">
        <f t="shared" ref="G270:G313" si="72">s*E270</f>
        <v>1010.7653909139655</v>
      </c>
      <c r="H270" s="44">
        <f t="shared" ref="H270:H313" si="73">dep*D270</f>
        <v>402.65024867958152</v>
      </c>
      <c r="I270" s="44">
        <f t="shared" si="64"/>
        <v>608.11514223438394</v>
      </c>
      <c r="J270" s="100">
        <f t="shared" si="65"/>
        <v>3.0205824764385516E-2</v>
      </c>
      <c r="K270" s="100">
        <f t="shared" si="66"/>
        <v>3.0201747425857763E-2</v>
      </c>
      <c r="L270" s="44">
        <f t="shared" si="67"/>
        <v>4.9795216117794237</v>
      </c>
      <c r="M270" s="100">
        <f t="shared" si="68"/>
        <v>6.0246751272316601E-2</v>
      </c>
      <c r="N270" s="44"/>
      <c r="O270" s="44"/>
      <c r="P270" s="40">
        <f t="shared" si="69"/>
        <v>316.5473382514528</v>
      </c>
      <c r="Q270" s="101">
        <f t="shared" si="62"/>
        <v>2.0001730124611577E-2</v>
      </c>
      <c r="S270" s="101"/>
    </row>
    <row r="271" spans="1:19">
      <c r="A271" s="44">
        <v>258</v>
      </c>
      <c r="B271" s="44">
        <f t="shared" ref="B271:B313" si="74">(1+g)*B270</f>
        <v>162.2722069789738</v>
      </c>
      <c r="C271" s="44">
        <f t="shared" ref="C271:C313" si="75">(1+n)*C270</f>
        <v>12.900099561249997</v>
      </c>
      <c r="D271" s="44">
        <f t="shared" si="63"/>
        <v>20740.627576213457</v>
      </c>
      <c r="E271" s="44">
        <f t="shared" si="70"/>
        <v>4165.1688468176262</v>
      </c>
      <c r="F271" s="44">
        <f t="shared" si="71"/>
        <v>3123.8766351132199</v>
      </c>
      <c r="G271" s="44">
        <f t="shared" si="72"/>
        <v>1041.2922117044066</v>
      </c>
      <c r="H271" s="44">
        <f t="shared" si="73"/>
        <v>414.81255152426917</v>
      </c>
      <c r="I271" s="44">
        <f t="shared" si="64"/>
        <v>626.47966018013744</v>
      </c>
      <c r="J271" s="100">
        <f t="shared" si="65"/>
        <v>3.0205626060263776E-2</v>
      </c>
      <c r="K271" s="100">
        <f t="shared" si="66"/>
        <v>3.0201687814852655E-2</v>
      </c>
      <c r="L271" s="44">
        <f t="shared" si="67"/>
        <v>4.9795406474482338</v>
      </c>
      <c r="M271" s="100">
        <f t="shared" si="68"/>
        <v>6.0246520962477741E-2</v>
      </c>
      <c r="N271" s="44"/>
      <c r="O271" s="44"/>
      <c r="P271" s="40">
        <f t="shared" si="69"/>
        <v>322.87881399994626</v>
      </c>
      <c r="Q271" s="101">
        <f t="shared" si="62"/>
        <v>2.0001671103814445E-2</v>
      </c>
      <c r="S271" s="101"/>
    </row>
    <row r="272" spans="1:19">
      <c r="A272" s="44">
        <v>259</v>
      </c>
      <c r="B272" s="44">
        <f t="shared" si="74"/>
        <v>165.51765111855329</v>
      </c>
      <c r="C272" s="44">
        <f t="shared" si="75"/>
        <v>13.029100556862497</v>
      </c>
      <c r="D272" s="44">
        <f t="shared" si="63"/>
        <v>21367.107236393596</v>
      </c>
      <c r="E272" s="44">
        <f t="shared" si="70"/>
        <v>4290.9637362064241</v>
      </c>
      <c r="F272" s="44">
        <f t="shared" si="71"/>
        <v>3218.2228021548181</v>
      </c>
      <c r="G272" s="44">
        <f t="shared" si="72"/>
        <v>1072.740934051606</v>
      </c>
      <c r="H272" s="44">
        <f t="shared" si="73"/>
        <v>427.34214472787193</v>
      </c>
      <c r="I272" s="44">
        <f t="shared" si="64"/>
        <v>645.39878932373404</v>
      </c>
      <c r="J272" s="100">
        <f t="shared" si="65"/>
        <v>3.0205434135398192E-2</v>
      </c>
      <c r="K272" s="100">
        <f t="shared" si="66"/>
        <v>3.0201630237609869E-2</v>
      </c>
      <c r="L272" s="44">
        <f t="shared" si="67"/>
        <v>4.979559033813679</v>
      </c>
      <c r="M272" s="100">
        <f t="shared" si="68"/>
        <v>6.0246298510139351E-2</v>
      </c>
      <c r="N272" s="44"/>
      <c r="O272" s="44"/>
      <c r="P272" s="40">
        <f t="shared" si="69"/>
        <v>329.3369114375551</v>
      </c>
      <c r="Q272" s="101">
        <f t="shared" ref="Q272:Q313" si="76">(P272-P271)/P271</f>
        <v>2.0001614096643444E-2</v>
      </c>
      <c r="S272" s="101"/>
    </row>
    <row r="273" spans="1:19">
      <c r="A273" s="44">
        <v>260</v>
      </c>
      <c r="B273" s="44">
        <f t="shared" si="74"/>
        <v>168.82800414092435</v>
      </c>
      <c r="C273" s="44">
        <f t="shared" si="75"/>
        <v>13.159391562431122</v>
      </c>
      <c r="D273" s="44">
        <f t="shared" si="63"/>
        <v>22012.506025717332</v>
      </c>
      <c r="E273" s="44">
        <f t="shared" si="70"/>
        <v>4420.5575976974624</v>
      </c>
      <c r="F273" s="44">
        <f t="shared" si="71"/>
        <v>3315.418198273097</v>
      </c>
      <c r="G273" s="44">
        <f t="shared" si="72"/>
        <v>1105.1393994243656</v>
      </c>
      <c r="H273" s="44">
        <f t="shared" si="73"/>
        <v>440.25012051434663</v>
      </c>
      <c r="I273" s="44">
        <f t="shared" si="64"/>
        <v>664.8892789100189</v>
      </c>
      <c r="J273" s="100">
        <f t="shared" si="65"/>
        <v>3.0205248758449519E-2</v>
      </c>
      <c r="K273" s="100">
        <f t="shared" si="66"/>
        <v>3.0201574624727605E-2</v>
      </c>
      <c r="L273" s="44">
        <f t="shared" si="67"/>
        <v>4.9795767930233499</v>
      </c>
      <c r="M273" s="100">
        <f t="shared" si="68"/>
        <v>6.0246083647171753E-2</v>
      </c>
      <c r="N273" s="44"/>
      <c r="O273" s="44"/>
      <c r="P273" s="40">
        <f t="shared" si="69"/>
        <v>335.92416311387501</v>
      </c>
      <c r="Q273" s="101">
        <f t="shared" si="76"/>
        <v>2.0001559034383862E-2</v>
      </c>
      <c r="S273" s="101"/>
    </row>
    <row r="274" spans="1:19">
      <c r="A274" s="44">
        <v>261</v>
      </c>
      <c r="B274" s="44">
        <f t="shared" si="74"/>
        <v>172.20456422374284</v>
      </c>
      <c r="C274" s="44">
        <f t="shared" si="75"/>
        <v>13.290985478055433</v>
      </c>
      <c r="D274" s="44">
        <f t="shared" si="63"/>
        <v>22677.395304627349</v>
      </c>
      <c r="E274" s="44">
        <f t="shared" si="70"/>
        <v>4554.0651604145278</v>
      </c>
      <c r="F274" s="44">
        <f t="shared" si="71"/>
        <v>3415.5488703108958</v>
      </c>
      <c r="G274" s="44">
        <f t="shared" si="72"/>
        <v>1138.5162901036319</v>
      </c>
      <c r="H274" s="44">
        <f t="shared" si="73"/>
        <v>453.54790609254701</v>
      </c>
      <c r="I274" s="44">
        <f t="shared" si="64"/>
        <v>684.96838401108494</v>
      </c>
      <c r="J274" s="100">
        <f t="shared" si="65"/>
        <v>3.020506970597639E-2</v>
      </c>
      <c r="K274" s="100">
        <f t="shared" si="66"/>
        <v>3.0201520909173437E-2</v>
      </c>
      <c r="L274" s="44">
        <f t="shared" si="67"/>
        <v>4.979593946469393</v>
      </c>
      <c r="M274" s="100">
        <f t="shared" si="68"/>
        <v>6.0245876114598564E-2</v>
      </c>
      <c r="N274" s="44"/>
      <c r="O274" s="44"/>
      <c r="P274" s="40">
        <f t="shared" si="69"/>
        <v>342.64315222777748</v>
      </c>
      <c r="Q274" s="101">
        <f t="shared" si="76"/>
        <v>2.0001505850666644E-2</v>
      </c>
      <c r="S274" s="101"/>
    </row>
    <row r="275" spans="1:19">
      <c r="A275" s="44">
        <v>262</v>
      </c>
      <c r="B275" s="44">
        <f t="shared" si="74"/>
        <v>175.6486555082177</v>
      </c>
      <c r="C275" s="44">
        <f t="shared" si="75"/>
        <v>13.423895332835986</v>
      </c>
      <c r="D275" s="44">
        <f t="shared" si="63"/>
        <v>23362.363688638434</v>
      </c>
      <c r="E275" s="44">
        <f t="shared" si="70"/>
        <v>4691.6046183001054</v>
      </c>
      <c r="F275" s="44">
        <f t="shared" si="71"/>
        <v>3518.703463725079</v>
      </c>
      <c r="G275" s="44">
        <f t="shared" si="72"/>
        <v>1172.9011545750263</v>
      </c>
      <c r="H275" s="44">
        <f t="shared" si="73"/>
        <v>467.24727377276866</v>
      </c>
      <c r="I275" s="44">
        <f t="shared" si="64"/>
        <v>705.65388080225762</v>
      </c>
      <c r="J275" s="100">
        <f t="shared" si="65"/>
        <v>3.0204896762165454E-2</v>
      </c>
      <c r="K275" s="100">
        <f t="shared" si="66"/>
        <v>3.0201469026204762E-2</v>
      </c>
      <c r="L275" s="44">
        <f t="shared" si="67"/>
        <v>4.9796105148142784</v>
      </c>
      <c r="M275" s="100">
        <f t="shared" si="68"/>
        <v>6.0245675662283983E-2</v>
      </c>
      <c r="N275" s="44"/>
      <c r="O275" s="44"/>
      <c r="P275" s="40">
        <f t="shared" si="69"/>
        <v>349.49651364042171</v>
      </c>
      <c r="Q275" s="101">
        <f t="shared" si="76"/>
        <v>2.0001454481391043E-2</v>
      </c>
      <c r="S275" s="101"/>
    </row>
    <row r="276" spans="1:19">
      <c r="A276" s="44">
        <v>263</v>
      </c>
      <c r="B276" s="44">
        <f t="shared" si="74"/>
        <v>179.16162861838205</v>
      </c>
      <c r="C276" s="44">
        <f t="shared" si="75"/>
        <v>13.558134286164346</v>
      </c>
      <c r="D276" s="44">
        <f t="shared" si="63"/>
        <v>24068.01756944069</v>
      </c>
      <c r="E276" s="44">
        <f t="shared" si="70"/>
        <v>4833.2977347529186</v>
      </c>
      <c r="F276" s="44">
        <f t="shared" si="71"/>
        <v>3624.9733010646887</v>
      </c>
      <c r="G276" s="44">
        <f t="shared" si="72"/>
        <v>1208.3244336882296</v>
      </c>
      <c r="H276" s="44">
        <f t="shared" si="73"/>
        <v>481.3603513888138</v>
      </c>
      <c r="I276" s="44">
        <f t="shared" si="64"/>
        <v>726.96408229941585</v>
      </c>
      <c r="J276" s="100">
        <f t="shared" si="65"/>
        <v>3.0204729718569918E-2</v>
      </c>
      <c r="K276" s="100">
        <f t="shared" si="66"/>
        <v>3.0201418913291218E-2</v>
      </c>
      <c r="L276" s="44">
        <f t="shared" si="67"/>
        <v>4.9796265180156674</v>
      </c>
      <c r="M276" s="100">
        <f t="shared" si="68"/>
        <v>6.024548204863104E-2</v>
      </c>
      <c r="N276" s="44"/>
      <c r="O276" s="44"/>
      <c r="P276" s="40">
        <f t="shared" si="69"/>
        <v>356.4869349085256</v>
      </c>
      <c r="Q276" s="101">
        <f t="shared" si="76"/>
        <v>2.0001404864644683E-2</v>
      </c>
      <c r="S276" s="101"/>
    </row>
    <row r="277" spans="1:19">
      <c r="A277" s="44">
        <v>264</v>
      </c>
      <c r="B277" s="44">
        <f t="shared" si="74"/>
        <v>182.7448611907497</v>
      </c>
      <c r="C277" s="44">
        <f t="shared" si="75"/>
        <v>13.69371562902599</v>
      </c>
      <c r="D277" s="44">
        <f t="shared" si="63"/>
        <v>24794.981651740105</v>
      </c>
      <c r="E277" s="44">
        <f t="shared" si="70"/>
        <v>4979.2699504254833</v>
      </c>
      <c r="F277" s="44">
        <f t="shared" si="71"/>
        <v>3734.4524628191125</v>
      </c>
      <c r="G277" s="44">
        <f t="shared" si="72"/>
        <v>1244.8174876063708</v>
      </c>
      <c r="H277" s="44">
        <f t="shared" si="73"/>
        <v>495.89963303480209</v>
      </c>
      <c r="I277" s="44">
        <f t="shared" si="64"/>
        <v>748.9178545715688</v>
      </c>
      <c r="J277" s="100">
        <f t="shared" si="65"/>
        <v>3.0204568373859174E-2</v>
      </c>
      <c r="K277" s="100">
        <f t="shared" si="66"/>
        <v>3.0201370510030651E-2</v>
      </c>
      <c r="L277" s="44">
        <f t="shared" si="67"/>
        <v>4.9796419753504928</v>
      </c>
      <c r="M277" s="100">
        <f t="shared" si="68"/>
        <v>6.0245295040289408E-2</v>
      </c>
      <c r="N277" s="44"/>
      <c r="O277" s="44"/>
      <c r="P277" s="40">
        <f t="shared" si="69"/>
        <v>363.61715733830016</v>
      </c>
      <c r="Q277" s="101">
        <f t="shared" si="76"/>
        <v>2.0001356940624413E-2</v>
      </c>
      <c r="S277" s="101"/>
    </row>
    <row r="278" spans="1:19">
      <c r="A278" s="44">
        <v>265</v>
      </c>
      <c r="B278" s="44">
        <f t="shared" si="74"/>
        <v>186.3997584145647</v>
      </c>
      <c r="C278" s="44">
        <f t="shared" si="75"/>
        <v>13.83065278531625</v>
      </c>
      <c r="D278" s="44">
        <f t="shared" si="63"/>
        <v>25543.899506311674</v>
      </c>
      <c r="E278" s="44">
        <f t="shared" si="70"/>
        <v>5129.6504942772053</v>
      </c>
      <c r="F278" s="44">
        <f t="shared" si="71"/>
        <v>3847.2378707079042</v>
      </c>
      <c r="G278" s="44">
        <f t="shared" si="72"/>
        <v>1282.4126235693013</v>
      </c>
      <c r="H278" s="44">
        <f t="shared" si="73"/>
        <v>510.8779901262335</v>
      </c>
      <c r="I278" s="44">
        <f t="shared" si="64"/>
        <v>771.53463344306783</v>
      </c>
      <c r="J278" s="100">
        <f t="shared" si="65"/>
        <v>3.0204412533574535E-2</v>
      </c>
      <c r="K278" s="100">
        <f t="shared" si="66"/>
        <v>3.0201323758088639E-2</v>
      </c>
      <c r="L278" s="44">
        <f t="shared" si="67"/>
        <v>4.9796569054381443</v>
      </c>
      <c r="M278" s="100">
        <f t="shared" si="68"/>
        <v>6.0245114411874114E-2</v>
      </c>
      <c r="N278" s="44"/>
      <c r="O278" s="44"/>
      <c r="P278" s="40">
        <f t="shared" si="69"/>
        <v>370.88997706046536</v>
      </c>
      <c r="Q278" s="101">
        <f t="shared" si="76"/>
        <v>2.000131065157288E-2</v>
      </c>
      <c r="S278" s="101"/>
    </row>
    <row r="279" spans="1:19">
      <c r="A279" s="44">
        <v>266</v>
      </c>
      <c r="B279" s="44">
        <f t="shared" si="74"/>
        <v>190.127753582856</v>
      </c>
      <c r="C279" s="44">
        <f t="shared" si="75"/>
        <v>13.968959313169412</v>
      </c>
      <c r="D279" s="44">
        <f t="shared" si="63"/>
        <v>26315.434139754743</v>
      </c>
      <c r="E279" s="44">
        <f t="shared" si="70"/>
        <v>5284.5724979812276</v>
      </c>
      <c r="F279" s="44">
        <f t="shared" si="71"/>
        <v>3963.4293734859207</v>
      </c>
      <c r="G279" s="44">
        <f t="shared" si="72"/>
        <v>1321.1431244953069</v>
      </c>
      <c r="H279" s="44">
        <f t="shared" si="73"/>
        <v>526.30868279509491</v>
      </c>
      <c r="I279" s="44">
        <f t="shared" si="64"/>
        <v>794.83444170021198</v>
      </c>
      <c r="J279" s="100">
        <f t="shared" si="65"/>
        <v>3.0204262009895132E-2</v>
      </c>
      <c r="K279" s="100">
        <f t="shared" si="66"/>
        <v>3.0201278601116772E-2</v>
      </c>
      <c r="L279" s="44">
        <f t="shared" si="67"/>
        <v>4.9796713262629222</v>
      </c>
      <c r="M279" s="100">
        <f t="shared" si="68"/>
        <v>6.0244939945693167E-2</v>
      </c>
      <c r="N279" s="44"/>
      <c r="O279" s="44"/>
      <c r="P279" s="40">
        <f t="shared" si="69"/>
        <v>378.3082461267627</v>
      </c>
      <c r="Q279" s="101">
        <f t="shared" si="76"/>
        <v>2.0001265941699896E-2</v>
      </c>
      <c r="S279" s="101"/>
    </row>
    <row r="280" spans="1:19">
      <c r="A280" s="44">
        <v>267</v>
      </c>
      <c r="B280" s="44">
        <f t="shared" si="74"/>
        <v>193.93030865451311</v>
      </c>
      <c r="C280" s="44">
        <f t="shared" si="75"/>
        <v>14.108648906301106</v>
      </c>
      <c r="D280" s="44">
        <f t="shared" si="63"/>
        <v>27110.268581454955</v>
      </c>
      <c r="E280" s="44">
        <f t="shared" si="70"/>
        <v>5444.1731137864172</v>
      </c>
      <c r="F280" s="44">
        <f t="shared" si="71"/>
        <v>4083.1298353398129</v>
      </c>
      <c r="G280" s="44">
        <f t="shared" si="72"/>
        <v>1361.0432784466043</v>
      </c>
      <c r="H280" s="44">
        <f t="shared" si="73"/>
        <v>542.20537162909909</v>
      </c>
      <c r="I280" s="44">
        <f t="shared" si="64"/>
        <v>818.8379068175052</v>
      </c>
      <c r="J280" s="100">
        <f t="shared" si="65"/>
        <v>3.0204116621410964E-2</v>
      </c>
      <c r="K280" s="100">
        <f t="shared" si="66"/>
        <v>3.0201234984695357E-2</v>
      </c>
      <c r="L280" s="44">
        <f t="shared" si="67"/>
        <v>4.9796852551956761</v>
      </c>
      <c r="M280" s="100">
        <f t="shared" si="68"/>
        <v>6.0244771431485086E-2</v>
      </c>
      <c r="N280" s="44"/>
      <c r="O280" s="44"/>
      <c r="P280" s="40">
        <f t="shared" si="69"/>
        <v>385.87487362840102</v>
      </c>
      <c r="Q280" s="101">
        <f t="shared" si="76"/>
        <v>2.000122275712413E-2</v>
      </c>
      <c r="S280" s="101"/>
    </row>
    <row r="281" spans="1:19">
      <c r="A281" s="44">
        <v>268</v>
      </c>
      <c r="B281" s="44">
        <f t="shared" si="74"/>
        <v>197.80891482760339</v>
      </c>
      <c r="C281" s="44">
        <f t="shared" si="75"/>
        <v>14.249735395364118</v>
      </c>
      <c r="D281" s="44">
        <f t="shared" si="63"/>
        <v>27929.10648827246</v>
      </c>
      <c r="E281" s="44">
        <f t="shared" si="70"/>
        <v>5608.5936359387451</v>
      </c>
      <c r="F281" s="44">
        <f t="shared" si="71"/>
        <v>4206.4452269540589</v>
      </c>
      <c r="G281" s="44">
        <f t="shared" si="72"/>
        <v>1402.1484089846863</v>
      </c>
      <c r="H281" s="44">
        <f t="shared" si="73"/>
        <v>558.58212976544917</v>
      </c>
      <c r="I281" s="44">
        <f t="shared" si="64"/>
        <v>843.56627921923712</v>
      </c>
      <c r="J281" s="100">
        <f t="shared" si="65"/>
        <v>3.0203976192904245E-2</v>
      </c>
      <c r="K281" s="100">
        <f t="shared" si="66"/>
        <v>3.0201192856259794E-2</v>
      </c>
      <c r="L281" s="44">
        <f t="shared" si="67"/>
        <v>4.9796987090147411</v>
      </c>
      <c r="M281" s="100">
        <f t="shared" si="68"/>
        <v>6.0244608666164969E-2</v>
      </c>
      <c r="N281" s="44"/>
      <c r="O281" s="44"/>
      <c r="P281" s="40">
        <f t="shared" si="69"/>
        <v>393.59282683686848</v>
      </c>
      <c r="Q281" s="101">
        <f t="shared" si="76"/>
        <v>2.0001181045801602E-2</v>
      </c>
      <c r="S281" s="101"/>
    </row>
    <row r="282" spans="1:19">
      <c r="A282" s="44">
        <v>269</v>
      </c>
      <c r="B282" s="44">
        <f t="shared" si="74"/>
        <v>201.76509312415547</v>
      </c>
      <c r="C282" s="44">
        <f t="shared" si="75"/>
        <v>14.39223274931776</v>
      </c>
      <c r="D282" s="44">
        <f t="shared" si="63"/>
        <v>28772.672767491698</v>
      </c>
      <c r="E282" s="44">
        <f t="shared" si="70"/>
        <v>5777.9796257695989</v>
      </c>
      <c r="F282" s="44">
        <f t="shared" si="71"/>
        <v>4333.4847193271989</v>
      </c>
      <c r="G282" s="44">
        <f t="shared" si="72"/>
        <v>1444.4949064423997</v>
      </c>
      <c r="H282" s="44">
        <f t="shared" si="73"/>
        <v>575.45345534983403</v>
      </c>
      <c r="I282" s="44">
        <f t="shared" si="64"/>
        <v>869.04145109256569</v>
      </c>
      <c r="J282" s="100">
        <f t="shared" si="65"/>
        <v>3.0203840555137512E-2</v>
      </c>
      <c r="K282" s="100">
        <f t="shared" si="66"/>
        <v>3.020115216503871E-2</v>
      </c>
      <c r="L282" s="44">
        <f t="shared" si="67"/>
        <v>4.9797117039261485</v>
      </c>
      <c r="M282" s="100">
        <f t="shared" si="68"/>
        <v>6.0244451453579394E-2</v>
      </c>
      <c r="N282" s="44"/>
      <c r="O282" s="44"/>
      <c r="P282" s="40">
        <f t="shared" si="69"/>
        <v>401.46513236756084</v>
      </c>
      <c r="Q282" s="101">
        <f t="shared" si="76"/>
        <v>2.0001140757463995E-2</v>
      </c>
      <c r="S282" s="101"/>
    </row>
    <row r="283" spans="1:19">
      <c r="A283" s="44">
        <v>270</v>
      </c>
      <c r="B283" s="44">
        <f t="shared" si="74"/>
        <v>205.80039498663859</v>
      </c>
      <c r="C283" s="44">
        <f t="shared" si="75"/>
        <v>14.536155076810937</v>
      </c>
      <c r="D283" s="44">
        <f t="shared" si="63"/>
        <v>29641.714218584264</v>
      </c>
      <c r="E283" s="44">
        <f t="shared" si="70"/>
        <v>5952.4810405617582</v>
      </c>
      <c r="F283" s="44">
        <f t="shared" si="71"/>
        <v>4464.3607804213189</v>
      </c>
      <c r="G283" s="44">
        <f t="shared" si="72"/>
        <v>1488.1202601404395</v>
      </c>
      <c r="H283" s="44">
        <f t="shared" si="73"/>
        <v>592.83428437168527</v>
      </c>
      <c r="I283" s="44">
        <f t="shared" si="64"/>
        <v>895.28597576875427</v>
      </c>
      <c r="J283" s="100">
        <f t="shared" si="65"/>
        <v>3.0203709544649498E-2</v>
      </c>
      <c r="K283" s="100">
        <f t="shared" si="66"/>
        <v>3.0201112861992226E-2</v>
      </c>
      <c r="L283" s="44">
        <f t="shared" si="67"/>
        <v>4.9797242555831582</v>
      </c>
      <c r="M283" s="100">
        <f t="shared" si="68"/>
        <v>6.0244299604269559E-2</v>
      </c>
      <c r="N283" s="44"/>
      <c r="O283" s="44"/>
      <c r="P283" s="40">
        <f t="shared" si="69"/>
        <v>409.49487736668141</v>
      </c>
      <c r="Q283" s="101">
        <f t="shared" si="76"/>
        <v>2.0001101843556728E-2</v>
      </c>
      <c r="S283" s="101"/>
    </row>
    <row r="284" spans="1:19">
      <c r="A284" s="44">
        <v>271</v>
      </c>
      <c r="B284" s="44">
        <f t="shared" si="74"/>
        <v>209.91640288637137</v>
      </c>
      <c r="C284" s="44">
        <f t="shared" si="75"/>
        <v>14.681516627579047</v>
      </c>
      <c r="D284" s="44">
        <f t="shared" si="63"/>
        <v>30537.000194353019</v>
      </c>
      <c r="E284" s="44">
        <f t="shared" si="70"/>
        <v>6132.2523663071497</v>
      </c>
      <c r="F284" s="44">
        <f t="shared" si="71"/>
        <v>4599.1892747303627</v>
      </c>
      <c r="G284" s="44">
        <f t="shared" si="72"/>
        <v>1533.0630915767874</v>
      </c>
      <c r="H284" s="44">
        <f t="shared" si="73"/>
        <v>610.74000388706042</v>
      </c>
      <c r="I284" s="44">
        <f t="shared" si="64"/>
        <v>922.323087689727</v>
      </c>
      <c r="J284" s="100">
        <f t="shared" si="65"/>
        <v>3.0203583003557986E-2</v>
      </c>
      <c r="K284" s="100">
        <f t="shared" si="66"/>
        <v>3.0201074899757405E-2</v>
      </c>
      <c r="L284" s="44">
        <f t="shared" si="67"/>
        <v>4.9797363791050957</v>
      </c>
      <c r="M284" s="100">
        <f t="shared" si="68"/>
        <v>6.0244152935242878E-2</v>
      </c>
      <c r="N284" s="44"/>
      <c r="O284" s="44"/>
      <c r="P284" s="40">
        <f t="shared" si="69"/>
        <v>417.68521072188071</v>
      </c>
      <c r="Q284" s="101">
        <f t="shared" si="76"/>
        <v>2.0001064257185522E-2</v>
      </c>
      <c r="S284" s="101"/>
    </row>
    <row r="285" spans="1:19">
      <c r="A285" s="44">
        <v>272</v>
      </c>
      <c r="B285" s="44">
        <f t="shared" si="74"/>
        <v>214.1147309440988</v>
      </c>
      <c r="C285" s="44">
        <f t="shared" si="75"/>
        <v>14.828331793854836</v>
      </c>
      <c r="D285" s="44">
        <f t="shared" si="63"/>
        <v>31459.323282042747</v>
      </c>
      <c r="E285" s="44">
        <f t="shared" si="70"/>
        <v>6317.4527544738903</v>
      </c>
      <c r="F285" s="44">
        <f t="shared" si="71"/>
        <v>4738.0895658554182</v>
      </c>
      <c r="G285" s="44">
        <f t="shared" si="72"/>
        <v>1579.3631886184726</v>
      </c>
      <c r="H285" s="44">
        <f t="shared" si="73"/>
        <v>629.18646564085498</v>
      </c>
      <c r="I285" s="44">
        <f t="shared" si="64"/>
        <v>950.1767229776176</v>
      </c>
      <c r="J285" s="100">
        <f t="shared" si="65"/>
        <v>3.0203460779369123E-2</v>
      </c>
      <c r="K285" s="100">
        <f t="shared" si="66"/>
        <v>3.0201038232591283E-2</v>
      </c>
      <c r="L285" s="44">
        <f t="shared" si="67"/>
        <v>4.9797480890955459</v>
      </c>
      <c r="M285" s="100">
        <f t="shared" si="68"/>
        <v>6.0244011269752387E-2</v>
      </c>
      <c r="N285" s="44"/>
      <c r="O285" s="44"/>
      <c r="P285" s="40">
        <f t="shared" si="69"/>
        <v>426.0393442971091</v>
      </c>
      <c r="Q285" s="101">
        <f t="shared" si="76"/>
        <v>2.0001027953060708E-2</v>
      </c>
      <c r="S285" s="101"/>
    </row>
    <row r="286" spans="1:19">
      <c r="A286" s="44">
        <v>273</v>
      </c>
      <c r="B286" s="44">
        <f t="shared" si="74"/>
        <v>218.39702556298079</v>
      </c>
      <c r="C286" s="44">
        <f t="shared" si="75"/>
        <v>14.976615111793384</v>
      </c>
      <c r="D286" s="44">
        <f t="shared" si="63"/>
        <v>32409.500005020363</v>
      </c>
      <c r="E286" s="44">
        <f t="shared" si="70"/>
        <v>6508.2461629035952</v>
      </c>
      <c r="F286" s="44">
        <f t="shared" si="71"/>
        <v>4881.1846221776959</v>
      </c>
      <c r="G286" s="44">
        <f t="shared" si="72"/>
        <v>1627.0615407258988</v>
      </c>
      <c r="H286" s="44">
        <f t="shared" si="73"/>
        <v>648.19000010040725</v>
      </c>
      <c r="I286" s="44">
        <f t="shared" si="64"/>
        <v>978.87154062549155</v>
      </c>
      <c r="J286" s="100">
        <f t="shared" si="65"/>
        <v>3.0203342724793608E-2</v>
      </c>
      <c r="K286" s="100">
        <f t="shared" si="66"/>
        <v>3.020100281629948E-2</v>
      </c>
      <c r="L286" s="44">
        <f t="shared" si="67"/>
        <v>4.9797593996600087</v>
      </c>
      <c r="M286" s="100">
        <f t="shared" si="68"/>
        <v>6.024387443708272E-2</v>
      </c>
      <c r="N286" s="44"/>
      <c r="O286" s="44"/>
      <c r="P286" s="40">
        <f t="shared" si="69"/>
        <v>434.56055419215892</v>
      </c>
      <c r="Q286" s="101">
        <f t="shared" si="76"/>
        <v>2.0000992887425309E-2</v>
      </c>
      <c r="S286" s="101"/>
    </row>
    <row r="287" spans="1:19">
      <c r="A287" s="44">
        <v>274</v>
      </c>
      <c r="B287" s="44">
        <f t="shared" si="74"/>
        <v>222.76496607424042</v>
      </c>
      <c r="C287" s="44">
        <f t="shared" si="75"/>
        <v>15.126381262911318</v>
      </c>
      <c r="D287" s="44">
        <f t="shared" si="63"/>
        <v>33388.371545645852</v>
      </c>
      <c r="E287" s="44">
        <f t="shared" si="70"/>
        <v>6704.801500963933</v>
      </c>
      <c r="F287" s="44">
        <f t="shared" si="71"/>
        <v>5028.6011257229493</v>
      </c>
      <c r="G287" s="44">
        <f t="shared" si="72"/>
        <v>1676.2003752409832</v>
      </c>
      <c r="H287" s="44">
        <f t="shared" si="73"/>
        <v>667.76743091291701</v>
      </c>
      <c r="I287" s="44">
        <f t="shared" si="64"/>
        <v>1008.4329443280662</v>
      </c>
      <c r="J287" s="100">
        <f t="shared" si="65"/>
        <v>3.0203228697568845E-2</v>
      </c>
      <c r="K287" s="100">
        <f t="shared" si="66"/>
        <v>3.0200968608207413E-2</v>
      </c>
      <c r="L287" s="44">
        <f t="shared" si="67"/>
        <v>4.9797703244228311</v>
      </c>
      <c r="M287" s="100">
        <f t="shared" si="68"/>
        <v>6.0243742272344823E-2</v>
      </c>
      <c r="N287" s="44"/>
      <c r="O287" s="44"/>
      <c r="P287" s="40">
        <f t="shared" si="69"/>
        <v>443.25218202740746</v>
      </c>
      <c r="Q287" s="101">
        <f t="shared" si="76"/>
        <v>2.0000959018027155E-2</v>
      </c>
      <c r="S287" s="101"/>
    </row>
    <row r="288" spans="1:19">
      <c r="A288" s="44">
        <v>275</v>
      </c>
      <c r="B288" s="44">
        <f t="shared" si="74"/>
        <v>227.22026539572522</v>
      </c>
      <c r="C288" s="44">
        <f t="shared" si="75"/>
        <v>15.27764507554043</v>
      </c>
      <c r="D288" s="44">
        <f t="shared" si="63"/>
        <v>34396.804489973918</v>
      </c>
      <c r="E288" s="44">
        <f t="shared" si="70"/>
        <v>6907.2927790847089</v>
      </c>
      <c r="F288" s="44">
        <f t="shared" si="71"/>
        <v>5180.4695843135314</v>
      </c>
      <c r="G288" s="44">
        <f t="shared" si="72"/>
        <v>1726.8231947711772</v>
      </c>
      <c r="H288" s="44">
        <f t="shared" si="73"/>
        <v>687.9360897994784</v>
      </c>
      <c r="I288" s="44">
        <f t="shared" si="64"/>
        <v>1038.8871049716988</v>
      </c>
      <c r="J288" s="100">
        <f t="shared" si="65"/>
        <v>3.0203118560287335E-2</v>
      </c>
      <c r="K288" s="100">
        <f t="shared" si="66"/>
        <v>3.0200935567095338E-2</v>
      </c>
      <c r="L288" s="44">
        <f t="shared" si="67"/>
        <v>4.9797808765436269</v>
      </c>
      <c r="M288" s="100">
        <f t="shared" si="68"/>
        <v>6.0243614616276933E-2</v>
      </c>
      <c r="N288" s="44"/>
      <c r="O288" s="44"/>
      <c r="P288" s="40">
        <f t="shared" si="69"/>
        <v>452.11763625424913</v>
      </c>
      <c r="Q288" s="101">
        <f t="shared" si="76"/>
        <v>2.0000926304054839E-2</v>
      </c>
      <c r="S288" s="101"/>
    </row>
    <row r="289" spans="1:19">
      <c r="A289" s="44">
        <v>276</v>
      </c>
      <c r="B289" s="44">
        <f t="shared" si="74"/>
        <v>231.76467070363972</v>
      </c>
      <c r="C289" s="44">
        <f t="shared" si="75"/>
        <v>15.430421526295834</v>
      </c>
      <c r="D289" s="44">
        <f t="shared" si="63"/>
        <v>35435.691594945616</v>
      </c>
      <c r="E289" s="44">
        <f t="shared" si="70"/>
        <v>7115.8992628099077</v>
      </c>
      <c r="F289" s="44">
        <f t="shared" si="71"/>
        <v>5336.9244471074308</v>
      </c>
      <c r="G289" s="44">
        <f t="shared" si="72"/>
        <v>1778.9748157024769</v>
      </c>
      <c r="H289" s="44">
        <f t="shared" si="73"/>
        <v>708.7138318989123</v>
      </c>
      <c r="I289" s="44">
        <f t="shared" si="64"/>
        <v>1070.2609838035646</v>
      </c>
      <c r="J289" s="100">
        <f t="shared" si="65"/>
        <v>3.0203012180230755E-2</v>
      </c>
      <c r="K289" s="100">
        <f t="shared" si="66"/>
        <v>3.0200903653144616E-2</v>
      </c>
      <c r="L289" s="44">
        <f t="shared" si="67"/>
        <v>4.9797910687331548</v>
      </c>
      <c r="M289" s="100">
        <f t="shared" si="68"/>
        <v>6.0243491315052133E-2</v>
      </c>
      <c r="N289" s="44"/>
      <c r="O289" s="44"/>
      <c r="P289" s="40">
        <f t="shared" si="69"/>
        <v>461.16039349173388</v>
      </c>
      <c r="Q289" s="101">
        <f t="shared" si="76"/>
        <v>2.0000894706083839E-2</v>
      </c>
      <c r="S289" s="101"/>
    </row>
    <row r="290" spans="1:19">
      <c r="A290" s="44">
        <v>277</v>
      </c>
      <c r="B290" s="44">
        <f t="shared" si="74"/>
        <v>236.39996411771253</v>
      </c>
      <c r="C290" s="44">
        <f t="shared" si="75"/>
        <v>15.584725741558794</v>
      </c>
      <c r="D290" s="44">
        <f t="shared" si="63"/>
        <v>36505.95257874918</v>
      </c>
      <c r="E290" s="44">
        <f t="shared" si="70"/>
        <v>7330.8056315021786</v>
      </c>
      <c r="F290" s="44">
        <f t="shared" si="71"/>
        <v>5498.1042236266339</v>
      </c>
      <c r="G290" s="44">
        <f t="shared" si="72"/>
        <v>1832.7014078755446</v>
      </c>
      <c r="H290" s="44">
        <f t="shared" si="73"/>
        <v>730.11905157498359</v>
      </c>
      <c r="I290" s="44">
        <f t="shared" si="64"/>
        <v>1102.5823563005611</v>
      </c>
      <c r="J290" s="100">
        <f t="shared" si="65"/>
        <v>3.0202909429210105E-2</v>
      </c>
      <c r="K290" s="100">
        <f t="shared" si="66"/>
        <v>3.0200872827900217E-2</v>
      </c>
      <c r="L290" s="44">
        <f t="shared" si="67"/>
        <v>4.9798009132686047</v>
      </c>
      <c r="M290" s="100">
        <f t="shared" si="68"/>
        <v>6.0243372220093072E-2</v>
      </c>
      <c r="N290" s="44"/>
      <c r="O290" s="44"/>
      <c r="P290" s="40">
        <f t="shared" si="69"/>
        <v>470.38399988994269</v>
      </c>
      <c r="Q290" s="101">
        <f t="shared" si="76"/>
        <v>2.0000864186039712E-2</v>
      </c>
      <c r="S290" s="101"/>
    </row>
    <row r="291" spans="1:19">
      <c r="A291" s="44">
        <v>278</v>
      </c>
      <c r="B291" s="44">
        <f t="shared" si="74"/>
        <v>241.12796340006679</v>
      </c>
      <c r="C291" s="44">
        <f t="shared" si="75"/>
        <v>15.740572998974383</v>
      </c>
      <c r="D291" s="44">
        <f t="shared" si="63"/>
        <v>37608.534935049742</v>
      </c>
      <c r="E291" s="44">
        <f t="shared" si="70"/>
        <v>7552.2021418401591</v>
      </c>
      <c r="F291" s="44">
        <f t="shared" si="71"/>
        <v>5664.1516063801191</v>
      </c>
      <c r="G291" s="44">
        <f t="shared" si="72"/>
        <v>1888.0505354600398</v>
      </c>
      <c r="H291" s="44">
        <f t="shared" si="73"/>
        <v>752.17069870099488</v>
      </c>
      <c r="I291" s="44">
        <f t="shared" si="64"/>
        <v>1135.8798367590448</v>
      </c>
      <c r="J291" s="100">
        <f t="shared" si="65"/>
        <v>3.0202810183410912E-2</v>
      </c>
      <c r="K291" s="100">
        <f t="shared" si="66"/>
        <v>3.0200843054218787E-2</v>
      </c>
      <c r="L291" s="44">
        <f t="shared" si="67"/>
        <v>4.9798104220083941</v>
      </c>
      <c r="M291" s="100">
        <f t="shared" si="68"/>
        <v>6.0243257187892661E-2</v>
      </c>
      <c r="N291" s="44"/>
      <c r="O291" s="44"/>
      <c r="P291" s="40">
        <f t="shared" si="69"/>
        <v>479.79207252062821</v>
      </c>
      <c r="Q291" s="101">
        <f t="shared" si="76"/>
        <v>2.000083470714727E-2</v>
      </c>
      <c r="S291" s="101"/>
    </row>
    <row r="292" spans="1:19">
      <c r="A292" s="44">
        <v>279</v>
      </c>
      <c r="B292" s="44">
        <f t="shared" si="74"/>
        <v>245.95052266806812</v>
      </c>
      <c r="C292" s="44">
        <f t="shared" si="75"/>
        <v>15.897978728964127</v>
      </c>
      <c r="D292" s="44">
        <f t="shared" si="63"/>
        <v>38744.414771808784</v>
      </c>
      <c r="E292" s="44">
        <f t="shared" si="70"/>
        <v>7780.2847962534024</v>
      </c>
      <c r="F292" s="44">
        <f t="shared" si="71"/>
        <v>5835.2135971900516</v>
      </c>
      <c r="G292" s="44">
        <f t="shared" si="72"/>
        <v>1945.0711990633506</v>
      </c>
      <c r="H292" s="44">
        <f t="shared" si="73"/>
        <v>774.88829543617567</v>
      </c>
      <c r="I292" s="44">
        <f t="shared" si="64"/>
        <v>1170.1829036271749</v>
      </c>
      <c r="J292" s="100">
        <f t="shared" si="65"/>
        <v>3.0202714323243823E-2</v>
      </c>
      <c r="K292" s="100">
        <f t="shared" si="66"/>
        <v>3.0200814296221814E-2</v>
      </c>
      <c r="L292" s="44">
        <f t="shared" si="67"/>
        <v>4.9798196064064602</v>
      </c>
      <c r="M292" s="100">
        <f t="shared" si="68"/>
        <v>6.0243146079840861E-2</v>
      </c>
      <c r="N292" s="44"/>
      <c r="O292" s="44"/>
      <c r="P292" s="40">
        <f t="shared" si="69"/>
        <v>489.3883007956664</v>
      </c>
      <c r="Q292" s="101">
        <f t="shared" si="76"/>
        <v>2.0000806233882919E-2</v>
      </c>
      <c r="S292" s="101"/>
    </row>
    <row r="293" spans="1:19">
      <c r="A293" s="44">
        <v>280</v>
      </c>
      <c r="B293" s="44">
        <f t="shared" si="74"/>
        <v>250.8695331214295</v>
      </c>
      <c r="C293" s="44">
        <f t="shared" si="75"/>
        <v>16.056958516253768</v>
      </c>
      <c r="D293" s="44">
        <f t="shared" si="63"/>
        <v>39914.597675435958</v>
      </c>
      <c r="E293" s="44">
        <f t="shared" si="70"/>
        <v>8015.2555164440964</v>
      </c>
      <c r="F293" s="44">
        <f t="shared" si="71"/>
        <v>6011.4416373330723</v>
      </c>
      <c r="G293" s="44">
        <f t="shared" si="72"/>
        <v>2003.8138791110241</v>
      </c>
      <c r="H293" s="44">
        <f t="shared" si="73"/>
        <v>798.29195350871919</v>
      </c>
      <c r="I293" s="44">
        <f t="shared" si="64"/>
        <v>1205.5219256023049</v>
      </c>
      <c r="J293" s="100">
        <f t="shared" si="65"/>
        <v>3.020262173320069E-2</v>
      </c>
      <c r="K293" s="100">
        <f t="shared" si="66"/>
        <v>3.0200786519260094E-2</v>
      </c>
      <c r="L293" s="44">
        <f t="shared" si="67"/>
        <v>4.9798284775260351</v>
      </c>
      <c r="M293" s="100">
        <f t="shared" si="68"/>
        <v>6.0243038762057756E-2</v>
      </c>
      <c r="N293" s="44"/>
      <c r="O293" s="44"/>
      <c r="P293" s="40">
        <f t="shared" si="69"/>
        <v>499.17644791388096</v>
      </c>
      <c r="Q293" s="101">
        <f t="shared" si="76"/>
        <v>2.000077873194071E-2</v>
      </c>
      <c r="S293" s="101"/>
    </row>
    <row r="294" spans="1:19">
      <c r="A294" s="44">
        <v>281</v>
      </c>
      <c r="B294" s="44">
        <f t="shared" si="74"/>
        <v>255.88692378385809</v>
      </c>
      <c r="C294" s="44">
        <f t="shared" si="75"/>
        <v>16.217528101416306</v>
      </c>
      <c r="D294" s="44">
        <f t="shared" si="63"/>
        <v>41120.119601038263</v>
      </c>
      <c r="E294" s="44">
        <f t="shared" si="70"/>
        <v>8257.3223221490589</v>
      </c>
      <c r="F294" s="44">
        <f t="shared" si="71"/>
        <v>6192.9917416117942</v>
      </c>
      <c r="G294" s="44">
        <f t="shared" si="72"/>
        <v>2064.3305805372647</v>
      </c>
      <c r="H294" s="44">
        <f t="shared" si="73"/>
        <v>822.40239202076532</v>
      </c>
      <c r="I294" s="44">
        <f t="shared" si="64"/>
        <v>1241.9281885164994</v>
      </c>
      <c r="J294" s="100">
        <f t="shared" si="65"/>
        <v>3.0202532301714793E-2</v>
      </c>
      <c r="K294" s="100">
        <f t="shared" si="66"/>
        <v>3.0200759689861197E-2</v>
      </c>
      <c r="L294" s="44">
        <f t="shared" si="67"/>
        <v>4.9798370460529995</v>
      </c>
      <c r="M294" s="100">
        <f t="shared" si="68"/>
        <v>6.0242935105231786E-2</v>
      </c>
      <c r="N294" s="44"/>
      <c r="O294" s="44"/>
      <c r="P294" s="40">
        <f t="shared" si="69"/>
        <v>509.16035233679861</v>
      </c>
      <c r="Q294" s="101">
        <f t="shared" si="76"/>
        <v>2.0000752168179401E-2</v>
      </c>
      <c r="S294" s="101"/>
    </row>
    <row r="295" spans="1:19">
      <c r="A295" s="44">
        <v>282</v>
      </c>
      <c r="B295" s="44">
        <f t="shared" si="74"/>
        <v>261.00466225953528</v>
      </c>
      <c r="C295" s="44">
        <f t="shared" si="75"/>
        <v>16.379703382430471</v>
      </c>
      <c r="D295" s="44">
        <f t="shared" si="63"/>
        <v>42362.047789554759</v>
      </c>
      <c r="E295" s="44">
        <f t="shared" si="70"/>
        <v>8506.69951530041</v>
      </c>
      <c r="F295" s="44">
        <f t="shared" si="71"/>
        <v>6380.0246364753075</v>
      </c>
      <c r="G295" s="44">
        <f t="shared" si="72"/>
        <v>2126.6748788251025</v>
      </c>
      <c r="H295" s="44">
        <f t="shared" si="73"/>
        <v>847.24095579109519</v>
      </c>
      <c r="I295" s="44">
        <f t="shared" si="64"/>
        <v>1279.4339230340074</v>
      </c>
      <c r="J295" s="100">
        <f t="shared" si="65"/>
        <v>3.0202445921026416E-2</v>
      </c>
      <c r="K295" s="100">
        <f t="shared" si="66"/>
        <v>3.0200733775697874E-2</v>
      </c>
      <c r="L295" s="44">
        <f t="shared" si="67"/>
        <v>4.979845322308738</v>
      </c>
      <c r="M295" s="100">
        <f t="shared" si="68"/>
        <v>6.024283498446395E-2</v>
      </c>
      <c r="N295" s="44"/>
      <c r="O295" s="44"/>
      <c r="P295" s="40">
        <f t="shared" si="69"/>
        <v>519.34392929392345</v>
      </c>
      <c r="Q295" s="101">
        <f t="shared" si="76"/>
        <v>2.0000726510591746E-2</v>
      </c>
      <c r="S295" s="101"/>
    </row>
    <row r="296" spans="1:19">
      <c r="A296" s="44">
        <v>283</v>
      </c>
      <c r="B296" s="44">
        <f t="shared" si="74"/>
        <v>266.22475550472598</v>
      </c>
      <c r="C296" s="44">
        <f t="shared" si="75"/>
        <v>16.543500416254776</v>
      </c>
      <c r="D296" s="44">
        <f t="shared" si="63"/>
        <v>43641.481712588764</v>
      </c>
      <c r="E296" s="44">
        <f t="shared" si="70"/>
        <v>8763.6078697478843</v>
      </c>
      <c r="F296" s="44">
        <f t="shared" si="71"/>
        <v>6572.7059023109132</v>
      </c>
      <c r="G296" s="44">
        <f t="shared" si="72"/>
        <v>2190.9019674369711</v>
      </c>
      <c r="H296" s="44">
        <f t="shared" si="73"/>
        <v>872.82963425177525</v>
      </c>
      <c r="I296" s="44">
        <f t="shared" si="64"/>
        <v>1318.0723331851959</v>
      </c>
      <c r="J296" s="100">
        <f t="shared" si="65"/>
        <v>3.0202362487053228E-2</v>
      </c>
      <c r="K296" s="100">
        <f t="shared" si="66"/>
        <v>3.0200708745547089E-2</v>
      </c>
      <c r="L296" s="44">
        <f t="shared" si="67"/>
        <v>4.9798533162625711</v>
      </c>
      <c r="M296" s="100">
        <f t="shared" si="68"/>
        <v>6.0242738279117213E-2</v>
      </c>
      <c r="N296" s="44"/>
      <c r="O296" s="44"/>
      <c r="P296" s="40">
        <f t="shared" si="69"/>
        <v>529.73117231811614</v>
      </c>
      <c r="Q296" s="101">
        <f t="shared" si="76"/>
        <v>2.0000701728264566E-2</v>
      </c>
      <c r="S296" s="101"/>
    </row>
    <row r="297" spans="1:19">
      <c r="A297" s="44">
        <v>284</v>
      </c>
      <c r="B297" s="44">
        <f t="shared" si="74"/>
        <v>271.54925061482049</v>
      </c>
      <c r="C297" s="44">
        <f t="shared" si="75"/>
        <v>16.708935420417323</v>
      </c>
      <c r="D297" s="44">
        <f t="shared" si="63"/>
        <v>44959.554045773963</v>
      </c>
      <c r="E297" s="44">
        <f t="shared" si="70"/>
        <v>9028.2748267107218</v>
      </c>
      <c r="F297" s="44">
        <f t="shared" si="71"/>
        <v>6771.2061200330409</v>
      </c>
      <c r="G297" s="44">
        <f t="shared" si="72"/>
        <v>2257.0687066776804</v>
      </c>
      <c r="H297" s="44">
        <f t="shared" si="73"/>
        <v>899.19108091547923</v>
      </c>
      <c r="I297" s="44">
        <f t="shared" si="64"/>
        <v>1357.8776257622012</v>
      </c>
      <c r="J297" s="100">
        <f t="shared" si="65"/>
        <v>3.0202281899264417E-2</v>
      </c>
      <c r="K297" s="100">
        <f t="shared" si="66"/>
        <v>3.0200684569248255E-2</v>
      </c>
      <c r="L297" s="44">
        <f t="shared" si="67"/>
        <v>4.9798610375437704</v>
      </c>
      <c r="M297" s="100">
        <f t="shared" si="68"/>
        <v>6.0242644872670933E-2</v>
      </c>
      <c r="N297" s="44"/>
      <c r="O297" s="44"/>
      <c r="P297" s="40">
        <f t="shared" si="69"/>
        <v>540.32615481167693</v>
      </c>
      <c r="Q297" s="101">
        <f t="shared" si="76"/>
        <v>2.0000677791334985E-2</v>
      </c>
      <c r="S297" s="101"/>
    </row>
    <row r="298" spans="1:19">
      <c r="A298" s="44">
        <v>285</v>
      </c>
      <c r="B298" s="44">
        <f t="shared" si="74"/>
        <v>276.98023562711688</v>
      </c>
      <c r="C298" s="44">
        <f t="shared" si="75"/>
        <v>16.876024774621495</v>
      </c>
      <c r="D298" s="44">
        <f t="shared" si="63"/>
        <v>46317.431671536164</v>
      </c>
      <c r="E298" s="44">
        <f t="shared" si="70"/>
        <v>9300.9346961322644</v>
      </c>
      <c r="F298" s="44">
        <f t="shared" si="71"/>
        <v>6975.7010220991979</v>
      </c>
      <c r="G298" s="44">
        <f t="shared" si="72"/>
        <v>2325.2336740330661</v>
      </c>
      <c r="H298" s="44">
        <f t="shared" si="73"/>
        <v>926.34863343072334</v>
      </c>
      <c r="I298" s="44">
        <f t="shared" si="64"/>
        <v>1398.8850406023428</v>
      </c>
      <c r="J298" s="100">
        <f t="shared" si="65"/>
        <v>3.0202204060559113E-2</v>
      </c>
      <c r="K298" s="100">
        <f t="shared" si="66"/>
        <v>3.0200661217673747E-2</v>
      </c>
      <c r="L298" s="44">
        <f t="shared" si="67"/>
        <v>4.9798684954531485</v>
      </c>
      <c r="M298" s="100">
        <f t="shared" si="68"/>
        <v>6.0242554652580473E-2</v>
      </c>
      <c r="N298" s="44"/>
      <c r="O298" s="44"/>
      <c r="P298" s="40">
        <f t="shared" si="69"/>
        <v>551.1330316437552</v>
      </c>
      <c r="Q298" s="101">
        <f t="shared" si="76"/>
        <v>2.0000654670964166E-2</v>
      </c>
      <c r="S298" s="101"/>
    </row>
    <row r="299" spans="1:19">
      <c r="A299" s="44">
        <v>286</v>
      </c>
      <c r="B299" s="44">
        <f t="shared" si="74"/>
        <v>282.51984033965925</v>
      </c>
      <c r="C299" s="44">
        <f t="shared" si="75"/>
        <v>17.044785022367709</v>
      </c>
      <c r="D299" s="44">
        <f t="shared" si="63"/>
        <v>47716.316712138505</v>
      </c>
      <c r="E299" s="44">
        <f t="shared" si="70"/>
        <v>9581.8288641153522</v>
      </c>
      <c r="F299" s="44">
        <f t="shared" si="71"/>
        <v>7186.3716480865141</v>
      </c>
      <c r="G299" s="44">
        <f t="shared" si="72"/>
        <v>2395.457216028838</v>
      </c>
      <c r="H299" s="44">
        <f t="shared" si="73"/>
        <v>954.32633424277014</v>
      </c>
      <c r="I299" s="44">
        <f t="shared" si="64"/>
        <v>1441.1308817860679</v>
      </c>
      <c r="J299" s="100">
        <f t="shared" si="65"/>
        <v>3.0202128877150364E-2</v>
      </c>
      <c r="K299" s="100">
        <f t="shared" si="66"/>
        <v>3.0200638662681488E-2</v>
      </c>
      <c r="L299" s="44">
        <f t="shared" si="67"/>
        <v>4.9798756989742943</v>
      </c>
      <c r="M299" s="100">
        <f t="shared" si="68"/>
        <v>6.0242467510141076E-2</v>
      </c>
      <c r="N299" s="44"/>
      <c r="O299" s="44"/>
      <c r="P299" s="40">
        <f t="shared" si="69"/>
        <v>562.15604077969942</v>
      </c>
      <c r="Q299" s="101">
        <f t="shared" si="76"/>
        <v>2.0000632339288536E-2</v>
      </c>
      <c r="S299" s="101"/>
    </row>
    <row r="300" spans="1:19">
      <c r="A300" s="44">
        <v>287</v>
      </c>
      <c r="B300" s="44">
        <f t="shared" si="74"/>
        <v>288.17023714645245</v>
      </c>
      <c r="C300" s="44">
        <f t="shared" si="75"/>
        <v>17.215232872591386</v>
      </c>
      <c r="D300" s="44">
        <f t="shared" si="63"/>
        <v>49157.447593924575</v>
      </c>
      <c r="E300" s="44">
        <f t="shared" si="70"/>
        <v>9871.2060066224876</v>
      </c>
      <c r="F300" s="44">
        <f t="shared" si="71"/>
        <v>7403.4045049668657</v>
      </c>
      <c r="G300" s="44">
        <f t="shared" si="72"/>
        <v>2467.8015016556219</v>
      </c>
      <c r="H300" s="44">
        <f t="shared" si="73"/>
        <v>983.14895187849152</v>
      </c>
      <c r="I300" s="44">
        <f t="shared" si="64"/>
        <v>1484.6525497771304</v>
      </c>
      <c r="J300" s="100">
        <f t="shared" si="65"/>
        <v>3.0202056258450939E-2</v>
      </c>
      <c r="K300" s="100">
        <f t="shared" si="66"/>
        <v>3.0200616877105155E-2</v>
      </c>
      <c r="L300" s="44">
        <f t="shared" si="67"/>
        <v>4.9798826567843246</v>
      </c>
      <c r="M300" s="100">
        <f t="shared" si="68"/>
        <v>6.0242383340357648E-2</v>
      </c>
      <c r="N300" s="44"/>
      <c r="O300" s="44"/>
      <c r="P300" s="40">
        <f t="shared" si="69"/>
        <v>573.3995049430074</v>
      </c>
      <c r="Q300" s="101">
        <f t="shared" si="76"/>
        <v>2.0000610769411127E-2</v>
      </c>
      <c r="S300" s="101"/>
    </row>
    <row r="301" spans="1:19">
      <c r="A301" s="44">
        <v>288</v>
      </c>
      <c r="B301" s="44">
        <f t="shared" si="74"/>
        <v>293.93364188938148</v>
      </c>
      <c r="C301" s="44">
        <f t="shared" si="75"/>
        <v>17.387385201317301</v>
      </c>
      <c r="D301" s="44">
        <f t="shared" si="63"/>
        <v>50642.100143701704</v>
      </c>
      <c r="E301" s="44">
        <f t="shared" si="70"/>
        <v>10169.32230962944</v>
      </c>
      <c r="F301" s="44">
        <f t="shared" si="71"/>
        <v>7626.9917322220808</v>
      </c>
      <c r="G301" s="44">
        <f t="shared" si="72"/>
        <v>2542.3305774073601</v>
      </c>
      <c r="H301" s="44">
        <f t="shared" si="73"/>
        <v>1012.8420028740341</v>
      </c>
      <c r="I301" s="44">
        <f t="shared" si="64"/>
        <v>1529.4885745333261</v>
      </c>
      <c r="J301" s="100">
        <f t="shared" si="65"/>
        <v>3.0201986116964685E-2</v>
      </c>
      <c r="K301" s="100">
        <f t="shared" si="66"/>
        <v>3.0200595834688263E-2</v>
      </c>
      <c r="L301" s="44">
        <f t="shared" si="67"/>
        <v>4.9798893772644179</v>
      </c>
      <c r="M301" s="100">
        <f t="shared" si="68"/>
        <v>6.0242302041817193E-2</v>
      </c>
      <c r="N301" s="44"/>
      <c r="O301" s="44"/>
      <c r="P301" s="40">
        <f t="shared" si="69"/>
        <v>584.86783331049651</v>
      </c>
      <c r="Q301" s="101">
        <f t="shared" si="76"/>
        <v>2.0000589935334864E-2</v>
      </c>
      <c r="S301" s="101"/>
    </row>
    <row r="302" spans="1:19">
      <c r="A302" s="44">
        <v>289</v>
      </c>
      <c r="B302" s="44">
        <f t="shared" si="74"/>
        <v>299.81231472716911</v>
      </c>
      <c r="C302" s="44">
        <f t="shared" si="75"/>
        <v>17.561259053330474</v>
      </c>
      <c r="D302" s="44">
        <f t="shared" si="63"/>
        <v>52171.588718235027</v>
      </c>
      <c r="E302" s="44">
        <f t="shared" si="70"/>
        <v>10476.44169592773</v>
      </c>
      <c r="F302" s="44">
        <f t="shared" si="71"/>
        <v>7857.3312719457972</v>
      </c>
      <c r="G302" s="44">
        <f t="shared" si="72"/>
        <v>2619.1104239819324</v>
      </c>
      <c r="H302" s="44">
        <f t="shared" si="73"/>
        <v>1043.4317743647005</v>
      </c>
      <c r="I302" s="44">
        <f t="shared" si="64"/>
        <v>1575.6786496172319</v>
      </c>
      <c r="J302" s="100">
        <f t="shared" si="65"/>
        <v>3.0201918368180942E-2</v>
      </c>
      <c r="K302" s="100">
        <f t="shared" si="66"/>
        <v>3.0200575510078431E-2</v>
      </c>
      <c r="L302" s="44">
        <f t="shared" si="67"/>
        <v>4.9798958685098693</v>
      </c>
      <c r="M302" s="100">
        <f t="shared" si="68"/>
        <v>6.0242223516566981E-2</v>
      </c>
      <c r="N302" s="44"/>
      <c r="O302" s="44"/>
      <c r="P302" s="40">
        <f t="shared" si="69"/>
        <v>596.56552324139216</v>
      </c>
      <c r="Q302" s="101">
        <f t="shared" si="76"/>
        <v>2.0000569811958767E-2</v>
      </c>
      <c r="S302" s="101"/>
    </row>
    <row r="303" spans="1:19">
      <c r="A303" s="44">
        <v>290</v>
      </c>
      <c r="B303" s="44">
        <f t="shared" si="74"/>
        <v>305.80856102171248</v>
      </c>
      <c r="C303" s="44">
        <f t="shared" si="75"/>
        <v>17.736871643863779</v>
      </c>
      <c r="D303" s="44">
        <f t="shared" si="63"/>
        <v>53747.267367852262</v>
      </c>
      <c r="E303" s="44">
        <f t="shared" si="70"/>
        <v>10792.836058776504</v>
      </c>
      <c r="F303" s="44">
        <f t="shared" si="71"/>
        <v>8094.6270440823773</v>
      </c>
      <c r="G303" s="44">
        <f t="shared" si="72"/>
        <v>2698.2090146941259</v>
      </c>
      <c r="H303" s="44">
        <f t="shared" si="73"/>
        <v>1074.9453473570452</v>
      </c>
      <c r="I303" s="44">
        <f t="shared" si="64"/>
        <v>1623.2636673370807</v>
      </c>
      <c r="J303" s="100">
        <f t="shared" si="65"/>
        <v>3.0201852930472554E-2</v>
      </c>
      <c r="K303" s="100">
        <f t="shared" si="66"/>
        <v>3.0200555878792217E-2</v>
      </c>
      <c r="L303" s="44">
        <f t="shared" si="67"/>
        <v>4.9799021383398232</v>
      </c>
      <c r="M303" s="100">
        <f t="shared" si="68"/>
        <v>6.0242147669996707E-2</v>
      </c>
      <c r="N303" s="44"/>
      <c r="O303" s="44"/>
      <c r="P303" s="40">
        <f t="shared" si="69"/>
        <v>608.49716204099479</v>
      </c>
      <c r="Q303" s="101">
        <f t="shared" si="76"/>
        <v>2.0000550375041806E-2</v>
      </c>
      <c r="S303" s="101"/>
    </row>
    <row r="304" spans="1:19">
      <c r="A304" s="44">
        <v>291</v>
      </c>
      <c r="B304" s="44">
        <f t="shared" si="74"/>
        <v>311.92473224214672</v>
      </c>
      <c r="C304" s="44">
        <f t="shared" si="75"/>
        <v>17.914240360302419</v>
      </c>
      <c r="D304" s="44">
        <f t="shared" si="63"/>
        <v>55370.531035189342</v>
      </c>
      <c r="E304" s="44">
        <f t="shared" si="70"/>
        <v>11118.785502610561</v>
      </c>
      <c r="F304" s="44">
        <f t="shared" si="71"/>
        <v>8339.0891269579206</v>
      </c>
      <c r="G304" s="44">
        <f t="shared" si="72"/>
        <v>2779.6963756526402</v>
      </c>
      <c r="H304" s="44">
        <f t="shared" si="73"/>
        <v>1107.4106207037869</v>
      </c>
      <c r="I304" s="44">
        <f t="shared" si="64"/>
        <v>1672.2857549488533</v>
      </c>
      <c r="J304" s="100">
        <f t="shared" si="65"/>
        <v>3.0201789724997239E-2</v>
      </c>
      <c r="K304" s="100">
        <f t="shared" si="66"/>
        <v>3.0200536917171273E-2</v>
      </c>
      <c r="L304" s="44">
        <f t="shared" si="67"/>
        <v>4.9799081943067423</v>
      </c>
      <c r="M304" s="100">
        <f t="shared" si="68"/>
        <v>6.0242074410723802E-2</v>
      </c>
      <c r="N304" s="44"/>
      <c r="O304" s="44"/>
      <c r="P304" s="40">
        <f t="shared" si="69"/>
        <v>620.66742875961165</v>
      </c>
      <c r="Q304" s="101">
        <f t="shared" si="76"/>
        <v>2.0000531601159614E-2</v>
      </c>
      <c r="S304" s="101"/>
    </row>
    <row r="305" spans="1:19">
      <c r="A305" s="44">
        <v>292</v>
      </c>
      <c r="B305" s="44">
        <f t="shared" si="74"/>
        <v>318.16322688698966</v>
      </c>
      <c r="C305" s="44">
        <f t="shared" si="75"/>
        <v>18.093382763905442</v>
      </c>
      <c r="D305" s="44">
        <f t="shared" si="63"/>
        <v>57042.816790138197</v>
      </c>
      <c r="E305" s="44">
        <f t="shared" si="70"/>
        <v>11454.578591017995</v>
      </c>
      <c r="F305" s="44">
        <f t="shared" si="71"/>
        <v>8590.9339432634952</v>
      </c>
      <c r="G305" s="44">
        <f t="shared" si="72"/>
        <v>2863.6446477544987</v>
      </c>
      <c r="H305" s="44">
        <f t="shared" si="73"/>
        <v>1140.8563358027639</v>
      </c>
      <c r="I305" s="44">
        <f t="shared" si="64"/>
        <v>1722.7883119517348</v>
      </c>
      <c r="J305" s="100">
        <f t="shared" si="65"/>
        <v>3.0201728675603192E-2</v>
      </c>
      <c r="K305" s="100">
        <f t="shared" si="66"/>
        <v>3.0200518602377362E-2</v>
      </c>
      <c r="L305" s="44">
        <f t="shared" si="67"/>
        <v>4.979914043705441</v>
      </c>
      <c r="M305" s="100">
        <f t="shared" si="68"/>
        <v>6.0242003650484058E-2</v>
      </c>
      <c r="N305" s="44"/>
      <c r="O305" s="44"/>
      <c r="P305" s="40">
        <f t="shared" si="69"/>
        <v>633.08109602748118</v>
      </c>
      <c r="Q305" s="101">
        <f t="shared" si="76"/>
        <v>2.0000513467700296E-2</v>
      </c>
      <c r="S305" s="101"/>
    </row>
    <row r="306" spans="1:19">
      <c r="A306" s="44">
        <v>293</v>
      </c>
      <c r="B306" s="44">
        <f t="shared" si="74"/>
        <v>324.52649142472944</v>
      </c>
      <c r="C306" s="44">
        <f t="shared" si="75"/>
        <v>18.274316591544498</v>
      </c>
      <c r="D306" s="44">
        <f t="shared" si="63"/>
        <v>58765.605102089932</v>
      </c>
      <c r="E306" s="44">
        <f t="shared" si="70"/>
        <v>11800.512602206478</v>
      </c>
      <c r="F306" s="44">
        <f t="shared" si="71"/>
        <v>8850.3844516548579</v>
      </c>
      <c r="G306" s="44">
        <f t="shared" si="72"/>
        <v>2950.1281505516195</v>
      </c>
      <c r="H306" s="44">
        <f t="shared" si="73"/>
        <v>1175.3121020417987</v>
      </c>
      <c r="I306" s="44">
        <f t="shared" si="64"/>
        <v>1774.8160485098208</v>
      </c>
      <c r="J306" s="100">
        <f t="shared" si="65"/>
        <v>3.0201669708736726E-2</v>
      </c>
      <c r="K306" s="100">
        <f t="shared" si="66"/>
        <v>3.0200500912337717E-2</v>
      </c>
      <c r="L306" s="44">
        <f t="shared" si="67"/>
        <v>4.9799196935819428</v>
      </c>
      <c r="M306" s="100">
        <f t="shared" si="68"/>
        <v>6.0241935304024316E-2</v>
      </c>
      <c r="N306" s="44"/>
      <c r="O306" s="44"/>
      <c r="P306" s="40">
        <f t="shared" si="69"/>
        <v>645.7430319263791</v>
      </c>
      <c r="Q306" s="101">
        <f t="shared" si="76"/>
        <v>2.000049595280963E-2</v>
      </c>
      <c r="S306" s="101"/>
    </row>
    <row r="307" spans="1:19">
      <c r="A307" s="44">
        <v>294</v>
      </c>
      <c r="B307" s="44">
        <f t="shared" si="74"/>
        <v>331.01702125322402</v>
      </c>
      <c r="C307" s="44">
        <f t="shared" si="75"/>
        <v>18.457059757459941</v>
      </c>
      <c r="D307" s="44">
        <f t="shared" si="63"/>
        <v>60540.421150599752</v>
      </c>
      <c r="E307" s="44">
        <f t="shared" si="70"/>
        <v>12156.893792184852</v>
      </c>
      <c r="F307" s="44">
        <f t="shared" si="71"/>
        <v>9117.670344138638</v>
      </c>
      <c r="G307" s="44">
        <f t="shared" si="72"/>
        <v>3039.223448046213</v>
      </c>
      <c r="H307" s="44">
        <f t="shared" si="73"/>
        <v>1210.808423011995</v>
      </c>
      <c r="I307" s="44">
        <f t="shared" si="64"/>
        <v>1828.4150250342179</v>
      </c>
      <c r="J307" s="100">
        <f t="shared" si="65"/>
        <v>3.0201612753353584E-2</v>
      </c>
      <c r="K307" s="100">
        <f t="shared" si="66"/>
        <v>3.0200483825739689E-2</v>
      </c>
      <c r="L307" s="44">
        <f t="shared" si="67"/>
        <v>4.979925150741928</v>
      </c>
      <c r="M307" s="100">
        <f t="shared" si="68"/>
        <v>6.024186928900023E-2</v>
      </c>
      <c r="N307" s="44"/>
      <c r="O307" s="44"/>
      <c r="P307" s="40">
        <f t="shared" si="69"/>
        <v>658.65820189866918</v>
      </c>
      <c r="Q307" s="101">
        <f t="shared" si="76"/>
        <v>2.0000479035385901E-2</v>
      </c>
      <c r="S307" s="101"/>
    </row>
    <row r="308" spans="1:19">
      <c r="A308" s="44">
        <v>295</v>
      </c>
      <c r="B308" s="44">
        <f t="shared" si="74"/>
        <v>337.63736167828853</v>
      </c>
      <c r="C308" s="44">
        <f t="shared" si="75"/>
        <v>18.64163035503454</v>
      </c>
      <c r="D308" s="44">
        <f t="shared" si="63"/>
        <v>62368.836175633973</v>
      </c>
      <c r="E308" s="44">
        <f t="shared" si="70"/>
        <v>12524.037665892805</v>
      </c>
      <c r="F308" s="44">
        <f t="shared" si="71"/>
        <v>9393.0282494196035</v>
      </c>
      <c r="G308" s="44">
        <f t="shared" si="72"/>
        <v>3131.0094164732013</v>
      </c>
      <c r="H308" s="44">
        <f t="shared" si="73"/>
        <v>1247.3767235126795</v>
      </c>
      <c r="I308" s="44">
        <f t="shared" si="64"/>
        <v>1883.6326929605218</v>
      </c>
      <c r="J308" s="100">
        <f t="shared" si="65"/>
        <v>3.0201557740833579E-2</v>
      </c>
      <c r="K308" s="100">
        <f t="shared" si="66"/>
        <v>3.0200467322004123E-2</v>
      </c>
      <c r="L308" s="44">
        <f t="shared" si="67"/>
        <v>4.9799304217589055</v>
      </c>
      <c r="M308" s="100">
        <f t="shared" si="68"/>
        <v>6.0241805525877275E-2</v>
      </c>
      <c r="N308" s="44"/>
      <c r="O308" s="44"/>
      <c r="P308" s="40">
        <f t="shared" si="69"/>
        <v>671.83167069453464</v>
      </c>
      <c r="Q308" s="101">
        <f t="shared" si="76"/>
        <v>2.0000462695053668E-2</v>
      </c>
      <c r="S308" s="101"/>
    </row>
    <row r="309" spans="1:19">
      <c r="A309" s="44">
        <v>296</v>
      </c>
      <c r="B309" s="44">
        <f t="shared" si="74"/>
        <v>344.39010891185433</v>
      </c>
      <c r="C309" s="44">
        <f t="shared" si="75"/>
        <v>18.828046658584885</v>
      </c>
      <c r="D309" s="44">
        <f t="shared" si="63"/>
        <v>64252.468868594493</v>
      </c>
      <c r="E309" s="44">
        <f t="shared" si="70"/>
        <v>12902.269256518375</v>
      </c>
      <c r="F309" s="44">
        <f t="shared" si="71"/>
        <v>9676.7019423887814</v>
      </c>
      <c r="G309" s="44">
        <f t="shared" si="72"/>
        <v>3225.5673141295938</v>
      </c>
      <c r="H309" s="44">
        <f t="shared" si="73"/>
        <v>1285.0493773718899</v>
      </c>
      <c r="I309" s="44">
        <f t="shared" si="64"/>
        <v>1940.5179367577039</v>
      </c>
      <c r="J309" s="100">
        <f t="shared" si="65"/>
        <v>3.0201504604897709E-2</v>
      </c>
      <c r="K309" s="100">
        <f t="shared" si="66"/>
        <v>3.0200451381236466E-2</v>
      </c>
      <c r="L309" s="44">
        <f t="shared" si="67"/>
        <v>4.9799355129822152</v>
      </c>
      <c r="M309" s="100">
        <f t="shared" si="68"/>
        <v>6.0241743937833873E-2</v>
      </c>
      <c r="N309" s="44"/>
      <c r="O309" s="44"/>
      <c r="P309" s="40">
        <f t="shared" si="69"/>
        <v>685.26860435813842</v>
      </c>
      <c r="Q309" s="101">
        <f t="shared" si="76"/>
        <v>2.0000446912115319E-2</v>
      </c>
      <c r="S309" s="101"/>
    </row>
    <row r="310" spans="1:19">
      <c r="A310" s="44">
        <v>297</v>
      </c>
      <c r="B310" s="44">
        <f t="shared" si="74"/>
        <v>351.27791109009144</v>
      </c>
      <c r="C310" s="44">
        <f t="shared" si="75"/>
        <v>19.016327125170733</v>
      </c>
      <c r="D310" s="44">
        <f t="shared" ref="D310:D313" si="77">D309+I309</f>
        <v>66192.986805352193</v>
      </c>
      <c r="E310" s="44">
        <f t="shared" si="70"/>
        <v>13291.923413251343</v>
      </c>
      <c r="F310" s="44">
        <f t="shared" si="71"/>
        <v>9968.9425599385067</v>
      </c>
      <c r="G310" s="44">
        <f t="shared" si="72"/>
        <v>3322.9808533128357</v>
      </c>
      <c r="H310" s="44">
        <f t="shared" si="73"/>
        <v>1323.859736107044</v>
      </c>
      <c r="I310" s="44">
        <f t="shared" ref="I310:I313" si="78">G310-H310</f>
        <v>1999.1211172057917</v>
      </c>
      <c r="J310" s="100">
        <f t="shared" ref="J310:J313" si="79">(D310-D309)/D309</f>
        <v>3.0201453281528179E-2</v>
      </c>
      <c r="K310" s="100">
        <f t="shared" ref="K310:K313" si="80">(E310-E309)/E309</f>
        <v>3.0200435984244399E-2</v>
      </c>
      <c r="L310" s="44">
        <f t="shared" ref="L310:L313" si="81">D310/E310</f>
        <v>4.9799404305445591</v>
      </c>
      <c r="M310" s="100">
        <f t="shared" ref="M310:M313" si="82">alpha/L310</f>
        <v>6.0241684450670192E-2</v>
      </c>
      <c r="N310" s="44"/>
      <c r="O310" s="44"/>
      <c r="P310" s="40">
        <f t="shared" ref="P310:P313" si="83">E310/C310</f>
        <v>698.97427225353351</v>
      </c>
      <c r="Q310" s="101">
        <f t="shared" si="76"/>
        <v>2.0000431667568666E-2</v>
      </c>
      <c r="S310" s="101"/>
    </row>
    <row r="311" spans="1:19">
      <c r="A311" s="44">
        <v>298</v>
      </c>
      <c r="B311" s="44">
        <f t="shared" si="74"/>
        <v>358.30346931189325</v>
      </c>
      <c r="C311" s="44">
        <f t="shared" si="75"/>
        <v>19.206490396422442</v>
      </c>
      <c r="D311" s="44">
        <f t="shared" si="77"/>
        <v>68192.107922557989</v>
      </c>
      <c r="E311" s="44">
        <f t="shared" si="70"/>
        <v>13693.345097726195</v>
      </c>
      <c r="F311" s="44">
        <f t="shared" si="71"/>
        <v>10270.008823294645</v>
      </c>
      <c r="G311" s="44">
        <f t="shared" si="72"/>
        <v>3423.3362744315486</v>
      </c>
      <c r="H311" s="44">
        <f t="shared" si="73"/>
        <v>1363.8421584511598</v>
      </c>
      <c r="I311" s="44">
        <f t="shared" si="78"/>
        <v>2059.4941159803889</v>
      </c>
      <c r="J311" s="100">
        <f t="shared" si="79"/>
        <v>3.0201403708891888E-2</v>
      </c>
      <c r="K311" s="100">
        <f t="shared" si="80"/>
        <v>3.0200421112467103E-2</v>
      </c>
      <c r="L311" s="44">
        <f t="shared" si="81"/>
        <v>4.9799451803695076</v>
      </c>
      <c r="M311" s="100">
        <f t="shared" si="82"/>
        <v>6.0241626992717269E-2</v>
      </c>
      <c r="N311" s="44"/>
      <c r="O311" s="44"/>
      <c r="P311" s="40">
        <f t="shared" si="83"/>
        <v>712.95404913105983</v>
      </c>
      <c r="Q311" s="101">
        <f t="shared" si="76"/>
        <v>2.0000416943036701E-2</v>
      </c>
      <c r="S311" s="101"/>
    </row>
    <row r="312" spans="1:19">
      <c r="A312" s="44">
        <v>299</v>
      </c>
      <c r="B312" s="44">
        <f t="shared" si="74"/>
        <v>365.46953869813115</v>
      </c>
      <c r="C312" s="44">
        <f t="shared" si="75"/>
        <v>19.398555300386665</v>
      </c>
      <c r="D312" s="44">
        <f t="shared" si="77"/>
        <v>70251.602038538374</v>
      </c>
      <c r="E312" s="44">
        <f t="shared" si="70"/>
        <v>14106.889689418136</v>
      </c>
      <c r="F312" s="44">
        <f t="shared" si="71"/>
        <v>10580.167267063602</v>
      </c>
      <c r="G312" s="44">
        <f t="shared" si="72"/>
        <v>3526.722422354534</v>
      </c>
      <c r="H312" s="44">
        <f t="shared" si="73"/>
        <v>1405.0320407707675</v>
      </c>
      <c r="I312" s="44">
        <f t="shared" si="78"/>
        <v>2121.6903815837668</v>
      </c>
      <c r="J312" s="100">
        <f t="shared" si="79"/>
        <v>3.0201355827264343E-2</v>
      </c>
      <c r="K312" s="100">
        <f t="shared" si="80"/>
        <v>3.0200406747991144E-2</v>
      </c>
      <c r="L312" s="44">
        <f t="shared" si="81"/>
        <v>4.9799497681785603</v>
      </c>
      <c r="M312" s="100">
        <f t="shared" si="82"/>
        <v>6.0241571494751518E-2</v>
      </c>
      <c r="N312" s="44"/>
      <c r="O312" s="44"/>
      <c r="P312" s="40">
        <f t="shared" si="83"/>
        <v>727.2134172350942</v>
      </c>
      <c r="Q312" s="101">
        <f t="shared" si="76"/>
        <v>2.0000402720783364E-2</v>
      </c>
      <c r="S312" s="101"/>
    </row>
    <row r="313" spans="1:19">
      <c r="A313" s="44">
        <v>300</v>
      </c>
      <c r="B313" s="44">
        <f t="shared" si="74"/>
        <v>372.77892947209375</v>
      </c>
      <c r="C313" s="44">
        <f t="shared" si="75"/>
        <v>19.592540853390531</v>
      </c>
      <c r="D313" s="44">
        <f t="shared" si="77"/>
        <v>72373.292420122147</v>
      </c>
      <c r="E313" s="44">
        <f t="shared" si="70"/>
        <v>14532.923300261884</v>
      </c>
      <c r="F313" s="44">
        <f t="shared" si="71"/>
        <v>10899.692475196412</v>
      </c>
      <c r="G313" s="44">
        <f t="shared" si="72"/>
        <v>3633.230825065471</v>
      </c>
      <c r="H313" s="44">
        <f t="shared" si="73"/>
        <v>1447.465848402443</v>
      </c>
      <c r="I313" s="44">
        <f t="shared" si="78"/>
        <v>2185.7649766630279</v>
      </c>
      <c r="J313" s="100">
        <f t="shared" si="79"/>
        <v>3.0201309578959678E-2</v>
      </c>
      <c r="K313" s="100">
        <f t="shared" si="80"/>
        <v>3.0200392873513726E-2</v>
      </c>
      <c r="L313" s="44">
        <f t="shared" si="81"/>
        <v>4.9799541994980441</v>
      </c>
      <c r="M313" s="100">
        <f t="shared" si="82"/>
        <v>6.0241517889911229E-2</v>
      </c>
      <c r="N313" s="44"/>
      <c r="O313" s="44"/>
      <c r="P313" s="40">
        <f t="shared" si="83"/>
        <v>741.75796845394507</v>
      </c>
      <c r="Q313" s="101">
        <f t="shared" si="76"/>
        <v>2.0000388983676981E-2</v>
      </c>
      <c r="S313" s="101"/>
    </row>
    <row r="314" spans="1:19">
      <c r="A314" s="44"/>
      <c r="B314" s="44"/>
      <c r="C314" s="44"/>
      <c r="D314" s="44"/>
      <c r="E314" s="44"/>
      <c r="F314" s="44"/>
      <c r="G314" s="44"/>
      <c r="H314" s="44"/>
      <c r="I314" s="44"/>
      <c r="J314" s="100"/>
      <c r="K314" s="100"/>
      <c r="L314" s="44"/>
      <c r="M314" s="100"/>
      <c r="N314" s="44"/>
      <c r="O314" s="44"/>
      <c r="Q314" s="101"/>
    </row>
    <row r="315" spans="1:19">
      <c r="A315" s="44"/>
      <c r="B315" s="44"/>
      <c r="C315" s="44"/>
      <c r="D315" s="44"/>
      <c r="E315" s="44"/>
      <c r="F315" s="44"/>
      <c r="G315" s="44"/>
      <c r="H315" s="44"/>
      <c r="I315" s="44"/>
      <c r="J315" s="100"/>
      <c r="K315" s="100"/>
      <c r="L315" s="44"/>
      <c r="M315" s="100"/>
      <c r="N315" s="44"/>
      <c r="O315" s="44"/>
      <c r="Q315" s="101"/>
    </row>
    <row r="316" spans="1:19">
      <c r="A316" s="44"/>
      <c r="B316" s="44"/>
      <c r="C316" s="44"/>
      <c r="D316" s="44"/>
      <c r="E316" s="44"/>
      <c r="F316" s="44"/>
      <c r="G316" s="44"/>
      <c r="H316" s="44"/>
      <c r="I316" s="44"/>
      <c r="J316" s="100"/>
      <c r="K316" s="100"/>
      <c r="L316" s="44"/>
      <c r="M316" s="100"/>
      <c r="N316" s="44"/>
      <c r="O316" s="44"/>
      <c r="Q316" s="101"/>
    </row>
    <row r="317" spans="1:19">
      <c r="A317" s="44"/>
      <c r="B317" s="44"/>
      <c r="C317" s="44"/>
      <c r="D317" s="44"/>
      <c r="E317" s="44"/>
      <c r="F317" s="44"/>
      <c r="G317" s="44"/>
      <c r="H317" s="44"/>
      <c r="I317" s="44"/>
      <c r="J317" s="100"/>
      <c r="K317" s="100"/>
      <c r="L317" s="44"/>
      <c r="M317" s="100"/>
      <c r="N317" s="44"/>
      <c r="O317" s="44"/>
      <c r="Q317" s="101"/>
    </row>
    <row r="318" spans="1:19">
      <c r="A318" s="44"/>
      <c r="B318" s="44"/>
      <c r="C318" s="44"/>
      <c r="D318" s="44"/>
      <c r="E318" s="44"/>
      <c r="F318" s="44"/>
      <c r="G318" s="44"/>
      <c r="H318" s="44"/>
      <c r="I318" s="44"/>
      <c r="J318" s="100"/>
      <c r="K318" s="100"/>
      <c r="L318" s="44"/>
      <c r="M318" s="100"/>
      <c r="N318" s="44"/>
      <c r="O318" s="44"/>
      <c r="Q318" s="101"/>
    </row>
    <row r="319" spans="1:19">
      <c r="A319" s="44"/>
      <c r="B319" s="44"/>
      <c r="C319" s="44"/>
      <c r="D319" s="44"/>
      <c r="E319" s="44"/>
      <c r="F319" s="44"/>
      <c r="G319" s="44"/>
      <c r="H319" s="44"/>
      <c r="I319" s="44"/>
      <c r="J319" s="100"/>
      <c r="K319" s="100"/>
      <c r="L319" s="44"/>
      <c r="M319" s="100"/>
      <c r="N319" s="44"/>
      <c r="O319" s="44"/>
      <c r="Q319" s="101"/>
    </row>
    <row r="320" spans="1:19">
      <c r="A320" s="44"/>
      <c r="B320" s="44"/>
      <c r="C320" s="44"/>
      <c r="D320" s="44"/>
      <c r="E320" s="44"/>
      <c r="F320" s="44"/>
      <c r="G320" s="44"/>
      <c r="H320" s="44"/>
      <c r="I320" s="44"/>
      <c r="J320" s="100"/>
      <c r="K320" s="100"/>
      <c r="L320" s="44"/>
      <c r="M320" s="100"/>
      <c r="N320" s="44"/>
      <c r="O320" s="44"/>
      <c r="Q320" s="101"/>
    </row>
    <row r="321" spans="1:17">
      <c r="A321" s="44"/>
      <c r="B321" s="44"/>
      <c r="C321" s="44"/>
      <c r="D321" s="44"/>
      <c r="E321" s="44"/>
      <c r="F321" s="44"/>
      <c r="G321" s="44"/>
      <c r="H321" s="44"/>
      <c r="I321" s="44"/>
      <c r="J321" s="100"/>
      <c r="K321" s="100"/>
      <c r="L321" s="44"/>
      <c r="M321" s="100"/>
      <c r="N321" s="44"/>
      <c r="O321" s="44"/>
      <c r="Q321" s="101"/>
    </row>
    <row r="322" spans="1:17">
      <c r="A322" s="44"/>
      <c r="B322" s="44"/>
      <c r="C322" s="44"/>
      <c r="D322" s="44"/>
      <c r="E322" s="44"/>
      <c r="F322" s="44"/>
      <c r="G322" s="44"/>
      <c r="H322" s="44"/>
      <c r="I322" s="44"/>
      <c r="J322" s="100"/>
      <c r="K322" s="100"/>
      <c r="L322" s="44"/>
      <c r="M322" s="100"/>
      <c r="N322" s="44"/>
      <c r="O322" s="44"/>
      <c r="Q322" s="101"/>
    </row>
    <row r="323" spans="1:17">
      <c r="A323" s="44"/>
      <c r="B323" s="44"/>
      <c r="C323" s="44"/>
      <c r="D323" s="44"/>
      <c r="E323" s="44"/>
      <c r="F323" s="44"/>
      <c r="G323" s="44"/>
      <c r="H323" s="44"/>
      <c r="I323" s="44"/>
      <c r="J323" s="100"/>
      <c r="K323" s="100"/>
      <c r="L323" s="44"/>
      <c r="M323" s="100"/>
      <c r="N323" s="44"/>
      <c r="O323" s="44"/>
      <c r="Q323" s="101"/>
    </row>
    <row r="324" spans="1:17">
      <c r="A324" s="44"/>
      <c r="B324" s="44"/>
      <c r="C324" s="44"/>
      <c r="D324" s="44"/>
      <c r="E324" s="44"/>
      <c r="F324" s="44"/>
      <c r="G324" s="44"/>
      <c r="H324" s="44"/>
      <c r="I324" s="44"/>
      <c r="J324" s="100"/>
      <c r="K324" s="100"/>
      <c r="L324" s="44"/>
      <c r="M324" s="100"/>
      <c r="N324" s="44"/>
      <c r="O324" s="44"/>
      <c r="Q324" s="101"/>
    </row>
    <row r="325" spans="1:17">
      <c r="A325" s="44"/>
      <c r="B325" s="44"/>
      <c r="C325" s="44"/>
      <c r="D325" s="44"/>
      <c r="E325" s="44"/>
      <c r="F325" s="44"/>
      <c r="G325" s="44"/>
      <c r="H325" s="44"/>
      <c r="I325" s="44"/>
      <c r="J325" s="100"/>
      <c r="K325" s="100"/>
      <c r="L325" s="44"/>
      <c r="M325" s="100"/>
      <c r="N325" s="44"/>
      <c r="O325" s="44"/>
      <c r="Q325" s="101"/>
    </row>
    <row r="326" spans="1:17">
      <c r="A326" s="44"/>
      <c r="B326" s="44"/>
      <c r="C326" s="44"/>
      <c r="D326" s="44"/>
      <c r="E326" s="44"/>
      <c r="F326" s="44"/>
      <c r="G326" s="44"/>
      <c r="H326" s="44"/>
      <c r="I326" s="44"/>
      <c r="J326" s="100"/>
      <c r="K326" s="100"/>
      <c r="L326" s="44"/>
      <c r="M326" s="100"/>
      <c r="N326" s="44"/>
      <c r="O326" s="44"/>
      <c r="Q326" s="101"/>
    </row>
    <row r="327" spans="1:17">
      <c r="A327" s="44"/>
      <c r="B327" s="44"/>
      <c r="C327" s="44"/>
      <c r="D327" s="44"/>
      <c r="E327" s="44"/>
      <c r="F327" s="44"/>
      <c r="G327" s="44"/>
      <c r="H327" s="44"/>
      <c r="I327" s="44"/>
      <c r="J327" s="100"/>
      <c r="K327" s="100"/>
      <c r="L327" s="44"/>
      <c r="M327" s="100"/>
      <c r="N327" s="44"/>
      <c r="O327" s="44"/>
      <c r="Q327" s="101"/>
    </row>
    <row r="328" spans="1:17">
      <c r="A328" s="44"/>
      <c r="B328" s="44"/>
      <c r="C328" s="44"/>
      <c r="D328" s="44"/>
      <c r="E328" s="44"/>
      <c r="F328" s="44"/>
      <c r="G328" s="44"/>
      <c r="H328" s="44"/>
      <c r="I328" s="44"/>
      <c r="J328" s="100"/>
      <c r="K328" s="100"/>
      <c r="L328" s="44"/>
      <c r="M328" s="100"/>
      <c r="N328" s="44"/>
      <c r="O328" s="44"/>
      <c r="Q328" s="101"/>
    </row>
    <row r="329" spans="1:17">
      <c r="A329" s="44"/>
      <c r="B329" s="44"/>
      <c r="C329" s="44"/>
      <c r="D329" s="44"/>
      <c r="E329" s="44"/>
      <c r="F329" s="44"/>
      <c r="G329" s="44"/>
      <c r="H329" s="44"/>
      <c r="I329" s="44"/>
      <c r="J329" s="100"/>
      <c r="K329" s="100"/>
      <c r="L329" s="44"/>
      <c r="M329" s="100"/>
      <c r="N329" s="44"/>
      <c r="O329" s="44"/>
      <c r="Q329" s="101"/>
    </row>
    <row r="330" spans="1:17">
      <c r="A330" s="44"/>
      <c r="B330" s="44"/>
      <c r="C330" s="44"/>
      <c r="D330" s="44"/>
      <c r="E330" s="44"/>
      <c r="F330" s="44"/>
      <c r="G330" s="44"/>
      <c r="H330" s="44"/>
      <c r="I330" s="44"/>
      <c r="J330" s="100"/>
      <c r="K330" s="100"/>
      <c r="L330" s="44"/>
      <c r="M330" s="100"/>
      <c r="N330" s="44"/>
      <c r="O330" s="44"/>
      <c r="Q330" s="101"/>
    </row>
    <row r="331" spans="1:17">
      <c r="A331" s="44"/>
      <c r="B331" s="44"/>
      <c r="C331" s="44"/>
      <c r="D331" s="44"/>
      <c r="E331" s="44"/>
      <c r="F331" s="44"/>
      <c r="G331" s="44"/>
      <c r="H331" s="44"/>
      <c r="I331" s="44"/>
      <c r="J331" s="100"/>
      <c r="K331" s="100"/>
      <c r="L331" s="44"/>
      <c r="M331" s="100"/>
      <c r="N331" s="44"/>
      <c r="O331" s="44"/>
      <c r="Q331" s="101"/>
    </row>
    <row r="332" spans="1:17">
      <c r="A332" s="44"/>
      <c r="B332" s="44"/>
      <c r="C332" s="44"/>
      <c r="D332" s="44"/>
      <c r="E332" s="44"/>
      <c r="F332" s="44"/>
      <c r="G332" s="44"/>
      <c r="H332" s="44"/>
      <c r="I332" s="44"/>
      <c r="J332" s="100"/>
      <c r="K332" s="100"/>
      <c r="L332" s="44"/>
      <c r="M332" s="100"/>
      <c r="N332" s="44"/>
      <c r="O332" s="44"/>
      <c r="Q332" s="101"/>
    </row>
    <row r="333" spans="1:17">
      <c r="A333" s="44"/>
      <c r="B333" s="44"/>
      <c r="C333" s="44"/>
      <c r="D333" s="44"/>
      <c r="E333" s="44"/>
      <c r="F333" s="44"/>
      <c r="G333" s="44"/>
      <c r="H333" s="44"/>
      <c r="I333" s="44"/>
      <c r="J333" s="100"/>
      <c r="K333" s="100"/>
      <c r="L333" s="44"/>
      <c r="M333" s="100"/>
      <c r="N333" s="44"/>
      <c r="O333" s="44"/>
      <c r="Q333" s="101"/>
    </row>
    <row r="334" spans="1:17">
      <c r="A334" s="44"/>
      <c r="B334" s="44"/>
      <c r="C334" s="44"/>
      <c r="D334" s="44"/>
      <c r="E334" s="44"/>
      <c r="F334" s="44"/>
      <c r="G334" s="44"/>
      <c r="H334" s="44"/>
      <c r="I334" s="44"/>
      <c r="J334" s="100"/>
      <c r="K334" s="100"/>
      <c r="L334" s="44"/>
      <c r="M334" s="100"/>
      <c r="N334" s="44"/>
      <c r="O334" s="44"/>
      <c r="Q334" s="101"/>
    </row>
    <row r="335" spans="1:17">
      <c r="A335" s="44"/>
      <c r="B335" s="44"/>
      <c r="C335" s="44"/>
      <c r="D335" s="44"/>
      <c r="E335" s="44"/>
      <c r="F335" s="44"/>
      <c r="G335" s="44"/>
      <c r="H335" s="44"/>
      <c r="I335" s="44"/>
      <c r="J335" s="100"/>
      <c r="K335" s="100"/>
      <c r="L335" s="44"/>
      <c r="M335" s="100"/>
      <c r="N335" s="44"/>
      <c r="O335" s="44"/>
      <c r="Q335" s="101"/>
    </row>
    <row r="336" spans="1:17">
      <c r="A336" s="44"/>
      <c r="B336" s="44"/>
      <c r="C336" s="44"/>
      <c r="D336" s="44"/>
      <c r="E336" s="44"/>
      <c r="F336" s="44"/>
      <c r="G336" s="44"/>
      <c r="H336" s="44"/>
      <c r="I336" s="44"/>
      <c r="J336" s="100"/>
      <c r="K336" s="100"/>
      <c r="L336" s="44"/>
      <c r="M336" s="100"/>
      <c r="N336" s="44"/>
      <c r="O336" s="44"/>
      <c r="Q336" s="101"/>
    </row>
    <row r="337" spans="1:17">
      <c r="A337" s="44"/>
      <c r="B337" s="44"/>
      <c r="C337" s="44"/>
      <c r="D337" s="44"/>
      <c r="E337" s="44"/>
      <c r="F337" s="44"/>
      <c r="G337" s="44"/>
      <c r="H337" s="44"/>
      <c r="I337" s="44"/>
      <c r="J337" s="100"/>
      <c r="K337" s="100"/>
      <c r="L337" s="44"/>
      <c r="M337" s="100"/>
      <c r="N337" s="44"/>
      <c r="O337" s="44"/>
      <c r="Q337" s="101"/>
    </row>
    <row r="338" spans="1:17">
      <c r="A338" s="44"/>
      <c r="B338" s="44"/>
      <c r="C338" s="44"/>
      <c r="D338" s="44"/>
      <c r="E338" s="44"/>
      <c r="F338" s="44"/>
      <c r="G338" s="44"/>
      <c r="H338" s="44"/>
      <c r="I338" s="44"/>
      <c r="J338" s="100"/>
      <c r="K338" s="100"/>
      <c r="L338" s="44"/>
      <c r="M338" s="100"/>
      <c r="N338" s="44"/>
      <c r="O338" s="44"/>
      <c r="Q338" s="101"/>
    </row>
    <row r="339" spans="1:17">
      <c r="A339" s="44"/>
      <c r="B339" s="44"/>
      <c r="C339" s="44"/>
      <c r="D339" s="44"/>
      <c r="E339" s="44"/>
      <c r="F339" s="44"/>
      <c r="G339" s="44"/>
      <c r="H339" s="44"/>
      <c r="I339" s="44"/>
      <c r="J339" s="100"/>
      <c r="K339" s="100"/>
      <c r="L339" s="44"/>
      <c r="M339" s="100"/>
      <c r="N339" s="44"/>
      <c r="O339" s="44"/>
      <c r="Q339" s="101"/>
    </row>
    <row r="340" spans="1:17">
      <c r="A340" s="44"/>
      <c r="B340" s="44"/>
      <c r="C340" s="44"/>
      <c r="D340" s="44"/>
      <c r="E340" s="44"/>
      <c r="F340" s="44"/>
      <c r="G340" s="44"/>
      <c r="H340" s="44"/>
      <c r="I340" s="44"/>
      <c r="J340" s="100"/>
      <c r="K340" s="100"/>
      <c r="L340" s="44"/>
      <c r="M340" s="100"/>
      <c r="N340" s="44"/>
      <c r="O340" s="44"/>
      <c r="Q340" s="101"/>
    </row>
    <row r="341" spans="1:17">
      <c r="A341" s="44"/>
      <c r="B341" s="44"/>
      <c r="C341" s="44"/>
      <c r="D341" s="44"/>
      <c r="E341" s="44"/>
      <c r="F341" s="44"/>
      <c r="G341" s="44"/>
      <c r="H341" s="44"/>
      <c r="I341" s="44"/>
      <c r="J341" s="100"/>
      <c r="K341" s="100"/>
      <c r="L341" s="44"/>
      <c r="M341" s="100"/>
      <c r="N341" s="44"/>
      <c r="O341" s="44"/>
      <c r="Q341" s="101"/>
    </row>
    <row r="342" spans="1:17">
      <c r="A342" s="44"/>
      <c r="B342" s="44"/>
      <c r="C342" s="44"/>
      <c r="D342" s="44"/>
      <c r="E342" s="44"/>
      <c r="F342" s="44"/>
      <c r="G342" s="44"/>
      <c r="H342" s="44"/>
      <c r="I342" s="44"/>
      <c r="J342" s="100"/>
      <c r="K342" s="100"/>
      <c r="L342" s="44"/>
      <c r="M342" s="100"/>
      <c r="N342" s="44"/>
      <c r="O342" s="44"/>
      <c r="Q342" s="101"/>
    </row>
    <row r="343" spans="1:17">
      <c r="A343" s="44"/>
      <c r="B343" s="44"/>
      <c r="C343" s="44"/>
      <c r="D343" s="44"/>
      <c r="E343" s="44"/>
      <c r="F343" s="44"/>
      <c r="G343" s="44"/>
      <c r="H343" s="44"/>
      <c r="I343" s="44"/>
      <c r="J343" s="100"/>
      <c r="K343" s="100"/>
      <c r="L343" s="44"/>
      <c r="M343" s="100"/>
      <c r="N343" s="44"/>
      <c r="O343" s="44"/>
      <c r="Q343" s="101"/>
    </row>
    <row r="344" spans="1:17">
      <c r="A344" s="44"/>
      <c r="B344" s="44"/>
      <c r="C344" s="44"/>
      <c r="D344" s="44"/>
      <c r="E344" s="44"/>
      <c r="F344" s="44"/>
      <c r="G344" s="44"/>
      <c r="H344" s="44"/>
      <c r="I344" s="44"/>
      <c r="J344" s="100"/>
      <c r="K344" s="100"/>
      <c r="L344" s="44"/>
      <c r="M344" s="100"/>
      <c r="N344" s="44"/>
      <c r="O344" s="44"/>
      <c r="Q344" s="101"/>
    </row>
    <row r="345" spans="1:17">
      <c r="A345" s="44"/>
      <c r="B345" s="44"/>
      <c r="C345" s="44"/>
      <c r="D345" s="44"/>
      <c r="E345" s="44"/>
      <c r="F345" s="44"/>
      <c r="G345" s="44"/>
      <c r="H345" s="44"/>
      <c r="I345" s="44"/>
      <c r="J345" s="100"/>
      <c r="K345" s="100"/>
      <c r="L345" s="44"/>
      <c r="M345" s="100"/>
      <c r="N345" s="44"/>
      <c r="O345" s="44"/>
      <c r="Q345" s="101"/>
    </row>
    <row r="346" spans="1:17">
      <c r="A346" s="44"/>
      <c r="B346" s="44"/>
      <c r="C346" s="44"/>
      <c r="D346" s="44"/>
      <c r="E346" s="44"/>
      <c r="F346" s="44"/>
      <c r="G346" s="44"/>
      <c r="H346" s="44"/>
      <c r="I346" s="44"/>
      <c r="J346" s="100"/>
      <c r="K346" s="100"/>
      <c r="L346" s="44"/>
      <c r="M346" s="100"/>
      <c r="N346" s="44"/>
      <c r="O346" s="44"/>
      <c r="Q346" s="101"/>
    </row>
    <row r="347" spans="1:17">
      <c r="A347" s="44"/>
      <c r="B347" s="44"/>
      <c r="C347" s="44"/>
      <c r="D347" s="44"/>
      <c r="E347" s="44"/>
      <c r="F347" s="44"/>
      <c r="G347" s="44"/>
      <c r="H347" s="44"/>
      <c r="I347" s="44"/>
      <c r="J347" s="100"/>
      <c r="K347" s="100"/>
      <c r="L347" s="44"/>
      <c r="M347" s="100"/>
      <c r="N347" s="44"/>
      <c r="O347" s="44"/>
      <c r="Q347" s="101"/>
    </row>
    <row r="348" spans="1:17">
      <c r="A348" s="44"/>
      <c r="B348" s="44"/>
      <c r="C348" s="44"/>
      <c r="D348" s="44"/>
      <c r="E348" s="44"/>
      <c r="F348" s="44"/>
      <c r="G348" s="44"/>
      <c r="H348" s="44"/>
      <c r="I348" s="44"/>
      <c r="J348" s="100"/>
      <c r="K348" s="100"/>
      <c r="L348" s="44"/>
      <c r="M348" s="100"/>
      <c r="N348" s="44"/>
      <c r="O348" s="44"/>
      <c r="Q348" s="101"/>
    </row>
    <row r="349" spans="1:17">
      <c r="A349" s="44"/>
      <c r="B349" s="44"/>
      <c r="C349" s="44"/>
      <c r="D349" s="44"/>
      <c r="E349" s="44"/>
      <c r="F349" s="44"/>
      <c r="G349" s="44"/>
      <c r="H349" s="44"/>
      <c r="I349" s="44"/>
      <c r="J349" s="100"/>
      <c r="K349" s="100"/>
      <c r="L349" s="44"/>
      <c r="M349" s="100"/>
      <c r="N349" s="44"/>
      <c r="O349" s="44"/>
      <c r="Q349" s="101"/>
    </row>
    <row r="350" spans="1:17">
      <c r="A350" s="44"/>
      <c r="B350" s="44"/>
      <c r="C350" s="44"/>
      <c r="D350" s="44"/>
      <c r="E350" s="44"/>
      <c r="F350" s="44"/>
      <c r="G350" s="44"/>
      <c r="H350" s="44"/>
      <c r="I350" s="44"/>
      <c r="J350" s="100"/>
      <c r="K350" s="100"/>
      <c r="L350" s="44"/>
      <c r="M350" s="100"/>
      <c r="N350" s="44"/>
      <c r="O350" s="44"/>
      <c r="Q350" s="101"/>
    </row>
    <row r="351" spans="1:17">
      <c r="A351" s="44"/>
      <c r="B351" s="44"/>
      <c r="C351" s="44"/>
      <c r="D351" s="44"/>
      <c r="E351" s="44"/>
      <c r="F351" s="44"/>
      <c r="G351" s="44"/>
      <c r="H351" s="44"/>
      <c r="I351" s="44"/>
      <c r="J351" s="100"/>
      <c r="K351" s="100"/>
      <c r="L351" s="44"/>
      <c r="M351" s="100"/>
      <c r="N351" s="44"/>
      <c r="O351" s="44"/>
      <c r="Q351" s="101"/>
    </row>
    <row r="352" spans="1:17">
      <c r="A352" s="44"/>
      <c r="B352" s="44"/>
      <c r="C352" s="44"/>
      <c r="D352" s="44"/>
      <c r="E352" s="44"/>
      <c r="F352" s="44"/>
      <c r="G352" s="44"/>
      <c r="H352" s="44"/>
      <c r="I352" s="44"/>
      <c r="J352" s="100"/>
      <c r="K352" s="100"/>
      <c r="L352" s="44"/>
      <c r="M352" s="100"/>
      <c r="N352" s="44"/>
      <c r="O352" s="44"/>
      <c r="Q352" s="101"/>
    </row>
    <row r="353" spans="1:17">
      <c r="A353" s="44"/>
      <c r="B353" s="44"/>
      <c r="C353" s="44"/>
      <c r="D353" s="44"/>
      <c r="E353" s="44"/>
      <c r="F353" s="44"/>
      <c r="G353" s="44"/>
      <c r="H353" s="44"/>
      <c r="I353" s="44"/>
      <c r="J353" s="100"/>
      <c r="K353" s="100"/>
      <c r="L353" s="44"/>
      <c r="M353" s="100"/>
      <c r="N353" s="44"/>
      <c r="O353" s="44"/>
      <c r="Q353" s="101"/>
    </row>
    <row r="354" spans="1:17">
      <c r="A354" s="44"/>
      <c r="B354" s="44"/>
      <c r="C354" s="44"/>
      <c r="D354" s="44"/>
      <c r="E354" s="44"/>
      <c r="F354" s="44"/>
      <c r="G354" s="44"/>
      <c r="H354" s="44"/>
      <c r="I354" s="44"/>
      <c r="J354" s="100"/>
      <c r="K354" s="100"/>
      <c r="L354" s="44"/>
      <c r="M354" s="100"/>
      <c r="N354" s="44"/>
      <c r="O354" s="44"/>
      <c r="Q354" s="101"/>
    </row>
    <row r="355" spans="1:17">
      <c r="A355" s="44"/>
      <c r="B355" s="44"/>
      <c r="C355" s="44"/>
      <c r="D355" s="44"/>
      <c r="E355" s="44"/>
      <c r="F355" s="44"/>
      <c r="G355" s="44"/>
      <c r="H355" s="44"/>
      <c r="I355" s="44"/>
      <c r="J355" s="100"/>
      <c r="K355" s="100"/>
      <c r="L355" s="44"/>
      <c r="M355" s="100"/>
      <c r="N355" s="44"/>
      <c r="O355" s="44"/>
      <c r="Q355" s="101"/>
    </row>
    <row r="356" spans="1:17">
      <c r="A356" s="44"/>
      <c r="B356" s="44"/>
      <c r="C356" s="44"/>
      <c r="D356" s="44"/>
      <c r="E356" s="44"/>
      <c r="F356" s="44"/>
      <c r="G356" s="44"/>
      <c r="H356" s="44"/>
      <c r="I356" s="44"/>
      <c r="J356" s="100"/>
      <c r="K356" s="100"/>
      <c r="L356" s="44"/>
      <c r="M356" s="100"/>
      <c r="N356" s="44"/>
      <c r="O356" s="44"/>
      <c r="Q356" s="101"/>
    </row>
    <row r="357" spans="1:17">
      <c r="A357" s="44"/>
      <c r="B357" s="44"/>
      <c r="C357" s="44"/>
      <c r="D357" s="44"/>
      <c r="E357" s="44"/>
      <c r="F357" s="44"/>
      <c r="G357" s="44"/>
      <c r="H357" s="44"/>
      <c r="I357" s="44"/>
      <c r="J357" s="100"/>
      <c r="K357" s="100"/>
      <c r="L357" s="44"/>
      <c r="M357" s="100"/>
      <c r="N357" s="44"/>
      <c r="O357" s="44"/>
      <c r="Q357" s="101"/>
    </row>
    <row r="358" spans="1:17">
      <c r="A358" s="44"/>
      <c r="B358" s="44"/>
      <c r="C358" s="44"/>
      <c r="D358" s="44"/>
      <c r="E358" s="44"/>
      <c r="F358" s="44"/>
      <c r="G358" s="44"/>
      <c r="H358" s="44"/>
      <c r="I358" s="44"/>
      <c r="J358" s="100"/>
      <c r="K358" s="100"/>
      <c r="L358" s="44"/>
      <c r="M358" s="100"/>
      <c r="N358" s="44"/>
      <c r="O358" s="44"/>
      <c r="Q358" s="101"/>
    </row>
    <row r="359" spans="1:17">
      <c r="A359" s="44"/>
      <c r="B359" s="44"/>
      <c r="C359" s="44"/>
      <c r="D359" s="44"/>
      <c r="E359" s="44"/>
      <c r="F359" s="44"/>
      <c r="G359" s="44"/>
      <c r="H359" s="44"/>
      <c r="I359" s="44"/>
      <c r="J359" s="100"/>
      <c r="K359" s="100"/>
      <c r="L359" s="44"/>
      <c r="M359" s="100"/>
      <c r="N359" s="44"/>
      <c r="O359" s="44"/>
      <c r="Q359" s="101"/>
    </row>
    <row r="360" spans="1:17">
      <c r="A360" s="44"/>
      <c r="B360" s="44"/>
      <c r="C360" s="44"/>
      <c r="D360" s="44"/>
      <c r="E360" s="44"/>
      <c r="F360" s="44"/>
      <c r="G360" s="44"/>
      <c r="H360" s="44"/>
      <c r="I360" s="44"/>
      <c r="J360" s="100"/>
      <c r="K360" s="100"/>
      <c r="L360" s="44"/>
      <c r="M360" s="100"/>
      <c r="N360" s="44"/>
      <c r="O360" s="44"/>
      <c r="Q360" s="101"/>
    </row>
    <row r="361" spans="1:17">
      <c r="A361" s="44"/>
      <c r="B361" s="44"/>
      <c r="C361" s="44"/>
      <c r="D361" s="44"/>
      <c r="E361" s="44"/>
      <c r="F361" s="44"/>
      <c r="G361" s="44"/>
      <c r="H361" s="44"/>
      <c r="I361" s="44"/>
      <c r="J361" s="100"/>
      <c r="K361" s="100"/>
      <c r="L361" s="44"/>
      <c r="M361" s="100"/>
      <c r="N361" s="44"/>
      <c r="O361" s="44"/>
      <c r="Q361" s="101"/>
    </row>
    <row r="362" spans="1:17">
      <c r="A362" s="44"/>
      <c r="B362" s="44"/>
      <c r="C362" s="44"/>
      <c r="D362" s="44"/>
      <c r="E362" s="44"/>
      <c r="F362" s="44"/>
      <c r="G362" s="44"/>
      <c r="H362" s="44"/>
      <c r="I362" s="44"/>
      <c r="J362" s="100"/>
      <c r="K362" s="100"/>
      <c r="L362" s="44"/>
      <c r="M362" s="100"/>
      <c r="N362" s="44"/>
      <c r="O362" s="44"/>
      <c r="Q362" s="101"/>
    </row>
    <row r="363" spans="1:17">
      <c r="A363" s="44"/>
      <c r="B363" s="44"/>
      <c r="C363" s="44"/>
      <c r="D363" s="44"/>
      <c r="E363" s="44"/>
      <c r="F363" s="44"/>
      <c r="G363" s="44"/>
      <c r="H363" s="44"/>
      <c r="I363" s="44"/>
      <c r="J363" s="100"/>
      <c r="K363" s="100"/>
      <c r="L363" s="44"/>
      <c r="M363" s="100"/>
      <c r="N363" s="44"/>
      <c r="O363" s="44"/>
      <c r="Q363" s="101"/>
    </row>
    <row r="364" spans="1:17">
      <c r="A364" s="44"/>
      <c r="B364" s="44"/>
      <c r="C364" s="44"/>
      <c r="D364" s="44"/>
      <c r="E364" s="44"/>
      <c r="F364" s="44"/>
      <c r="G364" s="44"/>
      <c r="H364" s="44"/>
      <c r="I364" s="44"/>
      <c r="J364" s="100"/>
      <c r="K364" s="100"/>
      <c r="L364" s="44"/>
      <c r="M364" s="100"/>
      <c r="N364" s="44"/>
      <c r="O364" s="44"/>
      <c r="Q364" s="101"/>
    </row>
    <row r="365" spans="1:17">
      <c r="A365" s="44"/>
      <c r="B365" s="44"/>
      <c r="C365" s="44"/>
      <c r="D365" s="44"/>
      <c r="E365" s="44"/>
      <c r="F365" s="44"/>
      <c r="G365" s="44"/>
      <c r="H365" s="44"/>
      <c r="I365" s="44"/>
      <c r="J365" s="100"/>
      <c r="K365" s="100"/>
      <c r="L365" s="44"/>
      <c r="M365" s="100"/>
      <c r="N365" s="44"/>
      <c r="O365" s="44"/>
      <c r="Q365" s="101"/>
    </row>
    <row r="366" spans="1:17">
      <c r="A366" s="44"/>
      <c r="B366" s="44"/>
      <c r="C366" s="44"/>
      <c r="D366" s="44"/>
      <c r="E366" s="44"/>
      <c r="F366" s="44"/>
      <c r="G366" s="44"/>
      <c r="H366" s="44"/>
      <c r="I366" s="44"/>
      <c r="J366" s="100"/>
      <c r="K366" s="100"/>
      <c r="L366" s="44"/>
      <c r="M366" s="100"/>
      <c r="N366" s="44"/>
      <c r="O366" s="44"/>
      <c r="Q366" s="101"/>
    </row>
    <row r="367" spans="1:17">
      <c r="A367" s="44"/>
      <c r="B367" s="44"/>
      <c r="C367" s="44"/>
      <c r="D367" s="44"/>
      <c r="E367" s="44"/>
      <c r="F367" s="44"/>
      <c r="G367" s="44"/>
      <c r="H367" s="44"/>
      <c r="I367" s="44"/>
      <c r="J367" s="100"/>
      <c r="K367" s="100"/>
      <c r="L367" s="44"/>
      <c r="M367" s="100"/>
      <c r="N367" s="44"/>
      <c r="O367" s="44"/>
      <c r="Q367" s="101"/>
    </row>
    <row r="368" spans="1:17">
      <c r="A368" s="44"/>
      <c r="B368" s="44"/>
      <c r="C368" s="44"/>
      <c r="D368" s="44"/>
      <c r="E368" s="44"/>
      <c r="F368" s="44"/>
      <c r="G368" s="44"/>
      <c r="H368" s="44"/>
      <c r="I368" s="44"/>
      <c r="J368" s="100"/>
      <c r="K368" s="100"/>
      <c r="L368" s="44"/>
      <c r="M368" s="100"/>
      <c r="N368" s="44"/>
      <c r="O368" s="44"/>
      <c r="Q368" s="101"/>
    </row>
    <row r="369" spans="1:17">
      <c r="A369" s="44"/>
      <c r="B369" s="44"/>
      <c r="C369" s="44"/>
      <c r="D369" s="44"/>
      <c r="E369" s="44"/>
      <c r="F369" s="44"/>
      <c r="G369" s="44"/>
      <c r="H369" s="44"/>
      <c r="I369" s="44"/>
      <c r="J369" s="100"/>
      <c r="K369" s="100"/>
      <c r="L369" s="44"/>
      <c r="M369" s="100"/>
      <c r="N369" s="44"/>
      <c r="O369" s="44"/>
      <c r="Q369" s="101"/>
    </row>
    <row r="370" spans="1:17">
      <c r="A370" s="44"/>
      <c r="B370" s="44"/>
      <c r="C370" s="44"/>
      <c r="D370" s="44"/>
      <c r="E370" s="44"/>
      <c r="F370" s="44"/>
      <c r="G370" s="44"/>
      <c r="H370" s="44"/>
      <c r="I370" s="44"/>
      <c r="J370" s="100"/>
      <c r="K370" s="100"/>
      <c r="L370" s="44"/>
      <c r="M370" s="100"/>
      <c r="N370" s="44"/>
      <c r="O370" s="44"/>
      <c r="Q370" s="101"/>
    </row>
    <row r="371" spans="1:17">
      <c r="A371" s="44"/>
      <c r="B371" s="44"/>
      <c r="C371" s="44"/>
      <c r="D371" s="44"/>
      <c r="E371" s="44"/>
      <c r="F371" s="44"/>
      <c r="G371" s="44"/>
      <c r="H371" s="44"/>
      <c r="I371" s="44"/>
      <c r="J371" s="100"/>
      <c r="K371" s="100"/>
      <c r="L371" s="44"/>
      <c r="M371" s="100"/>
      <c r="N371" s="44"/>
      <c r="O371" s="44"/>
      <c r="Q371" s="101"/>
    </row>
    <row r="372" spans="1:17">
      <c r="A372" s="44"/>
      <c r="B372" s="44"/>
      <c r="C372" s="44"/>
      <c r="D372" s="44"/>
      <c r="E372" s="44"/>
      <c r="F372" s="44"/>
      <c r="G372" s="44"/>
      <c r="H372" s="44"/>
      <c r="I372" s="44"/>
      <c r="J372" s="100"/>
      <c r="K372" s="100"/>
      <c r="L372" s="44"/>
      <c r="M372" s="100"/>
      <c r="N372" s="44"/>
      <c r="O372" s="44"/>
      <c r="Q372" s="101"/>
    </row>
    <row r="373" spans="1:17">
      <c r="A373" s="44"/>
      <c r="B373" s="44"/>
      <c r="C373" s="44"/>
      <c r="D373" s="44"/>
      <c r="E373" s="44"/>
      <c r="F373" s="44"/>
      <c r="G373" s="44"/>
      <c r="H373" s="44"/>
      <c r="I373" s="44"/>
      <c r="J373" s="100"/>
      <c r="K373" s="100"/>
      <c r="L373" s="44"/>
      <c r="M373" s="100"/>
      <c r="N373" s="44"/>
      <c r="O373" s="44"/>
      <c r="Q373" s="101"/>
    </row>
    <row r="374" spans="1:17">
      <c r="A374" s="44"/>
      <c r="B374" s="44"/>
      <c r="C374" s="44"/>
      <c r="D374" s="44"/>
      <c r="E374" s="44"/>
      <c r="F374" s="44"/>
      <c r="G374" s="44"/>
      <c r="H374" s="44"/>
      <c r="I374" s="44"/>
      <c r="J374" s="100"/>
      <c r="K374" s="100"/>
      <c r="L374" s="44"/>
      <c r="M374" s="100"/>
      <c r="N374" s="44"/>
      <c r="O374" s="44"/>
      <c r="Q374" s="101"/>
    </row>
    <row r="375" spans="1:17">
      <c r="A375" s="44"/>
      <c r="B375" s="44"/>
      <c r="C375" s="44"/>
      <c r="D375" s="44"/>
      <c r="E375" s="44"/>
      <c r="F375" s="44"/>
      <c r="G375" s="44"/>
      <c r="H375" s="44"/>
      <c r="I375" s="44"/>
      <c r="J375" s="100"/>
      <c r="K375" s="100"/>
      <c r="L375" s="44"/>
      <c r="M375" s="100"/>
      <c r="N375" s="44"/>
      <c r="O375" s="44"/>
      <c r="Q375" s="101"/>
    </row>
    <row r="376" spans="1:17">
      <c r="A376" s="44"/>
      <c r="B376" s="44"/>
      <c r="C376" s="44"/>
      <c r="D376" s="44"/>
      <c r="E376" s="44"/>
      <c r="F376" s="44"/>
      <c r="G376" s="44"/>
      <c r="H376" s="44"/>
      <c r="I376" s="44"/>
      <c r="J376" s="100"/>
      <c r="K376" s="100"/>
      <c r="L376" s="44"/>
      <c r="M376" s="100"/>
      <c r="N376" s="44"/>
      <c r="O376" s="44"/>
      <c r="Q376" s="101"/>
    </row>
    <row r="377" spans="1:17">
      <c r="A377" s="44"/>
      <c r="B377" s="44"/>
      <c r="C377" s="44"/>
      <c r="D377" s="44"/>
      <c r="E377" s="44"/>
      <c r="F377" s="44"/>
      <c r="G377" s="44"/>
      <c r="H377" s="44"/>
      <c r="I377" s="44"/>
      <c r="J377" s="100"/>
      <c r="K377" s="100"/>
      <c r="L377" s="44"/>
      <c r="M377" s="100"/>
      <c r="N377" s="44"/>
      <c r="O377" s="44"/>
      <c r="Q377" s="101"/>
    </row>
    <row r="378" spans="1:17">
      <c r="A378" s="44"/>
      <c r="B378" s="44"/>
      <c r="C378" s="44"/>
      <c r="D378" s="44"/>
      <c r="E378" s="44"/>
      <c r="F378" s="44"/>
      <c r="G378" s="44"/>
      <c r="H378" s="44"/>
      <c r="I378" s="44"/>
      <c r="J378" s="100"/>
      <c r="K378" s="100"/>
      <c r="L378" s="44"/>
      <c r="M378" s="100"/>
      <c r="N378" s="44"/>
      <c r="O378" s="44"/>
      <c r="Q378" s="101"/>
    </row>
    <row r="379" spans="1:17">
      <c r="A379" s="44"/>
      <c r="B379" s="44"/>
      <c r="C379" s="44"/>
      <c r="D379" s="44"/>
      <c r="E379" s="44"/>
      <c r="F379" s="44"/>
      <c r="G379" s="44"/>
      <c r="H379" s="44"/>
      <c r="I379" s="44"/>
      <c r="J379" s="100"/>
      <c r="K379" s="100"/>
      <c r="L379" s="44"/>
      <c r="M379" s="100"/>
      <c r="N379" s="44"/>
      <c r="O379" s="44"/>
      <c r="Q379" s="101"/>
    </row>
    <row r="380" spans="1:17">
      <c r="A380" s="44"/>
      <c r="B380" s="44"/>
      <c r="C380" s="44"/>
      <c r="D380" s="44"/>
      <c r="E380" s="44"/>
      <c r="F380" s="44"/>
      <c r="G380" s="44"/>
      <c r="H380" s="44"/>
      <c r="I380" s="44"/>
      <c r="J380" s="100"/>
      <c r="K380" s="100"/>
      <c r="L380" s="44"/>
      <c r="M380" s="100"/>
      <c r="N380" s="44"/>
      <c r="O380" s="44"/>
      <c r="Q380" s="101"/>
    </row>
    <row r="381" spans="1:17">
      <c r="A381" s="44"/>
      <c r="B381" s="44"/>
      <c r="C381" s="44"/>
      <c r="D381" s="44"/>
      <c r="E381" s="44"/>
      <c r="F381" s="44"/>
      <c r="G381" s="44"/>
      <c r="H381" s="44"/>
      <c r="I381" s="44"/>
      <c r="J381" s="100"/>
      <c r="K381" s="100"/>
      <c r="L381" s="44"/>
      <c r="M381" s="100"/>
      <c r="N381" s="44"/>
      <c r="O381" s="44"/>
      <c r="Q381" s="101"/>
    </row>
    <row r="382" spans="1:17">
      <c r="A382" s="44"/>
      <c r="B382" s="44"/>
      <c r="C382" s="44"/>
      <c r="D382" s="44"/>
      <c r="E382" s="44"/>
      <c r="F382" s="44"/>
      <c r="G382" s="44"/>
      <c r="H382" s="44"/>
      <c r="I382" s="44"/>
      <c r="J382" s="100"/>
      <c r="K382" s="100"/>
      <c r="L382" s="44"/>
      <c r="M382" s="100"/>
      <c r="N382" s="44"/>
      <c r="O382" s="44"/>
      <c r="Q382" s="101"/>
    </row>
    <row r="383" spans="1:17">
      <c r="A383" s="44"/>
      <c r="B383" s="44"/>
      <c r="C383" s="44"/>
      <c r="D383" s="44"/>
      <c r="E383" s="44"/>
      <c r="F383" s="44"/>
      <c r="G383" s="44"/>
      <c r="H383" s="44"/>
      <c r="I383" s="44"/>
      <c r="J383" s="100"/>
      <c r="K383" s="100"/>
      <c r="L383" s="44"/>
      <c r="M383" s="100"/>
      <c r="N383" s="44"/>
      <c r="O383" s="44"/>
      <c r="Q383" s="101"/>
    </row>
    <row r="384" spans="1:17">
      <c r="A384" s="44"/>
      <c r="B384" s="44"/>
      <c r="C384" s="44"/>
      <c r="D384" s="44"/>
      <c r="E384" s="44"/>
      <c r="F384" s="44"/>
      <c r="G384" s="44"/>
      <c r="H384" s="44"/>
      <c r="I384" s="44"/>
      <c r="J384" s="100"/>
      <c r="K384" s="100"/>
      <c r="L384" s="44"/>
      <c r="M384" s="100"/>
      <c r="N384" s="44"/>
      <c r="O384" s="44"/>
      <c r="Q384" s="101"/>
    </row>
    <row r="385" spans="1:17">
      <c r="A385" s="44"/>
      <c r="B385" s="44"/>
      <c r="C385" s="44"/>
      <c r="D385" s="44"/>
      <c r="E385" s="44"/>
      <c r="F385" s="44"/>
      <c r="G385" s="44"/>
      <c r="H385" s="44"/>
      <c r="I385" s="44"/>
      <c r="J385" s="100"/>
      <c r="K385" s="100"/>
      <c r="L385" s="44"/>
      <c r="M385" s="100"/>
      <c r="N385" s="44"/>
      <c r="O385" s="44"/>
      <c r="Q385" s="101"/>
    </row>
    <row r="386" spans="1:17">
      <c r="A386" s="44"/>
      <c r="B386" s="44"/>
      <c r="C386" s="44"/>
      <c r="D386" s="44"/>
      <c r="E386" s="44"/>
      <c r="F386" s="44"/>
      <c r="G386" s="44"/>
      <c r="H386" s="44"/>
      <c r="I386" s="44"/>
      <c r="J386" s="100"/>
      <c r="K386" s="100"/>
      <c r="L386" s="44"/>
      <c r="M386" s="100"/>
      <c r="N386" s="44"/>
      <c r="O386" s="44"/>
      <c r="Q386" s="101"/>
    </row>
    <row r="387" spans="1:17">
      <c r="A387" s="44"/>
      <c r="B387" s="44"/>
      <c r="C387" s="44"/>
      <c r="D387" s="44"/>
      <c r="E387" s="44"/>
      <c r="F387" s="44"/>
      <c r="G387" s="44"/>
      <c r="H387" s="44"/>
      <c r="I387" s="44"/>
      <c r="J387" s="100"/>
      <c r="K387" s="100"/>
      <c r="L387" s="44"/>
      <c r="M387" s="100"/>
      <c r="N387" s="44"/>
      <c r="O387" s="44"/>
      <c r="Q387" s="101"/>
    </row>
    <row r="388" spans="1:17">
      <c r="A388" s="44"/>
      <c r="B388" s="44"/>
      <c r="C388" s="44"/>
      <c r="D388" s="44"/>
      <c r="E388" s="44"/>
      <c r="F388" s="44"/>
      <c r="G388" s="44"/>
      <c r="H388" s="44"/>
      <c r="I388" s="44"/>
      <c r="J388" s="100"/>
      <c r="K388" s="100"/>
      <c r="L388" s="44"/>
      <c r="M388" s="100"/>
      <c r="N388" s="44"/>
      <c r="O388" s="44"/>
      <c r="Q388" s="101"/>
    </row>
    <row r="389" spans="1:17">
      <c r="A389" s="44"/>
      <c r="B389" s="44"/>
      <c r="C389" s="44"/>
      <c r="D389" s="44"/>
      <c r="E389" s="44"/>
      <c r="F389" s="44"/>
      <c r="G389" s="44"/>
      <c r="H389" s="44"/>
      <c r="I389" s="44"/>
      <c r="J389" s="100"/>
      <c r="K389" s="100"/>
      <c r="L389" s="44"/>
      <c r="M389" s="100"/>
      <c r="N389" s="44"/>
      <c r="O389" s="44"/>
      <c r="Q389" s="101"/>
    </row>
    <row r="390" spans="1:17">
      <c r="A390" s="44"/>
      <c r="B390" s="44"/>
      <c r="C390" s="44"/>
      <c r="D390" s="44"/>
      <c r="E390" s="44"/>
      <c r="F390" s="44"/>
      <c r="G390" s="44"/>
      <c r="H390" s="44"/>
      <c r="I390" s="44"/>
      <c r="J390" s="100"/>
      <c r="K390" s="100"/>
      <c r="L390" s="44"/>
      <c r="M390" s="100"/>
      <c r="N390" s="44"/>
      <c r="O390" s="44"/>
      <c r="Q390" s="101"/>
    </row>
    <row r="391" spans="1:17">
      <c r="A391" s="44"/>
      <c r="B391" s="44"/>
      <c r="C391" s="44"/>
      <c r="D391" s="44"/>
      <c r="E391" s="44"/>
      <c r="F391" s="44"/>
      <c r="G391" s="44"/>
      <c r="H391" s="44"/>
      <c r="I391" s="44"/>
      <c r="J391" s="100"/>
      <c r="K391" s="100"/>
      <c r="L391" s="44"/>
      <c r="M391" s="100"/>
      <c r="N391" s="44"/>
      <c r="O391" s="44"/>
      <c r="Q391" s="101"/>
    </row>
    <row r="392" spans="1:17">
      <c r="A392" s="44"/>
      <c r="B392" s="44"/>
      <c r="C392" s="44"/>
      <c r="D392" s="44"/>
      <c r="E392" s="44"/>
      <c r="F392" s="44"/>
      <c r="G392" s="44"/>
      <c r="H392" s="44"/>
      <c r="I392" s="44"/>
      <c r="J392" s="100"/>
      <c r="K392" s="100"/>
      <c r="L392" s="44"/>
      <c r="M392" s="100"/>
      <c r="N392" s="44"/>
      <c r="O392" s="44"/>
      <c r="Q392" s="101"/>
    </row>
    <row r="393" spans="1:17">
      <c r="A393" s="44"/>
      <c r="B393" s="44"/>
      <c r="C393" s="44"/>
      <c r="D393" s="44"/>
      <c r="E393" s="44"/>
      <c r="F393" s="44"/>
      <c r="G393" s="44"/>
      <c r="H393" s="44"/>
      <c r="I393" s="44"/>
      <c r="J393" s="100"/>
      <c r="K393" s="100"/>
      <c r="L393" s="44"/>
      <c r="M393" s="100"/>
      <c r="N393" s="44"/>
      <c r="O393" s="44"/>
      <c r="Q393" s="101"/>
    </row>
    <row r="394" spans="1:17">
      <c r="A394" s="44"/>
      <c r="B394" s="44"/>
      <c r="C394" s="44"/>
      <c r="D394" s="44"/>
      <c r="E394" s="44"/>
      <c r="F394" s="44"/>
      <c r="G394" s="44"/>
      <c r="H394" s="44"/>
      <c r="I394" s="44"/>
      <c r="J394" s="100"/>
      <c r="K394" s="100"/>
      <c r="L394" s="44"/>
      <c r="M394" s="100"/>
      <c r="N394" s="44"/>
      <c r="O394" s="44"/>
      <c r="Q394" s="101"/>
    </row>
    <row r="395" spans="1:17">
      <c r="A395" s="44"/>
      <c r="B395" s="44"/>
      <c r="C395" s="44"/>
      <c r="D395" s="44"/>
      <c r="E395" s="44"/>
      <c r="F395" s="44"/>
      <c r="G395" s="44"/>
      <c r="H395" s="44"/>
      <c r="I395" s="44"/>
      <c r="J395" s="100"/>
      <c r="K395" s="100"/>
      <c r="L395" s="44"/>
      <c r="M395" s="100"/>
      <c r="N395" s="44"/>
      <c r="O395" s="44"/>
      <c r="Q395" s="101"/>
    </row>
    <row r="396" spans="1:17">
      <c r="A396" s="44"/>
      <c r="B396" s="44"/>
      <c r="C396" s="44"/>
      <c r="D396" s="44"/>
      <c r="E396" s="44"/>
      <c r="F396" s="44"/>
      <c r="G396" s="44"/>
      <c r="H396" s="44"/>
      <c r="I396" s="44"/>
      <c r="J396" s="100"/>
      <c r="K396" s="100"/>
      <c r="L396" s="44"/>
      <c r="M396" s="100"/>
      <c r="N396" s="44"/>
      <c r="O396" s="44"/>
      <c r="Q396" s="101"/>
    </row>
    <row r="397" spans="1:17">
      <c r="A397" s="44"/>
      <c r="B397" s="44"/>
      <c r="C397" s="44"/>
      <c r="D397" s="44"/>
      <c r="E397" s="44"/>
      <c r="F397" s="44"/>
      <c r="G397" s="44"/>
      <c r="H397" s="44"/>
      <c r="I397" s="44"/>
      <c r="J397" s="100"/>
      <c r="K397" s="100"/>
      <c r="L397" s="44"/>
      <c r="M397" s="100"/>
      <c r="N397" s="44"/>
      <c r="O397" s="44"/>
      <c r="Q397" s="101"/>
    </row>
    <row r="398" spans="1:17">
      <c r="A398" s="44"/>
      <c r="B398" s="44"/>
      <c r="C398" s="44"/>
      <c r="D398" s="44"/>
      <c r="E398" s="44"/>
      <c r="F398" s="44"/>
      <c r="G398" s="44"/>
      <c r="H398" s="44"/>
      <c r="I398" s="44"/>
      <c r="J398" s="100"/>
      <c r="K398" s="100"/>
      <c r="L398" s="44"/>
      <c r="M398" s="100"/>
      <c r="N398" s="44"/>
      <c r="O398" s="44"/>
      <c r="Q398" s="101"/>
    </row>
    <row r="399" spans="1:17">
      <c r="A399" s="44"/>
      <c r="B399" s="44"/>
      <c r="C399" s="44"/>
      <c r="D399" s="44"/>
      <c r="E399" s="44"/>
      <c r="F399" s="44"/>
      <c r="G399" s="44"/>
      <c r="H399" s="44"/>
      <c r="I399" s="44"/>
      <c r="J399" s="100"/>
      <c r="K399" s="100"/>
      <c r="L399" s="44"/>
      <c r="M399" s="100"/>
      <c r="N399" s="44"/>
      <c r="O399" s="44"/>
      <c r="Q399" s="101"/>
    </row>
    <row r="400" spans="1:17">
      <c r="A400" s="44"/>
      <c r="B400" s="44"/>
      <c r="C400" s="44"/>
      <c r="D400" s="44"/>
      <c r="E400" s="44"/>
      <c r="F400" s="44"/>
      <c r="G400" s="44"/>
      <c r="H400" s="44"/>
      <c r="I400" s="44"/>
      <c r="J400" s="100"/>
      <c r="K400" s="100"/>
      <c r="L400" s="44"/>
      <c r="M400" s="100"/>
      <c r="N400" s="44"/>
      <c r="O400" s="44"/>
      <c r="Q400" s="101"/>
    </row>
    <row r="401" spans="1:17">
      <c r="A401" s="44"/>
      <c r="B401" s="44"/>
      <c r="C401" s="44"/>
      <c r="D401" s="44"/>
      <c r="E401" s="44"/>
      <c r="F401" s="44"/>
      <c r="G401" s="44"/>
      <c r="H401" s="44"/>
      <c r="I401" s="44"/>
      <c r="J401" s="100"/>
      <c r="K401" s="100"/>
      <c r="L401" s="44"/>
      <c r="M401" s="100"/>
      <c r="N401" s="44"/>
      <c r="O401" s="44"/>
      <c r="Q401" s="101"/>
    </row>
    <row r="402" spans="1:17">
      <c r="A402" s="44"/>
      <c r="B402" s="44"/>
      <c r="C402" s="44"/>
      <c r="D402" s="44"/>
      <c r="E402" s="44"/>
      <c r="F402" s="44"/>
      <c r="G402" s="44"/>
      <c r="H402" s="44"/>
      <c r="I402" s="44"/>
      <c r="J402" s="100"/>
      <c r="K402" s="100"/>
      <c r="L402" s="44"/>
      <c r="M402" s="100"/>
      <c r="N402" s="44"/>
      <c r="O402" s="44"/>
      <c r="Q402" s="101"/>
    </row>
    <row r="403" spans="1:17">
      <c r="A403" s="44"/>
      <c r="B403" s="44"/>
      <c r="C403" s="44"/>
      <c r="D403" s="44"/>
      <c r="E403" s="44"/>
      <c r="F403" s="44"/>
      <c r="G403" s="44"/>
      <c r="H403" s="44"/>
      <c r="I403" s="44"/>
      <c r="J403" s="100"/>
      <c r="K403" s="100"/>
      <c r="L403" s="44"/>
      <c r="M403" s="100"/>
      <c r="N403" s="44"/>
      <c r="O403" s="44"/>
      <c r="Q403" s="101"/>
    </row>
    <row r="404" spans="1:17">
      <c r="A404" s="44"/>
      <c r="B404" s="44"/>
      <c r="C404" s="44"/>
      <c r="D404" s="44"/>
      <c r="E404" s="44"/>
      <c r="F404" s="44"/>
      <c r="G404" s="44"/>
      <c r="H404" s="44"/>
      <c r="I404" s="44"/>
      <c r="J404" s="100"/>
      <c r="K404" s="100"/>
      <c r="L404" s="44"/>
      <c r="M404" s="100"/>
      <c r="N404" s="44"/>
      <c r="O404" s="44"/>
      <c r="Q404" s="101"/>
    </row>
    <row r="405" spans="1:17">
      <c r="A405" s="44"/>
      <c r="B405" s="44"/>
      <c r="C405" s="44"/>
      <c r="D405" s="44"/>
      <c r="E405" s="44"/>
      <c r="F405" s="44"/>
      <c r="G405" s="44"/>
      <c r="H405" s="44"/>
      <c r="I405" s="100"/>
      <c r="J405" s="100"/>
      <c r="K405" s="44"/>
      <c r="L405" s="100"/>
      <c r="P405" s="101"/>
      <c r="Q405" s="44"/>
    </row>
    <row r="406" spans="1:17">
      <c r="A406" s="44"/>
      <c r="B406" s="44"/>
      <c r="C406" s="44"/>
      <c r="D406" s="44"/>
      <c r="E406" s="44"/>
      <c r="F406" s="44"/>
      <c r="G406" s="44"/>
      <c r="H406" s="44"/>
      <c r="I406" s="100"/>
      <c r="J406" s="100"/>
      <c r="K406" s="44"/>
      <c r="L406" s="100"/>
      <c r="P406" s="101"/>
      <c r="Q406" s="44"/>
    </row>
    <row r="407" spans="1:17">
      <c r="A407" s="44"/>
      <c r="B407" s="44"/>
      <c r="C407" s="44"/>
      <c r="D407" s="44"/>
      <c r="E407" s="44"/>
      <c r="F407" s="44"/>
      <c r="G407" s="44"/>
      <c r="H407" s="44"/>
      <c r="I407" s="100"/>
      <c r="J407" s="100"/>
      <c r="K407" s="44"/>
      <c r="L407" s="100"/>
      <c r="P407" s="101"/>
      <c r="Q407" s="44"/>
    </row>
    <row r="408" spans="1:17">
      <c r="A408" s="44"/>
      <c r="B408" s="44"/>
      <c r="C408" s="44"/>
      <c r="D408" s="44"/>
      <c r="E408" s="44"/>
      <c r="F408" s="44"/>
      <c r="G408" s="44"/>
      <c r="H408" s="44"/>
      <c r="I408" s="100"/>
      <c r="J408" s="100"/>
      <c r="K408" s="44"/>
      <c r="L408" s="100"/>
      <c r="P408" s="101"/>
      <c r="Q408" s="44"/>
    </row>
    <row r="409" spans="1:17">
      <c r="A409" s="44"/>
      <c r="B409" s="44"/>
      <c r="C409" s="44"/>
      <c r="D409" s="44"/>
      <c r="E409" s="44"/>
      <c r="F409" s="44"/>
      <c r="G409" s="44"/>
      <c r="H409" s="44"/>
      <c r="I409" s="100"/>
      <c r="J409" s="100"/>
      <c r="K409" s="44"/>
      <c r="L409" s="100"/>
      <c r="P409" s="101"/>
      <c r="Q409" s="44"/>
    </row>
    <row r="410" spans="1:17">
      <c r="A410" s="44"/>
      <c r="B410" s="44"/>
      <c r="C410" s="44"/>
      <c r="D410" s="44"/>
      <c r="E410" s="44"/>
      <c r="F410" s="44"/>
      <c r="G410" s="44"/>
      <c r="H410" s="44"/>
      <c r="I410" s="100"/>
      <c r="J410" s="100"/>
      <c r="K410" s="44"/>
      <c r="L410" s="100"/>
      <c r="P410" s="101"/>
      <c r="Q410" s="44"/>
    </row>
    <row r="411" spans="1:17">
      <c r="A411" s="44"/>
      <c r="B411" s="44"/>
      <c r="C411" s="44"/>
      <c r="D411" s="44"/>
      <c r="E411" s="44"/>
      <c r="F411" s="44"/>
      <c r="G411" s="44"/>
      <c r="H411" s="44"/>
      <c r="I411" s="100"/>
      <c r="J411" s="100"/>
      <c r="K411" s="44"/>
      <c r="L411" s="100"/>
      <c r="P411" s="101"/>
      <c r="Q411" s="44"/>
    </row>
    <row r="412" spans="1:17">
      <c r="A412" s="44"/>
      <c r="B412" s="44"/>
      <c r="C412" s="44"/>
      <c r="D412" s="44"/>
      <c r="E412" s="44"/>
      <c r="F412" s="44"/>
      <c r="G412" s="44"/>
      <c r="H412" s="44"/>
      <c r="I412" s="100"/>
      <c r="J412" s="100"/>
      <c r="K412" s="44"/>
      <c r="L412" s="100"/>
      <c r="P412" s="101"/>
      <c r="Q412" s="44"/>
    </row>
    <row r="413" spans="1:17">
      <c r="A413" s="44"/>
      <c r="B413" s="44"/>
      <c r="C413" s="44"/>
      <c r="D413" s="44"/>
      <c r="E413" s="44"/>
      <c r="F413" s="44"/>
      <c r="G413" s="44"/>
      <c r="H413" s="44"/>
      <c r="I413" s="100"/>
      <c r="J413" s="100"/>
      <c r="K413" s="44"/>
      <c r="L413" s="100"/>
      <c r="P413" s="101"/>
      <c r="Q413" s="44"/>
    </row>
    <row r="414" spans="1:17">
      <c r="A414" s="44"/>
      <c r="B414" s="44"/>
      <c r="C414" s="44"/>
      <c r="D414" s="44"/>
      <c r="E414" s="44"/>
      <c r="F414" s="44"/>
      <c r="G414" s="44"/>
      <c r="H414" s="44"/>
      <c r="I414" s="100"/>
      <c r="J414" s="100"/>
      <c r="K414" s="44"/>
      <c r="L414" s="100"/>
      <c r="P414" s="101"/>
      <c r="Q414" s="44"/>
    </row>
    <row r="415" spans="1:17">
      <c r="A415" s="44"/>
      <c r="B415" s="44"/>
      <c r="C415" s="44"/>
      <c r="D415" s="44"/>
      <c r="E415" s="44"/>
      <c r="F415" s="44"/>
      <c r="G415" s="44"/>
      <c r="H415" s="44"/>
      <c r="I415" s="100"/>
      <c r="J415" s="100"/>
      <c r="K415" s="44"/>
      <c r="L415" s="100"/>
      <c r="P415" s="101"/>
      <c r="Q415" s="44"/>
    </row>
    <row r="416" spans="1:17">
      <c r="A416" s="44"/>
      <c r="B416" s="44"/>
      <c r="C416" s="44"/>
      <c r="D416" s="44"/>
      <c r="E416" s="44"/>
      <c r="F416" s="44"/>
      <c r="G416" s="44"/>
      <c r="H416" s="44"/>
      <c r="I416" s="100"/>
      <c r="J416" s="100"/>
      <c r="K416" s="44"/>
      <c r="L416" s="100"/>
      <c r="P416" s="101"/>
      <c r="Q416" s="44"/>
    </row>
    <row r="417" spans="1:17">
      <c r="A417" s="44"/>
      <c r="B417" s="44"/>
      <c r="C417" s="44"/>
      <c r="D417" s="44"/>
      <c r="E417" s="44"/>
      <c r="F417" s="44"/>
      <c r="G417" s="44"/>
      <c r="H417" s="44"/>
      <c r="I417" s="100"/>
      <c r="J417" s="100"/>
      <c r="K417" s="44"/>
      <c r="L417" s="100"/>
      <c r="P417" s="101"/>
      <c r="Q417" s="44"/>
    </row>
    <row r="418" spans="1:17">
      <c r="A418" s="44"/>
      <c r="B418" s="44"/>
      <c r="C418" s="44"/>
      <c r="D418" s="44"/>
      <c r="E418" s="44"/>
      <c r="F418" s="44"/>
      <c r="G418" s="44"/>
      <c r="H418" s="44"/>
      <c r="I418" s="100"/>
      <c r="J418" s="100"/>
      <c r="K418" s="44"/>
      <c r="L418" s="100"/>
      <c r="P418" s="101"/>
      <c r="Q418" s="44"/>
    </row>
    <row r="419" spans="1:17">
      <c r="A419" s="44"/>
      <c r="B419" s="44"/>
      <c r="C419" s="44"/>
      <c r="D419" s="44"/>
      <c r="E419" s="44"/>
      <c r="F419" s="44"/>
      <c r="G419" s="44"/>
      <c r="H419" s="44"/>
      <c r="I419" s="100"/>
      <c r="J419" s="100"/>
      <c r="K419" s="44"/>
      <c r="L419" s="100"/>
      <c r="P419" s="101"/>
      <c r="Q419" s="44"/>
    </row>
    <row r="420" spans="1:17">
      <c r="A420" s="44"/>
      <c r="B420" s="44"/>
      <c r="C420" s="44"/>
      <c r="D420" s="44"/>
      <c r="E420" s="44"/>
      <c r="F420" s="44"/>
      <c r="G420" s="44"/>
      <c r="H420" s="44"/>
      <c r="I420" s="100"/>
      <c r="J420" s="100"/>
      <c r="K420" s="44"/>
      <c r="L420" s="100"/>
      <c r="P420" s="101"/>
      <c r="Q420" s="44"/>
    </row>
    <row r="421" spans="1:17">
      <c r="A421" s="44"/>
      <c r="B421" s="44"/>
      <c r="C421" s="44"/>
      <c r="D421" s="44"/>
      <c r="E421" s="44"/>
      <c r="F421" s="44"/>
      <c r="G421" s="44"/>
      <c r="H421" s="44"/>
      <c r="I421" s="100"/>
      <c r="J421" s="100"/>
      <c r="K421" s="44"/>
      <c r="L421" s="100"/>
      <c r="P421" s="101"/>
      <c r="Q421" s="44"/>
    </row>
    <row r="422" spans="1:17">
      <c r="A422" s="44"/>
      <c r="B422" s="44"/>
      <c r="C422" s="44"/>
      <c r="D422" s="44"/>
      <c r="E422" s="44"/>
      <c r="F422" s="44"/>
      <c r="G422" s="44"/>
      <c r="H422" s="44"/>
      <c r="I422" s="100"/>
      <c r="J422" s="100"/>
      <c r="K422" s="44"/>
      <c r="L422" s="100"/>
      <c r="P422" s="101"/>
      <c r="Q422" s="44"/>
    </row>
    <row r="423" spans="1:17">
      <c r="A423" s="44"/>
      <c r="B423" s="44"/>
      <c r="C423" s="44"/>
      <c r="D423" s="44"/>
      <c r="E423" s="44"/>
      <c r="F423" s="44"/>
      <c r="G423" s="44"/>
      <c r="H423" s="44"/>
      <c r="I423" s="100"/>
      <c r="J423" s="100"/>
      <c r="K423" s="44"/>
      <c r="L423" s="100"/>
      <c r="P423" s="101"/>
      <c r="Q423" s="44"/>
    </row>
    <row r="424" spans="1:17">
      <c r="A424" s="44"/>
      <c r="B424" s="44"/>
      <c r="C424" s="44"/>
      <c r="D424" s="44"/>
      <c r="E424" s="44"/>
      <c r="F424" s="44"/>
      <c r="G424" s="44"/>
      <c r="H424" s="44"/>
      <c r="I424" s="100"/>
      <c r="J424" s="100"/>
      <c r="K424" s="44"/>
      <c r="L424" s="100"/>
      <c r="P424" s="101"/>
      <c r="Q424" s="44"/>
    </row>
    <row r="425" spans="1:17">
      <c r="A425" s="44"/>
      <c r="B425" s="44"/>
      <c r="C425" s="44"/>
      <c r="D425" s="44"/>
      <c r="E425" s="44"/>
      <c r="F425" s="44"/>
      <c r="G425" s="44"/>
      <c r="H425" s="44"/>
      <c r="I425" s="100"/>
      <c r="J425" s="100"/>
      <c r="K425" s="44"/>
      <c r="L425" s="100"/>
      <c r="P425" s="101"/>
      <c r="Q425" s="44"/>
    </row>
    <row r="426" spans="1:17">
      <c r="A426" s="44"/>
      <c r="B426" s="44"/>
      <c r="C426" s="44"/>
      <c r="D426" s="44"/>
      <c r="E426" s="44"/>
      <c r="F426" s="44"/>
      <c r="G426" s="44"/>
      <c r="H426" s="44"/>
      <c r="I426" s="100"/>
      <c r="J426" s="100"/>
      <c r="K426" s="44"/>
      <c r="L426" s="100"/>
      <c r="P426" s="101"/>
      <c r="Q426" s="44"/>
    </row>
    <row r="427" spans="1:17">
      <c r="A427" s="44"/>
      <c r="B427" s="44"/>
      <c r="C427" s="44"/>
      <c r="D427" s="44"/>
      <c r="E427" s="44"/>
      <c r="F427" s="44"/>
      <c r="G427" s="44"/>
      <c r="H427" s="44"/>
      <c r="I427" s="100"/>
      <c r="J427" s="100"/>
      <c r="K427" s="44"/>
      <c r="L427" s="100"/>
      <c r="P427" s="101"/>
      <c r="Q427" s="44"/>
    </row>
    <row r="428" spans="1:17">
      <c r="A428" s="44"/>
      <c r="B428" s="44"/>
      <c r="C428" s="44"/>
      <c r="D428" s="44"/>
      <c r="E428" s="44"/>
      <c r="F428" s="44"/>
      <c r="G428" s="44"/>
      <c r="H428" s="44"/>
      <c r="I428" s="100"/>
      <c r="J428" s="100"/>
      <c r="K428" s="44"/>
      <c r="L428" s="100"/>
      <c r="P428" s="101"/>
      <c r="Q428" s="44"/>
    </row>
    <row r="429" spans="1:17">
      <c r="A429" s="44"/>
      <c r="B429" s="44"/>
      <c r="C429" s="44"/>
      <c r="D429" s="44"/>
      <c r="E429" s="44"/>
      <c r="F429" s="44"/>
      <c r="G429" s="44"/>
      <c r="H429" s="44"/>
      <c r="I429" s="100"/>
      <c r="J429" s="100"/>
      <c r="K429" s="44"/>
      <c r="L429" s="100"/>
      <c r="P429" s="101"/>
      <c r="Q429" s="44"/>
    </row>
    <row r="430" spans="1:17">
      <c r="A430" s="44"/>
      <c r="B430" s="44"/>
      <c r="C430" s="44"/>
      <c r="D430" s="44"/>
      <c r="E430" s="44"/>
      <c r="F430" s="44"/>
      <c r="G430" s="44"/>
      <c r="H430" s="44"/>
      <c r="I430" s="100"/>
      <c r="J430" s="100"/>
      <c r="K430" s="44"/>
      <c r="L430" s="100"/>
      <c r="P430" s="101"/>
      <c r="Q430" s="44"/>
    </row>
    <row r="431" spans="1:17">
      <c r="A431" s="44"/>
      <c r="B431" s="44"/>
      <c r="C431" s="44"/>
      <c r="D431" s="44"/>
      <c r="E431" s="44"/>
      <c r="F431" s="44"/>
      <c r="G431" s="44"/>
      <c r="H431" s="44"/>
      <c r="I431" s="100"/>
      <c r="J431" s="100"/>
      <c r="K431" s="44"/>
      <c r="L431" s="100"/>
      <c r="P431" s="101"/>
      <c r="Q431" s="44"/>
    </row>
    <row r="432" spans="1:17">
      <c r="A432" s="44"/>
      <c r="B432" s="44"/>
      <c r="C432" s="44"/>
      <c r="D432" s="44"/>
      <c r="E432" s="44"/>
      <c r="F432" s="44"/>
      <c r="G432" s="44"/>
      <c r="H432" s="44"/>
      <c r="I432" s="100"/>
      <c r="J432" s="100"/>
      <c r="K432" s="44"/>
      <c r="L432" s="100"/>
      <c r="P432" s="101"/>
      <c r="Q432" s="44"/>
    </row>
    <row r="433" spans="1:17">
      <c r="A433" s="44"/>
      <c r="B433" s="44"/>
      <c r="C433" s="44"/>
      <c r="D433" s="44"/>
      <c r="E433" s="44"/>
      <c r="F433" s="44"/>
      <c r="G433" s="44"/>
      <c r="H433" s="44"/>
      <c r="I433" s="100"/>
      <c r="J433" s="100"/>
      <c r="K433" s="44"/>
      <c r="L433" s="100"/>
      <c r="P433" s="101"/>
      <c r="Q433" s="44"/>
    </row>
    <row r="434" spans="1:17">
      <c r="A434" s="44"/>
      <c r="B434" s="44"/>
      <c r="C434" s="44"/>
      <c r="D434" s="44"/>
      <c r="E434" s="44"/>
      <c r="F434" s="44"/>
      <c r="G434" s="44"/>
      <c r="H434" s="44"/>
      <c r="I434" s="100"/>
      <c r="J434" s="100"/>
      <c r="K434" s="44"/>
      <c r="L434" s="100"/>
      <c r="P434" s="101"/>
      <c r="Q434" s="44"/>
    </row>
    <row r="435" spans="1:17">
      <c r="A435" s="44"/>
      <c r="B435" s="44"/>
      <c r="C435" s="44"/>
      <c r="D435" s="44"/>
      <c r="E435" s="44"/>
      <c r="F435" s="44"/>
      <c r="G435" s="44"/>
      <c r="H435" s="44"/>
      <c r="I435" s="100"/>
      <c r="J435" s="100"/>
      <c r="K435" s="44"/>
      <c r="L435" s="100"/>
      <c r="P435" s="101"/>
      <c r="Q435" s="44"/>
    </row>
    <row r="436" spans="1:17">
      <c r="A436" s="44"/>
      <c r="B436" s="44"/>
      <c r="C436" s="44"/>
      <c r="D436" s="44"/>
      <c r="E436" s="44"/>
      <c r="F436" s="44"/>
      <c r="G436" s="44"/>
      <c r="H436" s="44"/>
      <c r="I436" s="100"/>
      <c r="J436" s="100"/>
      <c r="K436" s="44"/>
      <c r="L436" s="100"/>
      <c r="P436" s="101"/>
      <c r="Q436" s="44"/>
    </row>
    <row r="437" spans="1:17">
      <c r="A437" s="44"/>
      <c r="B437" s="44"/>
      <c r="C437" s="44"/>
      <c r="D437" s="44"/>
      <c r="E437" s="44"/>
      <c r="F437" s="44"/>
      <c r="G437" s="44"/>
      <c r="H437" s="44"/>
      <c r="I437" s="100"/>
      <c r="J437" s="100"/>
      <c r="K437" s="44"/>
      <c r="L437" s="100"/>
      <c r="P437" s="101"/>
      <c r="Q437" s="44"/>
    </row>
    <row r="438" spans="1:17">
      <c r="A438" s="44"/>
      <c r="B438" s="44"/>
      <c r="C438" s="44"/>
      <c r="D438" s="44"/>
      <c r="E438" s="44"/>
      <c r="F438" s="44"/>
      <c r="G438" s="44"/>
      <c r="H438" s="44"/>
      <c r="I438" s="100"/>
      <c r="J438" s="100"/>
      <c r="K438" s="44"/>
      <c r="L438" s="100"/>
      <c r="P438" s="101"/>
      <c r="Q438" s="44"/>
    </row>
    <row r="439" spans="1:17">
      <c r="A439" s="44"/>
      <c r="B439" s="44"/>
      <c r="C439" s="44"/>
      <c r="D439" s="44"/>
      <c r="E439" s="44"/>
      <c r="F439" s="44"/>
      <c r="G439" s="44"/>
      <c r="H439" s="44"/>
      <c r="I439" s="100"/>
      <c r="J439" s="100"/>
      <c r="K439" s="44"/>
      <c r="L439" s="100"/>
      <c r="P439" s="101"/>
      <c r="Q439" s="44"/>
    </row>
    <row r="440" spans="1:17">
      <c r="A440" s="44"/>
      <c r="B440" s="44"/>
      <c r="C440" s="44"/>
      <c r="D440" s="44"/>
      <c r="E440" s="44"/>
      <c r="F440" s="44"/>
      <c r="G440" s="44"/>
      <c r="H440" s="44"/>
      <c r="I440" s="100"/>
      <c r="J440" s="100"/>
      <c r="K440" s="44"/>
      <c r="L440" s="100"/>
      <c r="P440" s="101"/>
      <c r="Q440" s="44"/>
    </row>
    <row r="441" spans="1:17">
      <c r="A441" s="44"/>
      <c r="B441" s="44"/>
      <c r="C441" s="44"/>
      <c r="D441" s="44"/>
      <c r="E441" s="44"/>
      <c r="F441" s="44"/>
      <c r="G441" s="44"/>
      <c r="H441" s="44"/>
      <c r="I441" s="100"/>
      <c r="J441" s="100"/>
      <c r="K441" s="44"/>
      <c r="L441" s="100"/>
      <c r="P441" s="101"/>
      <c r="Q441" s="44"/>
    </row>
    <row r="442" spans="1:17">
      <c r="A442" s="44"/>
      <c r="B442" s="44"/>
      <c r="C442" s="44"/>
      <c r="D442" s="44"/>
      <c r="E442" s="44"/>
      <c r="F442" s="44"/>
      <c r="G442" s="44"/>
      <c r="H442" s="44"/>
      <c r="I442" s="100"/>
      <c r="J442" s="100"/>
      <c r="K442" s="44"/>
      <c r="L442" s="100"/>
      <c r="P442" s="101"/>
      <c r="Q442" s="44"/>
    </row>
    <row r="443" spans="1:17">
      <c r="A443" s="44"/>
      <c r="B443" s="44"/>
      <c r="C443" s="44"/>
      <c r="D443" s="44"/>
      <c r="E443" s="44"/>
      <c r="F443" s="44"/>
      <c r="G443" s="44"/>
      <c r="H443" s="44"/>
      <c r="I443" s="100"/>
      <c r="J443" s="100"/>
      <c r="K443" s="44"/>
      <c r="L443" s="100"/>
      <c r="P443" s="101"/>
      <c r="Q443" s="44"/>
    </row>
    <row r="444" spans="1:17">
      <c r="A444" s="44"/>
      <c r="B444" s="44"/>
      <c r="C444" s="44"/>
      <c r="D444" s="44"/>
      <c r="E444" s="44"/>
      <c r="F444" s="44"/>
      <c r="G444" s="44"/>
      <c r="H444" s="44"/>
      <c r="I444" s="100"/>
      <c r="J444" s="100"/>
      <c r="K444" s="44"/>
      <c r="L444" s="100"/>
      <c r="P444" s="101"/>
      <c r="Q444" s="44"/>
    </row>
    <row r="445" spans="1:17">
      <c r="A445" s="44"/>
      <c r="B445" s="44"/>
      <c r="C445" s="44"/>
      <c r="D445" s="44"/>
      <c r="E445" s="44"/>
      <c r="F445" s="44"/>
      <c r="G445" s="44"/>
      <c r="H445" s="44"/>
      <c r="I445" s="100"/>
      <c r="J445" s="100"/>
      <c r="K445" s="44"/>
      <c r="L445" s="100"/>
      <c r="P445" s="101"/>
      <c r="Q445" s="44"/>
    </row>
    <row r="446" spans="1:17">
      <c r="A446" s="44"/>
      <c r="B446" s="44"/>
      <c r="C446" s="44"/>
      <c r="D446" s="44"/>
      <c r="E446" s="44"/>
      <c r="F446" s="44"/>
      <c r="G446" s="44"/>
      <c r="H446" s="44"/>
      <c r="I446" s="100"/>
      <c r="J446" s="100"/>
      <c r="K446" s="44"/>
      <c r="L446" s="100"/>
      <c r="P446" s="101"/>
      <c r="Q446" s="44"/>
    </row>
    <row r="447" spans="1:17">
      <c r="A447" s="44"/>
      <c r="B447" s="44"/>
      <c r="C447" s="44"/>
      <c r="D447" s="44"/>
      <c r="E447" s="44"/>
      <c r="F447" s="44"/>
      <c r="G447" s="44"/>
      <c r="H447" s="44"/>
      <c r="I447" s="100"/>
      <c r="J447" s="100"/>
      <c r="K447" s="44"/>
      <c r="L447" s="100"/>
      <c r="P447" s="101"/>
      <c r="Q447" s="44"/>
    </row>
    <row r="448" spans="1:17">
      <c r="A448" s="44"/>
      <c r="B448" s="44"/>
      <c r="C448" s="44"/>
      <c r="D448" s="44"/>
      <c r="E448" s="44"/>
      <c r="F448" s="44"/>
      <c r="G448" s="44"/>
      <c r="H448" s="44"/>
      <c r="I448" s="100"/>
      <c r="J448" s="100"/>
      <c r="K448" s="44"/>
      <c r="L448" s="100"/>
      <c r="P448" s="101"/>
      <c r="Q448" s="44"/>
    </row>
    <row r="449" spans="1:17">
      <c r="A449" s="44"/>
      <c r="B449" s="44"/>
      <c r="C449" s="44"/>
      <c r="D449" s="44"/>
      <c r="E449" s="44"/>
      <c r="F449" s="44"/>
      <c r="G449" s="44"/>
      <c r="H449" s="44"/>
      <c r="I449" s="100"/>
      <c r="J449" s="100"/>
      <c r="K449" s="44"/>
      <c r="L449" s="100"/>
      <c r="P449" s="101"/>
      <c r="Q449" s="44"/>
    </row>
    <row r="450" spans="1:17">
      <c r="A450" s="44"/>
      <c r="B450" s="44"/>
      <c r="C450" s="44"/>
      <c r="D450" s="44"/>
      <c r="E450" s="44"/>
      <c r="F450" s="44"/>
      <c r="G450" s="44"/>
      <c r="H450" s="44"/>
      <c r="I450" s="100"/>
      <c r="J450" s="100"/>
      <c r="K450" s="44"/>
      <c r="L450" s="100"/>
      <c r="P450" s="101"/>
      <c r="Q450" s="44"/>
    </row>
    <row r="451" spans="1:17">
      <c r="A451" s="44"/>
      <c r="B451" s="44"/>
      <c r="C451" s="44"/>
      <c r="D451" s="44"/>
      <c r="E451" s="44"/>
      <c r="F451" s="44"/>
      <c r="G451" s="44"/>
      <c r="H451" s="44"/>
      <c r="I451" s="100"/>
      <c r="J451" s="100"/>
      <c r="K451" s="44"/>
      <c r="L451" s="100"/>
      <c r="P451" s="101"/>
      <c r="Q451" s="44"/>
    </row>
    <row r="452" spans="1:17">
      <c r="A452" s="44"/>
      <c r="B452" s="44"/>
      <c r="C452" s="44"/>
      <c r="D452" s="44"/>
      <c r="E452" s="44"/>
      <c r="F452" s="44"/>
      <c r="G452" s="44"/>
      <c r="H452" s="44"/>
      <c r="I452" s="100"/>
      <c r="J452" s="100"/>
      <c r="K452" s="44"/>
      <c r="L452" s="100"/>
      <c r="P452" s="101"/>
      <c r="Q452" s="44"/>
    </row>
    <row r="453" spans="1:17">
      <c r="A453" s="44"/>
      <c r="B453" s="44"/>
      <c r="C453" s="44"/>
      <c r="D453" s="44"/>
      <c r="E453" s="44"/>
      <c r="F453" s="44"/>
      <c r="G453" s="44"/>
      <c r="H453" s="44"/>
      <c r="I453" s="100"/>
      <c r="J453" s="100"/>
      <c r="K453" s="44"/>
      <c r="L453" s="100"/>
      <c r="P453" s="101"/>
      <c r="Q453" s="44"/>
    </row>
    <row r="454" spans="1:17">
      <c r="A454" s="44"/>
      <c r="B454" s="44"/>
      <c r="C454" s="44"/>
      <c r="D454" s="44"/>
      <c r="E454" s="44"/>
      <c r="F454" s="44"/>
      <c r="G454" s="44"/>
      <c r="H454" s="44"/>
      <c r="I454" s="100"/>
      <c r="J454" s="100"/>
      <c r="K454" s="44"/>
      <c r="L454" s="100"/>
      <c r="P454" s="101"/>
      <c r="Q454" s="44"/>
    </row>
    <row r="455" spans="1:17">
      <c r="A455" s="44"/>
      <c r="B455" s="44"/>
      <c r="C455" s="44"/>
      <c r="D455" s="44"/>
      <c r="E455" s="44"/>
      <c r="F455" s="44"/>
      <c r="G455" s="44"/>
      <c r="H455" s="44"/>
      <c r="I455" s="100"/>
      <c r="J455" s="100"/>
      <c r="K455" s="44"/>
      <c r="L455" s="100"/>
      <c r="P455" s="101"/>
      <c r="Q455" s="44"/>
    </row>
    <row r="456" spans="1:17">
      <c r="A456" s="44"/>
      <c r="B456" s="44"/>
      <c r="C456" s="44"/>
      <c r="D456" s="44"/>
      <c r="E456" s="44"/>
      <c r="F456" s="44"/>
      <c r="G456" s="44"/>
      <c r="H456" s="44"/>
      <c r="I456" s="100"/>
      <c r="J456" s="100"/>
      <c r="K456" s="44"/>
      <c r="L456" s="100"/>
      <c r="P456" s="101"/>
      <c r="Q456" s="44"/>
    </row>
    <row r="457" spans="1:17">
      <c r="A457" s="44"/>
      <c r="B457" s="44"/>
      <c r="C457" s="44"/>
      <c r="D457" s="44"/>
      <c r="E457" s="44"/>
      <c r="F457" s="44"/>
      <c r="G457" s="44"/>
      <c r="H457" s="44"/>
      <c r="I457" s="100"/>
      <c r="J457" s="100"/>
      <c r="K457" s="44"/>
      <c r="L457" s="100"/>
      <c r="P457" s="101"/>
      <c r="Q457" s="44"/>
    </row>
    <row r="458" spans="1:17">
      <c r="A458" s="44"/>
      <c r="B458" s="44"/>
      <c r="C458" s="44"/>
      <c r="D458" s="44"/>
      <c r="E458" s="44"/>
      <c r="F458" s="44"/>
      <c r="G458" s="44"/>
      <c r="H458" s="44"/>
      <c r="I458" s="100"/>
      <c r="J458" s="100"/>
      <c r="K458" s="44"/>
      <c r="L458" s="100"/>
      <c r="P458" s="101"/>
      <c r="Q458" s="44"/>
    </row>
    <row r="459" spans="1:17">
      <c r="A459" s="44"/>
      <c r="B459" s="44"/>
      <c r="C459" s="44"/>
      <c r="D459" s="44"/>
      <c r="E459" s="44"/>
      <c r="F459" s="44"/>
      <c r="G459" s="44"/>
      <c r="H459" s="44"/>
      <c r="I459" s="100"/>
      <c r="J459" s="100"/>
      <c r="K459" s="44"/>
      <c r="L459" s="100"/>
      <c r="P459" s="101"/>
      <c r="Q459" s="44"/>
    </row>
    <row r="460" spans="1:17">
      <c r="A460" s="44"/>
      <c r="B460" s="44"/>
      <c r="C460" s="44"/>
      <c r="D460" s="44"/>
      <c r="E460" s="44"/>
      <c r="F460" s="44"/>
      <c r="G460" s="44"/>
      <c r="H460" s="44"/>
      <c r="I460" s="100"/>
      <c r="J460" s="100"/>
      <c r="K460" s="44"/>
      <c r="L460" s="100"/>
      <c r="P460" s="101"/>
      <c r="Q460" s="44"/>
    </row>
    <row r="461" spans="1:17">
      <c r="A461" s="44"/>
      <c r="B461" s="44"/>
      <c r="C461" s="44"/>
      <c r="D461" s="44"/>
      <c r="E461" s="44"/>
      <c r="F461" s="44"/>
      <c r="G461" s="44"/>
      <c r="H461" s="44"/>
      <c r="I461" s="100"/>
      <c r="J461" s="100"/>
      <c r="K461" s="44"/>
      <c r="L461" s="100"/>
      <c r="P461" s="101"/>
      <c r="Q461" s="44"/>
    </row>
    <row r="462" spans="1:17">
      <c r="A462" s="44"/>
      <c r="B462" s="44"/>
      <c r="C462" s="44"/>
      <c r="D462" s="44"/>
      <c r="E462" s="44"/>
      <c r="F462" s="44"/>
      <c r="G462" s="44"/>
      <c r="H462" s="44"/>
      <c r="I462" s="100"/>
      <c r="J462" s="100"/>
      <c r="K462" s="44"/>
      <c r="L462" s="100"/>
      <c r="P462" s="101"/>
      <c r="Q462" s="44"/>
    </row>
    <row r="463" spans="1:17">
      <c r="A463" s="44"/>
      <c r="B463" s="44"/>
      <c r="C463" s="44"/>
      <c r="D463" s="44"/>
      <c r="E463" s="44"/>
      <c r="F463" s="44"/>
      <c r="G463" s="44"/>
      <c r="H463" s="44"/>
      <c r="I463" s="100"/>
      <c r="J463" s="100"/>
      <c r="K463" s="44"/>
      <c r="L463" s="100"/>
      <c r="P463" s="101"/>
      <c r="Q463" s="44"/>
    </row>
    <row r="464" spans="1:17">
      <c r="A464" s="44"/>
      <c r="B464" s="44"/>
      <c r="C464" s="44"/>
      <c r="D464" s="44"/>
      <c r="E464" s="44"/>
      <c r="F464" s="44"/>
      <c r="G464" s="44"/>
      <c r="H464" s="44"/>
      <c r="I464" s="100"/>
      <c r="J464" s="100"/>
      <c r="K464" s="44"/>
      <c r="L464" s="100"/>
      <c r="P464" s="101"/>
      <c r="Q464" s="44"/>
    </row>
    <row r="465" spans="1:17">
      <c r="A465" s="44"/>
      <c r="B465" s="44"/>
      <c r="C465" s="44"/>
      <c r="D465" s="44"/>
      <c r="E465" s="44"/>
      <c r="F465" s="44"/>
      <c r="G465" s="44"/>
      <c r="H465" s="44"/>
      <c r="I465" s="100"/>
      <c r="J465" s="100"/>
      <c r="K465" s="44"/>
      <c r="L465" s="100"/>
      <c r="P465" s="101"/>
      <c r="Q465" s="44"/>
    </row>
    <row r="466" spans="1:17">
      <c r="A466" s="44"/>
      <c r="B466" s="44"/>
      <c r="C466" s="44"/>
      <c r="D466" s="44"/>
      <c r="E466" s="44"/>
      <c r="F466" s="44"/>
      <c r="G466" s="44"/>
      <c r="H466" s="44"/>
      <c r="I466" s="100"/>
      <c r="J466" s="100"/>
      <c r="K466" s="44"/>
      <c r="L466" s="100"/>
      <c r="P466" s="101"/>
      <c r="Q466" s="44"/>
    </row>
    <row r="467" spans="1:17">
      <c r="A467" s="44"/>
      <c r="B467" s="44"/>
      <c r="C467" s="44"/>
      <c r="D467" s="44"/>
      <c r="E467" s="44"/>
      <c r="F467" s="44"/>
      <c r="G467" s="44"/>
      <c r="H467" s="44"/>
      <c r="I467" s="100"/>
      <c r="J467" s="100"/>
      <c r="K467" s="44"/>
      <c r="L467" s="100"/>
      <c r="P467" s="101"/>
      <c r="Q467" s="44"/>
    </row>
    <row r="468" spans="1:17">
      <c r="A468" s="44"/>
      <c r="B468" s="44"/>
      <c r="C468" s="44"/>
      <c r="D468" s="44"/>
      <c r="E468" s="44"/>
      <c r="F468" s="44"/>
      <c r="G468" s="44"/>
      <c r="H468" s="44"/>
      <c r="I468" s="100"/>
      <c r="J468" s="100"/>
      <c r="K468" s="44"/>
      <c r="L468" s="100"/>
      <c r="P468" s="101"/>
      <c r="Q468" s="44"/>
    </row>
    <row r="469" spans="1:17">
      <c r="A469" s="44"/>
      <c r="B469" s="44"/>
      <c r="C469" s="44"/>
      <c r="D469" s="44"/>
      <c r="E469" s="44"/>
      <c r="F469" s="44"/>
      <c r="G469" s="44"/>
      <c r="H469" s="44"/>
      <c r="I469" s="100"/>
      <c r="J469" s="100"/>
      <c r="K469" s="44"/>
      <c r="L469" s="100"/>
      <c r="P469" s="101"/>
      <c r="Q469" s="44"/>
    </row>
    <row r="470" spans="1:17">
      <c r="A470" s="44"/>
      <c r="B470" s="44"/>
      <c r="C470" s="44"/>
      <c r="D470" s="44"/>
      <c r="E470" s="44"/>
      <c r="F470" s="44"/>
      <c r="G470" s="44"/>
      <c r="H470" s="44"/>
      <c r="I470" s="100"/>
      <c r="J470" s="100"/>
      <c r="K470" s="44"/>
      <c r="L470" s="100"/>
      <c r="P470" s="101"/>
      <c r="Q470" s="44"/>
    </row>
    <row r="471" spans="1:17">
      <c r="A471" s="44"/>
      <c r="B471" s="44"/>
      <c r="C471" s="44"/>
      <c r="D471" s="44"/>
      <c r="E471" s="44"/>
      <c r="F471" s="44"/>
      <c r="G471" s="44"/>
      <c r="H471" s="44"/>
      <c r="I471" s="100"/>
      <c r="J471" s="100"/>
      <c r="K471" s="44"/>
      <c r="L471" s="100"/>
      <c r="P471" s="101"/>
      <c r="Q471" s="44"/>
    </row>
    <row r="472" spans="1:17">
      <c r="A472" s="44"/>
      <c r="B472" s="44"/>
      <c r="C472" s="44"/>
      <c r="D472" s="44"/>
      <c r="E472" s="44"/>
      <c r="F472" s="44"/>
      <c r="G472" s="44"/>
      <c r="H472" s="44"/>
      <c r="I472" s="100"/>
      <c r="J472" s="100"/>
      <c r="K472" s="44"/>
      <c r="L472" s="100"/>
      <c r="P472" s="101"/>
      <c r="Q472" s="44"/>
    </row>
    <row r="473" spans="1:17">
      <c r="A473" s="44"/>
      <c r="B473" s="44"/>
      <c r="C473" s="44"/>
      <c r="D473" s="44"/>
      <c r="E473" s="44"/>
      <c r="F473" s="44"/>
      <c r="G473" s="44"/>
      <c r="H473" s="44"/>
      <c r="I473" s="100"/>
      <c r="J473" s="100"/>
      <c r="K473" s="44"/>
      <c r="L473" s="100"/>
      <c r="P473" s="101"/>
      <c r="Q473" s="44"/>
    </row>
    <row r="474" spans="1:17">
      <c r="A474" s="44"/>
      <c r="B474" s="44"/>
      <c r="C474" s="44"/>
      <c r="D474" s="44"/>
      <c r="E474" s="44"/>
      <c r="F474" s="44"/>
      <c r="G474" s="44"/>
      <c r="H474" s="44"/>
      <c r="I474" s="100"/>
      <c r="J474" s="100"/>
      <c r="K474" s="44"/>
      <c r="L474" s="100"/>
      <c r="P474" s="101"/>
      <c r="Q474" s="44"/>
    </row>
    <row r="475" spans="1:17">
      <c r="A475" s="44"/>
      <c r="B475" s="44"/>
      <c r="C475" s="44"/>
      <c r="D475" s="44"/>
      <c r="E475" s="44"/>
      <c r="F475" s="44"/>
      <c r="G475" s="44"/>
      <c r="H475" s="44"/>
      <c r="I475" s="100"/>
      <c r="J475" s="100"/>
      <c r="K475" s="44"/>
      <c r="L475" s="100"/>
      <c r="P475" s="101"/>
      <c r="Q475" s="44"/>
    </row>
    <row r="476" spans="1:17">
      <c r="A476" s="44"/>
      <c r="B476" s="44"/>
      <c r="C476" s="44"/>
      <c r="D476" s="44"/>
      <c r="E476" s="44"/>
      <c r="F476" s="44"/>
      <c r="G476" s="44"/>
      <c r="H476" s="44"/>
      <c r="I476" s="100"/>
      <c r="J476" s="100"/>
      <c r="K476" s="44"/>
      <c r="L476" s="100"/>
      <c r="P476" s="101"/>
      <c r="Q476" s="44"/>
    </row>
    <row r="477" spans="1:17">
      <c r="A477" s="44"/>
      <c r="B477" s="44"/>
      <c r="C477" s="44"/>
      <c r="D477" s="44"/>
      <c r="E477" s="44"/>
      <c r="F477" s="44"/>
      <c r="G477" s="44"/>
      <c r="H477" s="44"/>
      <c r="I477" s="100"/>
      <c r="J477" s="100"/>
      <c r="K477" s="44"/>
      <c r="L477" s="100"/>
      <c r="P477" s="101"/>
      <c r="Q477" s="44"/>
    </row>
    <row r="478" spans="1:17">
      <c r="A478" s="44"/>
      <c r="B478" s="44"/>
      <c r="C478" s="44"/>
      <c r="D478" s="44"/>
      <c r="E478" s="44"/>
      <c r="F478" s="44"/>
      <c r="G478" s="44"/>
      <c r="H478" s="44"/>
      <c r="I478" s="100"/>
      <c r="J478" s="100"/>
      <c r="K478" s="44"/>
      <c r="L478" s="100"/>
      <c r="P478" s="101"/>
      <c r="Q478" s="44"/>
    </row>
    <row r="479" spans="1:17">
      <c r="A479" s="44"/>
      <c r="B479" s="44"/>
      <c r="C479" s="44"/>
      <c r="D479" s="44"/>
      <c r="E479" s="44"/>
      <c r="F479" s="44"/>
      <c r="G479" s="44"/>
      <c r="H479" s="44"/>
      <c r="I479" s="100"/>
      <c r="J479" s="100"/>
      <c r="K479" s="44"/>
      <c r="L479" s="100"/>
      <c r="P479" s="101"/>
      <c r="Q479" s="44"/>
    </row>
    <row r="480" spans="1:17">
      <c r="A480" s="44"/>
      <c r="B480" s="44"/>
      <c r="C480" s="44"/>
      <c r="D480" s="44"/>
      <c r="E480" s="44"/>
      <c r="F480" s="44"/>
      <c r="G480" s="44"/>
      <c r="H480" s="44"/>
      <c r="I480" s="100"/>
      <c r="J480" s="100"/>
      <c r="K480" s="44"/>
      <c r="L480" s="100"/>
      <c r="P480" s="101"/>
      <c r="Q480" s="44"/>
    </row>
    <row r="481" spans="1:17">
      <c r="A481" s="44"/>
      <c r="B481" s="44"/>
      <c r="C481" s="44"/>
      <c r="D481" s="44"/>
      <c r="E481" s="44"/>
      <c r="F481" s="44"/>
      <c r="G481" s="44"/>
      <c r="H481" s="44"/>
      <c r="I481" s="100"/>
      <c r="J481" s="100"/>
      <c r="K481" s="44"/>
      <c r="L481" s="100"/>
      <c r="P481" s="101"/>
      <c r="Q481" s="44"/>
    </row>
    <row r="482" spans="1:17">
      <c r="A482" s="44"/>
      <c r="B482" s="44"/>
      <c r="C482" s="44"/>
      <c r="D482" s="44"/>
      <c r="E482" s="44"/>
      <c r="F482" s="44"/>
      <c r="G482" s="44"/>
      <c r="H482" s="44"/>
      <c r="I482" s="100"/>
      <c r="J482" s="100"/>
      <c r="K482" s="44"/>
      <c r="L482" s="100"/>
      <c r="P482" s="101"/>
      <c r="Q482" s="44"/>
    </row>
    <row r="483" spans="1:17">
      <c r="A483" s="44"/>
      <c r="B483" s="44"/>
      <c r="C483" s="44"/>
      <c r="D483" s="44"/>
      <c r="E483" s="44"/>
      <c r="F483" s="44"/>
      <c r="G483" s="44"/>
      <c r="H483" s="44"/>
      <c r="I483" s="100"/>
      <c r="J483" s="100"/>
      <c r="K483" s="44"/>
      <c r="L483" s="100"/>
      <c r="P483" s="101"/>
      <c r="Q483" s="44"/>
    </row>
    <row r="484" spans="1:17">
      <c r="A484" s="44"/>
      <c r="B484" s="44"/>
      <c r="C484" s="44"/>
      <c r="D484" s="44"/>
      <c r="E484" s="44"/>
      <c r="F484" s="44"/>
      <c r="G484" s="44"/>
      <c r="H484" s="44"/>
      <c r="I484" s="100"/>
      <c r="J484" s="100"/>
      <c r="K484" s="44"/>
      <c r="L484" s="100"/>
      <c r="P484" s="101"/>
      <c r="Q484" s="44"/>
    </row>
    <row r="485" spans="1:17">
      <c r="A485" s="44"/>
      <c r="B485" s="44"/>
      <c r="C485" s="44"/>
      <c r="D485" s="44"/>
      <c r="E485" s="44"/>
      <c r="F485" s="44"/>
      <c r="G485" s="44"/>
      <c r="H485" s="44"/>
      <c r="I485" s="100"/>
      <c r="J485" s="100"/>
      <c r="K485" s="44"/>
      <c r="L485" s="100"/>
      <c r="P485" s="101"/>
      <c r="Q485" s="44"/>
    </row>
    <row r="486" spans="1:17">
      <c r="A486" s="44"/>
      <c r="B486" s="44"/>
      <c r="C486" s="44"/>
      <c r="D486" s="44"/>
      <c r="E486" s="44"/>
      <c r="F486" s="44"/>
      <c r="G486" s="44"/>
      <c r="H486" s="44"/>
      <c r="I486" s="100"/>
      <c r="J486" s="100"/>
      <c r="K486" s="44"/>
      <c r="L486" s="100"/>
      <c r="P486" s="101"/>
      <c r="Q486" s="44"/>
    </row>
    <row r="487" spans="1:17">
      <c r="A487" s="44"/>
      <c r="B487" s="44"/>
      <c r="C487" s="44"/>
      <c r="D487" s="44"/>
      <c r="E487" s="44"/>
      <c r="F487" s="44"/>
      <c r="G487" s="44"/>
      <c r="H487" s="44"/>
      <c r="I487" s="100"/>
      <c r="J487" s="100"/>
      <c r="K487" s="44"/>
      <c r="L487" s="100"/>
      <c r="P487" s="101"/>
      <c r="Q487" s="44"/>
    </row>
    <row r="488" spans="1:17">
      <c r="A488" s="44"/>
      <c r="B488" s="44"/>
      <c r="C488" s="44"/>
      <c r="D488" s="44"/>
      <c r="E488" s="44"/>
      <c r="F488" s="44"/>
      <c r="G488" s="44"/>
      <c r="H488" s="44"/>
      <c r="I488" s="100"/>
      <c r="J488" s="100"/>
      <c r="K488" s="44"/>
      <c r="L488" s="100"/>
      <c r="P488" s="101"/>
      <c r="Q488" s="44"/>
    </row>
    <row r="489" spans="1:17">
      <c r="A489" s="44"/>
      <c r="B489" s="44"/>
      <c r="C489" s="44"/>
      <c r="D489" s="44"/>
      <c r="E489" s="44"/>
      <c r="F489" s="44"/>
      <c r="G489" s="44"/>
      <c r="H489" s="44"/>
      <c r="I489" s="100"/>
      <c r="J489" s="100"/>
      <c r="K489" s="44"/>
      <c r="L489" s="100"/>
      <c r="P489" s="101"/>
      <c r="Q489" s="44"/>
    </row>
    <row r="490" spans="1:17">
      <c r="A490" s="44"/>
      <c r="B490" s="44"/>
      <c r="C490" s="44"/>
      <c r="D490" s="44"/>
      <c r="E490" s="44"/>
      <c r="F490" s="44"/>
      <c r="G490" s="44"/>
      <c r="H490" s="44"/>
      <c r="I490" s="100"/>
      <c r="J490" s="100"/>
      <c r="K490" s="44"/>
      <c r="L490" s="100"/>
      <c r="P490" s="101"/>
      <c r="Q490" s="44"/>
    </row>
    <row r="491" spans="1:17">
      <c r="A491" s="44"/>
      <c r="B491" s="44"/>
      <c r="C491" s="44"/>
      <c r="D491" s="44"/>
      <c r="E491" s="44"/>
      <c r="F491" s="44"/>
      <c r="G491" s="44"/>
      <c r="H491" s="44"/>
      <c r="I491" s="100"/>
      <c r="J491" s="100"/>
      <c r="K491" s="44"/>
      <c r="L491" s="100"/>
      <c r="P491" s="101"/>
      <c r="Q491" s="44"/>
    </row>
    <row r="492" spans="1:17">
      <c r="A492" s="44"/>
      <c r="B492" s="44"/>
      <c r="C492" s="44"/>
      <c r="D492" s="44"/>
      <c r="E492" s="44"/>
      <c r="F492" s="44"/>
      <c r="G492" s="44"/>
      <c r="H492" s="44"/>
      <c r="I492" s="100"/>
      <c r="J492" s="100"/>
      <c r="K492" s="44"/>
      <c r="L492" s="100"/>
      <c r="P492" s="101"/>
      <c r="Q492" s="44"/>
    </row>
    <row r="493" spans="1:17">
      <c r="A493" s="44"/>
      <c r="B493" s="44"/>
      <c r="C493" s="44"/>
      <c r="D493" s="44"/>
      <c r="E493" s="44"/>
      <c r="F493" s="44"/>
      <c r="G493" s="44"/>
      <c r="H493" s="44"/>
      <c r="I493" s="100"/>
      <c r="J493" s="100"/>
      <c r="K493" s="44"/>
      <c r="L493" s="100"/>
      <c r="P493" s="101"/>
      <c r="Q493" s="44"/>
    </row>
    <row r="494" spans="1:17">
      <c r="A494" s="44"/>
      <c r="B494" s="44"/>
      <c r="C494" s="44"/>
      <c r="D494" s="44"/>
      <c r="E494" s="44"/>
      <c r="F494" s="44"/>
      <c r="G494" s="44"/>
      <c r="H494" s="44"/>
      <c r="I494" s="100"/>
      <c r="J494" s="100"/>
      <c r="K494" s="44"/>
      <c r="L494" s="100"/>
      <c r="P494" s="101"/>
      <c r="Q494" s="44"/>
    </row>
    <row r="495" spans="1:17">
      <c r="A495" s="44"/>
      <c r="B495" s="44"/>
      <c r="C495" s="44"/>
      <c r="D495" s="44"/>
      <c r="E495" s="44"/>
      <c r="F495" s="44"/>
      <c r="G495" s="44"/>
      <c r="H495" s="44"/>
      <c r="I495" s="100"/>
      <c r="J495" s="100"/>
      <c r="K495" s="44"/>
      <c r="L495" s="100"/>
      <c r="P495" s="101"/>
      <c r="Q495" s="44"/>
    </row>
    <row r="496" spans="1:17">
      <c r="A496" s="44"/>
      <c r="B496" s="44"/>
      <c r="C496" s="44"/>
      <c r="D496" s="44"/>
      <c r="E496" s="44"/>
      <c r="F496" s="44"/>
      <c r="G496" s="44"/>
      <c r="H496" s="44"/>
      <c r="I496" s="100"/>
      <c r="J496" s="100"/>
      <c r="K496" s="44"/>
      <c r="L496" s="100"/>
      <c r="P496" s="101"/>
      <c r="Q496" s="44"/>
    </row>
    <row r="497" spans="1:17">
      <c r="A497" s="44"/>
      <c r="B497" s="44"/>
      <c r="C497" s="44"/>
      <c r="D497" s="44"/>
      <c r="E497" s="44"/>
      <c r="F497" s="44"/>
      <c r="G497" s="44"/>
      <c r="H497" s="44"/>
      <c r="I497" s="100"/>
      <c r="J497" s="100"/>
      <c r="K497" s="44"/>
      <c r="L497" s="100"/>
      <c r="P497" s="101"/>
      <c r="Q497" s="44"/>
    </row>
    <row r="498" spans="1:17">
      <c r="A498" s="44"/>
      <c r="B498" s="44"/>
      <c r="C498" s="44"/>
      <c r="D498" s="44"/>
      <c r="E498" s="44"/>
      <c r="F498" s="44"/>
      <c r="G498" s="44"/>
      <c r="H498" s="44"/>
      <c r="I498" s="100"/>
      <c r="J498" s="100"/>
      <c r="K498" s="44"/>
      <c r="L498" s="100"/>
      <c r="P498" s="101"/>
      <c r="Q498" s="44"/>
    </row>
    <row r="499" spans="1:17">
      <c r="A499" s="44"/>
      <c r="B499" s="44"/>
      <c r="C499" s="44"/>
      <c r="D499" s="44"/>
      <c r="E499" s="44"/>
      <c r="F499" s="44"/>
      <c r="G499" s="44"/>
      <c r="H499" s="44"/>
      <c r="I499" s="100"/>
      <c r="J499" s="100"/>
      <c r="K499" s="44"/>
      <c r="L499" s="100"/>
      <c r="P499" s="101"/>
      <c r="Q499" s="44"/>
    </row>
    <row r="500" spans="1:17">
      <c r="A500" s="44"/>
      <c r="B500" s="44"/>
      <c r="C500" s="44"/>
      <c r="D500" s="44"/>
      <c r="E500" s="44"/>
      <c r="F500" s="44"/>
      <c r="G500" s="44"/>
      <c r="H500" s="44"/>
      <c r="I500" s="100"/>
      <c r="J500" s="100"/>
      <c r="K500" s="44"/>
      <c r="L500" s="100"/>
      <c r="P500" s="101"/>
      <c r="Q500" s="44"/>
    </row>
    <row r="501" spans="1:17">
      <c r="A501" s="44"/>
      <c r="B501" s="44"/>
      <c r="C501" s="44"/>
      <c r="D501" s="44"/>
      <c r="E501" s="44"/>
      <c r="F501" s="44"/>
      <c r="G501" s="44"/>
      <c r="H501" s="44"/>
      <c r="I501" s="100"/>
      <c r="J501" s="100"/>
      <c r="K501" s="44"/>
      <c r="L501" s="100"/>
      <c r="P501" s="101"/>
      <c r="Q501" s="44"/>
    </row>
    <row r="502" spans="1:17">
      <c r="A502" s="44"/>
      <c r="B502" s="44"/>
      <c r="C502" s="44"/>
      <c r="D502" s="44"/>
      <c r="E502" s="44"/>
      <c r="F502" s="44"/>
      <c r="G502" s="44"/>
      <c r="H502" s="44"/>
      <c r="I502" s="100"/>
      <c r="J502" s="100"/>
      <c r="K502" s="44"/>
      <c r="L502" s="100"/>
      <c r="P502" s="101"/>
      <c r="Q502" s="44"/>
    </row>
    <row r="503" spans="1:17">
      <c r="A503" s="44"/>
      <c r="B503" s="44"/>
      <c r="C503" s="44"/>
      <c r="D503" s="44"/>
      <c r="E503" s="44"/>
      <c r="F503" s="44"/>
      <c r="G503" s="44"/>
      <c r="H503" s="44"/>
      <c r="I503" s="100"/>
      <c r="J503" s="100"/>
      <c r="K503" s="44"/>
      <c r="L503" s="100"/>
      <c r="P503" s="101"/>
      <c r="Q503" s="44"/>
    </row>
    <row r="504" spans="1:17">
      <c r="A504" s="44"/>
      <c r="B504" s="44"/>
      <c r="C504" s="44"/>
      <c r="D504" s="44"/>
      <c r="E504" s="44"/>
      <c r="F504" s="44"/>
      <c r="G504" s="44"/>
      <c r="H504" s="44"/>
      <c r="I504" s="100"/>
      <c r="J504" s="100"/>
      <c r="K504" s="44"/>
      <c r="L504" s="100"/>
      <c r="P504" s="101"/>
      <c r="Q504" s="44"/>
    </row>
    <row r="505" spans="1:17">
      <c r="A505" s="44"/>
      <c r="B505" s="44"/>
      <c r="C505" s="44"/>
      <c r="D505" s="44"/>
      <c r="E505" s="44"/>
      <c r="F505" s="44"/>
      <c r="G505" s="44"/>
      <c r="H505" s="44"/>
      <c r="I505" s="100"/>
      <c r="J505" s="100"/>
      <c r="K505" s="44"/>
      <c r="L505" s="100"/>
      <c r="P505" s="101"/>
      <c r="Q505" s="44"/>
    </row>
    <row r="506" spans="1:17">
      <c r="A506" s="44"/>
      <c r="B506" s="44"/>
      <c r="C506" s="44"/>
      <c r="D506" s="44"/>
      <c r="E506" s="44"/>
      <c r="F506" s="44"/>
      <c r="G506" s="44"/>
      <c r="H506" s="44"/>
      <c r="I506" s="100"/>
      <c r="J506" s="100"/>
      <c r="K506" s="44"/>
      <c r="L506" s="100"/>
      <c r="P506" s="101"/>
      <c r="Q506" s="44"/>
    </row>
    <row r="507" spans="1:17">
      <c r="A507" s="44"/>
      <c r="B507" s="44"/>
      <c r="C507" s="44"/>
      <c r="D507" s="44"/>
      <c r="E507" s="44"/>
      <c r="F507" s="44"/>
      <c r="G507" s="44"/>
      <c r="H507" s="44"/>
      <c r="I507" s="100"/>
      <c r="J507" s="100"/>
      <c r="K507" s="44"/>
      <c r="L507" s="100"/>
      <c r="P507" s="101"/>
      <c r="Q507" s="44"/>
    </row>
    <row r="508" spans="1:17">
      <c r="A508" s="44"/>
      <c r="B508" s="44"/>
      <c r="C508" s="44"/>
      <c r="D508" s="44"/>
      <c r="E508" s="44"/>
      <c r="F508" s="44"/>
      <c r="G508" s="44"/>
      <c r="H508" s="44"/>
      <c r="I508" s="100"/>
      <c r="J508" s="100"/>
      <c r="K508" s="44"/>
      <c r="L508" s="100"/>
      <c r="P508" s="101"/>
      <c r="Q508" s="44"/>
    </row>
    <row r="509" spans="1:17">
      <c r="A509" s="44"/>
      <c r="B509" s="44"/>
      <c r="C509" s="44"/>
      <c r="D509" s="44"/>
      <c r="E509" s="44"/>
      <c r="F509" s="44"/>
      <c r="G509" s="44"/>
      <c r="H509" s="44"/>
      <c r="I509" s="100"/>
      <c r="J509" s="100"/>
      <c r="K509" s="44"/>
      <c r="L509" s="100"/>
      <c r="P509" s="101"/>
      <c r="Q509" s="44"/>
    </row>
    <row r="510" spans="1:17">
      <c r="A510" s="44"/>
      <c r="B510" s="44"/>
      <c r="C510" s="44"/>
      <c r="D510" s="44"/>
      <c r="E510" s="44"/>
      <c r="F510" s="44"/>
      <c r="G510" s="44"/>
      <c r="H510" s="44"/>
      <c r="I510" s="100"/>
      <c r="J510" s="100"/>
      <c r="K510" s="44"/>
      <c r="L510" s="100"/>
      <c r="P510" s="101"/>
      <c r="Q510" s="44"/>
    </row>
    <row r="511" spans="1:17">
      <c r="A511" s="44"/>
      <c r="B511" s="44"/>
      <c r="C511" s="44"/>
      <c r="D511" s="44"/>
      <c r="E511" s="44"/>
      <c r="F511" s="44"/>
      <c r="G511" s="44"/>
      <c r="H511" s="44"/>
      <c r="I511" s="100"/>
      <c r="J511" s="100"/>
      <c r="K511" s="44"/>
      <c r="L511" s="100"/>
      <c r="P511" s="101"/>
      <c r="Q511" s="44"/>
    </row>
    <row r="512" spans="1:17">
      <c r="A512" s="44"/>
      <c r="B512" s="44"/>
      <c r="C512" s="44"/>
      <c r="D512" s="44"/>
      <c r="E512" s="44"/>
      <c r="F512" s="44"/>
      <c r="G512" s="44"/>
      <c r="H512" s="44"/>
      <c r="I512" s="100"/>
      <c r="J512" s="100"/>
      <c r="K512" s="44"/>
      <c r="L512" s="100"/>
      <c r="P512" s="101"/>
      <c r="Q512" s="44"/>
    </row>
    <row r="513" spans="1:17">
      <c r="A513" s="44"/>
      <c r="B513" s="44"/>
      <c r="C513" s="44"/>
      <c r="D513" s="44"/>
      <c r="E513" s="44"/>
      <c r="F513" s="44"/>
      <c r="G513" s="44"/>
      <c r="H513" s="44"/>
      <c r="I513" s="100"/>
      <c r="J513" s="100"/>
      <c r="K513" s="44"/>
      <c r="L513" s="100"/>
      <c r="P513" s="101"/>
      <c r="Q513" s="44"/>
    </row>
  </sheetData>
  <hyperlinks>
    <hyperlink ref="G4:N4" r:id="rId1" display="https://player.vimeo.com/video/239720469" xr:uid="{671E41A5-8D55-4EC8-A669-4BC420CA89E9}"/>
    <hyperlink ref="G6:N6" r:id="rId2" display="https://player.vimeo.com/video/240381464" xr:uid="{EB406AFD-7647-4CD2-B31D-447F43695764}"/>
    <hyperlink ref="G8:N8" r:id="rId3" display="https://player.vimeo.com/video/240409378" xr:uid="{A6C16DD2-4115-47F3-8CDD-F58D212B18BD}"/>
  </hyperlinks>
  <pageMargins left="0.7" right="0.7" top="0.75" bottom="0.75" header="0.3" footer="0.3"/>
  <pageSetup orientation="portrait" horizontalDpi="360" verticalDpi="360" r:id="rId4"/>
  <drawing r:id="rId5"/>
  <legacyDrawing r:id="rId6"/>
  <mc:AlternateContent xmlns:mc="http://schemas.openxmlformats.org/markup-compatibility/2006">
    <mc:Choice Requires="x14">
      <controls>
        <mc:AlternateContent xmlns:mc="http://schemas.openxmlformats.org/markup-compatibility/2006">
          <mc:Choice Requires="x14">
            <control shapeId="28673" r:id="rId7" name="Button 1">
              <controlPr defaultSize="0" print="0" autoFill="0" autoPict="0" macro="[0]!showformmodelintro">
                <anchor moveWithCells="1" sizeWithCells="1">
                  <from>
                    <xdr:col>6</xdr:col>
                    <xdr:colOff>0</xdr:colOff>
                    <xdr:row>1</xdr:row>
                    <xdr:rowOff>114300</xdr:rowOff>
                  </from>
                  <to>
                    <xdr:col>7</xdr:col>
                    <xdr:colOff>480060</xdr:colOff>
                    <xdr:row>3</xdr:row>
                    <xdr:rowOff>0</xdr:rowOff>
                  </to>
                </anchor>
              </controlPr>
            </control>
          </mc:Choice>
        </mc:AlternateContent>
        <mc:AlternateContent xmlns:mc="http://schemas.openxmlformats.org/markup-compatibility/2006">
          <mc:Choice Requires="x14">
            <control shapeId="28674" r:id="rId8" name="Button 2">
              <controlPr defaultSize="0" print="0" autoFill="0" autoPict="0" macro="[0]!showformKdestruction">
                <anchor moveWithCells="1" sizeWithCells="1">
                  <from>
                    <xdr:col>6</xdr:col>
                    <xdr:colOff>0</xdr:colOff>
                    <xdr:row>3</xdr:row>
                    <xdr:rowOff>175260</xdr:rowOff>
                  </from>
                  <to>
                    <xdr:col>7</xdr:col>
                    <xdr:colOff>495300</xdr:colOff>
                    <xdr:row>5</xdr:row>
                    <xdr:rowOff>38100</xdr:rowOff>
                  </to>
                </anchor>
              </controlPr>
            </control>
          </mc:Choice>
        </mc:AlternateContent>
        <mc:AlternateContent xmlns:mc="http://schemas.openxmlformats.org/markup-compatibility/2006">
          <mc:Choice Requires="x14">
            <control shapeId="28675" r:id="rId9" name="Button 3">
              <controlPr defaultSize="0" print="0" autoFill="0" autoPict="0" macro="[0]!showformfuturebeta">
                <anchor moveWithCells="1" sizeWithCells="1">
                  <from>
                    <xdr:col>6</xdr:col>
                    <xdr:colOff>0</xdr:colOff>
                    <xdr:row>6</xdr:row>
                    <xdr:rowOff>7620</xdr:rowOff>
                  </from>
                  <to>
                    <xdr:col>7</xdr:col>
                    <xdr:colOff>510540</xdr:colOff>
                    <xdr:row>7</xdr:row>
                    <xdr:rowOff>53340</xdr:rowOff>
                  </to>
                </anchor>
              </controlPr>
            </control>
          </mc:Choice>
        </mc:AlternateContent>
        <mc:AlternateContent xmlns:mc="http://schemas.openxmlformats.org/markup-compatibility/2006">
          <mc:Choice Requires="x14">
            <control shapeId="28676" r:id="rId10" name="FinalButton">
              <controlPr defaultSize="0" print="0" autoFill="0" autoPict="0" macro="[0]!showFinal">
                <anchor moveWithCells="1" sizeWithCells="1">
                  <from>
                    <xdr:col>49</xdr:col>
                    <xdr:colOff>0</xdr:colOff>
                    <xdr:row>8</xdr:row>
                    <xdr:rowOff>0</xdr:rowOff>
                  </from>
                  <to>
                    <xdr:col>49</xdr:col>
                    <xdr:colOff>518160</xdr:colOff>
                    <xdr:row>9</xdr:row>
                    <xdr:rowOff>83820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R80"/>
  <sheetViews>
    <sheetView showGridLines="0" workbookViewId="0">
      <selection activeCell="A3" sqref="A3"/>
    </sheetView>
  </sheetViews>
  <sheetFormatPr defaultColWidth="8.77734375" defaultRowHeight="14.4"/>
  <cols>
    <col min="1" max="1" width="11.21875" style="40" bestFit="1" customWidth="1"/>
    <col min="2" max="2" width="8.77734375" style="40"/>
    <col min="3" max="3" width="10.109375" style="40" customWidth="1"/>
    <col min="4" max="16384" width="8.77734375" style="40"/>
  </cols>
  <sheetData>
    <row r="1" spans="1:3">
      <c r="A1" s="104" t="s">
        <v>361</v>
      </c>
      <c r="B1" s="40" t="s">
        <v>355</v>
      </c>
    </row>
    <row r="2" spans="1:3" ht="15" thickBot="1">
      <c r="A2" s="105" t="s">
        <v>362</v>
      </c>
      <c r="B2" s="40" t="s">
        <v>364</v>
      </c>
    </row>
    <row r="3" spans="1:3">
      <c r="B3" s="40" t="s">
        <v>363</v>
      </c>
    </row>
    <row r="4" spans="1:3">
      <c r="C4" s="40" t="s">
        <v>99</v>
      </c>
    </row>
    <row r="5" spans="1:3">
      <c r="B5" s="40" t="s">
        <v>354</v>
      </c>
    </row>
    <row r="6" spans="1:3">
      <c r="C6" s="40" t="s">
        <v>356</v>
      </c>
    </row>
    <row r="7" spans="1:3">
      <c r="C7" s="40" t="s">
        <v>357</v>
      </c>
    </row>
    <row r="8" spans="1:3" ht="15" thickBot="1"/>
    <row r="9" spans="1:3">
      <c r="A9" s="104" t="s">
        <v>358</v>
      </c>
      <c r="B9" s="40" t="s">
        <v>360</v>
      </c>
    </row>
    <row r="10" spans="1:3" ht="15" thickBot="1">
      <c r="A10" s="105" t="s">
        <v>359</v>
      </c>
      <c r="C10" s="40" t="s">
        <v>397</v>
      </c>
    </row>
    <row r="11" spans="1:3">
      <c r="C11" s="40" t="s">
        <v>398</v>
      </c>
    </row>
    <row r="13" spans="1:3">
      <c r="B13" s="40" t="s">
        <v>42</v>
      </c>
    </row>
    <row r="14" spans="1:3">
      <c r="C14" s="40" t="s">
        <v>41</v>
      </c>
    </row>
    <row r="15" spans="1:3">
      <c r="C15" s="40" t="s">
        <v>377</v>
      </c>
    </row>
    <row r="16" spans="1:3">
      <c r="C16" s="40" t="s">
        <v>43</v>
      </c>
    </row>
    <row r="17" spans="1:18">
      <c r="C17" s="40" t="s">
        <v>399</v>
      </c>
    </row>
    <row r="18" spans="1:18" ht="15" thickBot="1"/>
    <row r="19" spans="1:18">
      <c r="A19" s="104" t="s">
        <v>375</v>
      </c>
      <c r="B19" s="40" t="s">
        <v>367</v>
      </c>
    </row>
    <row r="20" spans="1:18" ht="15" thickBot="1">
      <c r="A20" s="105" t="s">
        <v>376</v>
      </c>
      <c r="B20" s="184" t="s">
        <v>368</v>
      </c>
    </row>
    <row r="21" spans="1:18">
      <c r="B21" s="40" t="s">
        <v>369</v>
      </c>
    </row>
    <row r="22" spans="1:18">
      <c r="B22" s="40" t="s">
        <v>386</v>
      </c>
    </row>
    <row r="23" spans="1:18">
      <c r="C23" s="40" t="s">
        <v>370</v>
      </c>
    </row>
    <row r="24" spans="1:18">
      <c r="C24" s="40" t="s">
        <v>400</v>
      </c>
    </row>
    <row r="25" spans="1:18" ht="15" thickBot="1"/>
    <row r="26" spans="1:18">
      <c r="A26" s="104" t="s">
        <v>378</v>
      </c>
      <c r="B26" s="40" t="s">
        <v>395</v>
      </c>
      <c r="J26" s="110" t="s">
        <v>396</v>
      </c>
      <c r="K26" s="43"/>
      <c r="L26" s="43"/>
      <c r="M26" s="43"/>
      <c r="N26" s="43"/>
      <c r="O26" s="43"/>
      <c r="P26" s="43"/>
      <c r="Q26" s="43"/>
      <c r="R26" s="43"/>
    </row>
    <row r="27" spans="1:18" ht="15" thickBot="1">
      <c r="A27" s="105" t="s">
        <v>365</v>
      </c>
      <c r="B27" s="40" t="s">
        <v>374</v>
      </c>
    </row>
    <row r="28" spans="1:18">
      <c r="A28" s="187" t="s">
        <v>179</v>
      </c>
      <c r="B28" s="40" t="s">
        <v>366</v>
      </c>
      <c r="P28" s="185"/>
      <c r="Q28" s="185"/>
      <c r="R28" s="185"/>
    </row>
    <row r="29" spans="1:18">
      <c r="B29" s="40" t="s">
        <v>379</v>
      </c>
      <c r="P29" s="185"/>
      <c r="Q29" s="185"/>
      <c r="R29" s="185"/>
    </row>
    <row r="30" spans="1:18">
      <c r="C30" s="40" t="s">
        <v>380</v>
      </c>
      <c r="D30" s="43" t="s">
        <v>391</v>
      </c>
      <c r="E30" s="186"/>
      <c r="F30" s="186"/>
      <c r="G30" s="186"/>
      <c r="H30" s="186"/>
      <c r="I30" s="186"/>
      <c r="Q30" s="185"/>
      <c r="R30" s="185"/>
    </row>
    <row r="31" spans="1:18">
      <c r="C31" s="40" t="s">
        <v>381</v>
      </c>
      <c r="D31" s="43" t="s">
        <v>392</v>
      </c>
      <c r="E31" s="186"/>
      <c r="F31" s="186"/>
      <c r="G31" s="186"/>
      <c r="H31" s="186"/>
      <c r="I31" s="186"/>
    </row>
    <row r="32" spans="1:18">
      <c r="B32" s="40" t="s">
        <v>401</v>
      </c>
      <c r="Q32" s="185"/>
      <c r="R32" s="185"/>
    </row>
    <row r="33" spans="1:18">
      <c r="B33" s="40" t="s">
        <v>385</v>
      </c>
      <c r="D33" s="186"/>
      <c r="E33" s="186"/>
      <c r="F33" s="186"/>
      <c r="G33" s="186"/>
      <c r="H33" s="186"/>
      <c r="I33" s="186"/>
      <c r="Q33" s="185"/>
      <c r="R33" s="185"/>
    </row>
    <row r="34" spans="1:18">
      <c r="B34" s="40" t="s">
        <v>384</v>
      </c>
      <c r="D34" s="186"/>
      <c r="E34" s="186"/>
      <c r="F34" s="186"/>
      <c r="G34" s="186"/>
      <c r="H34" s="186"/>
      <c r="I34" s="186"/>
      <c r="Q34" s="185"/>
      <c r="R34" s="185"/>
    </row>
    <row r="35" spans="1:18">
      <c r="C35" s="40" t="s">
        <v>390</v>
      </c>
      <c r="D35" s="186"/>
      <c r="E35" s="186"/>
      <c r="F35" s="186"/>
      <c r="G35" s="186"/>
      <c r="H35" s="186"/>
      <c r="I35" s="186"/>
      <c r="P35" s="185"/>
      <c r="Q35" s="185"/>
      <c r="R35" s="185"/>
    </row>
    <row r="36" spans="1:18">
      <c r="B36" s="40" t="s">
        <v>387</v>
      </c>
      <c r="P36" s="185"/>
      <c r="Q36" s="185"/>
      <c r="R36" s="185"/>
    </row>
    <row r="37" spans="1:18">
      <c r="B37" s="40" t="s">
        <v>388</v>
      </c>
      <c r="P37" s="185"/>
      <c r="Q37" s="185"/>
      <c r="R37" s="185"/>
    </row>
    <row r="38" spans="1:18">
      <c r="B38" s="40" t="s">
        <v>389</v>
      </c>
      <c r="P38" s="185"/>
      <c r="Q38" s="186"/>
      <c r="R38" s="186"/>
    </row>
    <row r="39" spans="1:18">
      <c r="B39" s="43" t="s">
        <v>393</v>
      </c>
      <c r="C39" s="110"/>
      <c r="D39" s="110"/>
      <c r="E39" s="110"/>
      <c r="F39" s="110"/>
      <c r="G39" s="110"/>
      <c r="H39" s="110"/>
      <c r="I39" s="110"/>
      <c r="P39" s="185"/>
      <c r="Q39" s="185"/>
      <c r="R39" s="185"/>
    </row>
    <row r="40" spans="1:18">
      <c r="B40" s="40" t="s">
        <v>382</v>
      </c>
      <c r="P40" s="185"/>
      <c r="Q40" s="185"/>
      <c r="R40" s="185"/>
    </row>
    <row r="41" spans="1:18">
      <c r="B41" s="40" t="s">
        <v>383</v>
      </c>
      <c r="P41" s="185"/>
      <c r="Q41" s="185"/>
      <c r="R41" s="185"/>
    </row>
    <row r="42" spans="1:18">
      <c r="B42" s="40" t="s">
        <v>402</v>
      </c>
      <c r="P42" s="185"/>
      <c r="Q42" s="185"/>
      <c r="R42" s="185"/>
    </row>
    <row r="43" spans="1:18" ht="15" thickBot="1">
      <c r="P43" s="185"/>
      <c r="Q43" s="185"/>
      <c r="R43" s="185"/>
    </row>
    <row r="44" spans="1:18">
      <c r="A44" s="104" t="s">
        <v>371</v>
      </c>
      <c r="B44" s="40" t="s">
        <v>373</v>
      </c>
      <c r="P44" s="185"/>
      <c r="Q44" s="185"/>
      <c r="R44" s="185"/>
    </row>
    <row r="45" spans="1:18" ht="15" thickBot="1">
      <c r="A45" s="105" t="s">
        <v>372</v>
      </c>
      <c r="B45" s="40" t="s">
        <v>394</v>
      </c>
      <c r="P45" s="185"/>
      <c r="Q45" s="185"/>
      <c r="R45" s="185"/>
    </row>
    <row r="46" spans="1:18">
      <c r="B46" s="43" t="s">
        <v>98</v>
      </c>
      <c r="C46" s="43"/>
      <c r="D46" s="43"/>
      <c r="E46" s="43"/>
      <c r="F46" s="43"/>
      <c r="G46" s="43"/>
      <c r="H46" s="43"/>
      <c r="P46" s="185"/>
      <c r="Q46" s="185"/>
      <c r="R46" s="185"/>
    </row>
    <row r="47" spans="1:18">
      <c r="P47" s="185"/>
      <c r="Q47" s="185"/>
      <c r="R47" s="185"/>
    </row>
    <row r="48" spans="1:18">
      <c r="P48" s="185"/>
      <c r="Q48" s="185"/>
      <c r="R48" s="185"/>
    </row>
    <row r="49" spans="16:18">
      <c r="P49" s="185"/>
      <c r="Q49" s="185"/>
      <c r="R49" s="185"/>
    </row>
    <row r="50" spans="16:18">
      <c r="P50" s="185"/>
      <c r="Q50" s="186"/>
      <c r="R50" s="186"/>
    </row>
    <row r="51" spans="16:18">
      <c r="P51" s="185"/>
      <c r="Q51" s="185"/>
      <c r="R51" s="185"/>
    </row>
    <row r="52" spans="16:18">
      <c r="P52" s="185"/>
      <c r="Q52" s="185"/>
      <c r="R52" s="185"/>
    </row>
    <row r="53" spans="16:18">
      <c r="P53" s="185"/>
      <c r="Q53" s="185"/>
      <c r="R53" s="185"/>
    </row>
    <row r="54" spans="16:18">
      <c r="P54" s="185"/>
      <c r="Q54" s="185"/>
      <c r="R54" s="185"/>
    </row>
    <row r="55" spans="16:18">
      <c r="P55" s="185"/>
      <c r="Q55" s="185"/>
      <c r="R55" s="185"/>
    </row>
    <row r="56" spans="16:18">
      <c r="P56" s="185"/>
      <c r="Q56" s="185"/>
      <c r="R56" s="185"/>
    </row>
    <row r="57" spans="16:18">
      <c r="P57" s="185"/>
      <c r="Q57" s="185"/>
      <c r="R57" s="185"/>
    </row>
    <row r="58" spans="16:18">
      <c r="P58" s="185"/>
      <c r="Q58" s="185"/>
      <c r="R58" s="185"/>
    </row>
    <row r="59" spans="16:18">
      <c r="P59" s="185"/>
      <c r="Q59" s="185"/>
      <c r="R59" s="185"/>
    </row>
    <row r="60" spans="16:18">
      <c r="P60" s="185"/>
      <c r="Q60" s="185"/>
      <c r="R60" s="185"/>
    </row>
    <row r="61" spans="16:18">
      <c r="Q61" s="185"/>
      <c r="R61" s="185"/>
    </row>
    <row r="62" spans="16:18">
      <c r="Q62" s="185"/>
      <c r="R62" s="185"/>
    </row>
    <row r="63" spans="16:18">
      <c r="Q63" s="185"/>
      <c r="R63" s="185"/>
    </row>
    <row r="64" spans="16:18">
      <c r="P64" s="185"/>
      <c r="Q64" s="185"/>
      <c r="R64" s="185"/>
    </row>
    <row r="65" spans="16:18">
      <c r="P65" s="185"/>
      <c r="Q65" s="185"/>
      <c r="R65" s="185"/>
    </row>
    <row r="66" spans="16:18">
      <c r="P66" s="185"/>
      <c r="Q66" s="185"/>
      <c r="R66" s="185"/>
    </row>
    <row r="67" spans="16:18">
      <c r="P67" s="185"/>
      <c r="Q67" s="186"/>
      <c r="R67" s="186"/>
    </row>
    <row r="68" spans="16:18">
      <c r="P68" s="185"/>
      <c r="Q68" s="185"/>
      <c r="R68" s="185"/>
    </row>
    <row r="69" spans="16:18">
      <c r="Q69" s="185"/>
      <c r="R69" s="185"/>
    </row>
    <row r="70" spans="16:18">
      <c r="Q70" s="185"/>
      <c r="R70" s="185"/>
    </row>
    <row r="71" spans="16:18">
      <c r="Q71" s="185"/>
      <c r="R71" s="185"/>
    </row>
    <row r="72" spans="16:18">
      <c r="Q72" s="185"/>
      <c r="R72" s="185"/>
    </row>
    <row r="73" spans="16:18">
      <c r="Q73" s="185"/>
      <c r="R73" s="185"/>
    </row>
    <row r="74" spans="16:18">
      <c r="Q74" s="185"/>
      <c r="R74" s="185"/>
    </row>
    <row r="75" spans="16:18">
      <c r="Q75" s="185"/>
      <c r="R75" s="185"/>
    </row>
    <row r="76" spans="16:18">
      <c r="Q76" s="185"/>
      <c r="R76" s="185"/>
    </row>
    <row r="77" spans="16:18">
      <c r="Q77" s="185"/>
      <c r="R77" s="185"/>
    </row>
    <row r="78" spans="16:18">
      <c r="Q78" s="185"/>
      <c r="R78" s="185"/>
    </row>
    <row r="79" spans="16:18">
      <c r="Q79" s="185"/>
      <c r="R79" s="185"/>
    </row>
    <row r="80" spans="16:18">
      <c r="Q80" s="185"/>
      <c r="R80" s="185"/>
    </row>
  </sheetData>
  <hyperlinks>
    <hyperlink ref="D30:I30" r:id="rId1" display="Gordon, R. (2016) The Rise and Fall of American Growth" xr:uid="{00000000-0004-0000-0700-000000000000}"/>
    <hyperlink ref="D31:I31" r:id="rId2" display="Brynjolfsson, E. and A. McAfee (2014) The Second Machine Age" xr:uid="{00000000-0004-0000-0700-000001000000}"/>
    <hyperlink ref="P38:R38" r:id="rId3" display="http://cepr.org/active/publications/policy_insights/viewpi.php?pino=63" xr:uid="{00000000-0004-0000-0700-000002000000}"/>
    <hyperlink ref="P50:R50" r:id="rId4" display="http://www.amazon.com/Capital-Twenty-First-Century-Thomas-Piketty/dp/1491534656" xr:uid="{00000000-0004-0000-0700-000003000000}"/>
    <hyperlink ref="P67:R67" r:id="rId5" display="http://www.amazon.com/Second-Machine-Age-Prosperity-Technologies/dp/0393239357" xr:uid="{00000000-0004-0000-0700-000004000000}"/>
    <hyperlink ref="B46" r:id="rId6" xr:uid="{00000000-0004-0000-0700-000005000000}"/>
    <hyperlink ref="B46:H46" r:id="rId7" display="http://www.cc.com/video-clips/e301vf/the-colbert-report-thomas-piketty" xr:uid="{00000000-0004-0000-0700-000006000000}"/>
    <hyperlink ref="J26:R26" r:id="rId8" display="https://www.amazon.com/Anti-Piketty-Capital-21st-Century-Emmanuel-Martin/dp/1944424253" xr:uid="{00000000-0004-0000-0700-000007000000}"/>
    <hyperlink ref="J26" r:id="rId9" xr:uid="{00000000-0004-0000-0700-000008000000}"/>
  </hyperlinks>
  <pageMargins left="0.7" right="0.7" top="0.75" bottom="0.75" header="0.3" footer="0.3"/>
  <pageSetup orientation="portrait" horizontalDpi="360" verticalDpi="360" r:id="rId10"/>
  <drawing r:id="rId1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13</vt:i4>
      </vt:variant>
    </vt:vector>
  </HeadingPairs>
  <TitlesOfParts>
    <vt:vector size="21" baseType="lpstr">
      <vt:lpstr>LKCES</vt:lpstr>
      <vt:lpstr>Intro</vt:lpstr>
      <vt:lpstr>Def</vt:lpstr>
      <vt:lpstr>Data</vt:lpstr>
      <vt:lpstr>Algebra</vt:lpstr>
      <vt:lpstr>Cycle</vt:lpstr>
      <vt:lpstr>Model</vt:lpstr>
      <vt:lpstr>Final</vt:lpstr>
      <vt:lpstr>LKCES!A</vt:lpstr>
      <vt:lpstr>alpha</vt:lpstr>
      <vt:lpstr>LKCES!alpha1</vt:lpstr>
      <vt:lpstr>LKCES!alpha2</vt:lpstr>
      <vt:lpstr>LKCES!dep</vt:lpstr>
      <vt:lpstr>dep</vt:lpstr>
      <vt:lpstr>Algebra!g</vt:lpstr>
      <vt:lpstr>LKCES!g</vt:lpstr>
      <vt:lpstr>g</vt:lpstr>
      <vt:lpstr>LKCES!n</vt:lpstr>
      <vt:lpstr>n</vt:lpstr>
      <vt:lpstr>LKCES!s</vt:lpstr>
      <vt:lpstr>s</vt:lpstr>
    </vt:vector>
  </TitlesOfParts>
  <Company>RUG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FEW</dc:creator>
  <cp:lastModifiedBy>Humberto Barreto</cp:lastModifiedBy>
  <cp:lastPrinted>2015-06-19T19:41:36Z</cp:lastPrinted>
  <dcterms:created xsi:type="dcterms:W3CDTF">2003-04-17T13:40:45Z</dcterms:created>
  <dcterms:modified xsi:type="dcterms:W3CDTF">2022-04-06T17:26:37Z</dcterms:modified>
</cp:coreProperties>
</file>