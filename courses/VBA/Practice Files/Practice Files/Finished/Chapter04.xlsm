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360" yWindow="15" windowWidth="7605" windowHeight="4605" firstSheet="6" activeTab="8"/>
  </bookViews>
  <sheets>
    <sheet name="Data" sheetId="12" r:id="rId1"/>
    <sheet name="Prices" sheetId="5" r:id="rId2"/>
    <sheet name="Revenue" sheetId="14" r:id="rId3"/>
    <sheet name="Revenue (2)" sheetId="21" r:id="rId4"/>
    <sheet name="Revenue (4)" sheetId="17" r:id="rId5"/>
    <sheet name="Revenue (3)" sheetId="24" r:id="rId6"/>
    <sheet name="RevenueFormulas" sheetId="6" r:id="rId7"/>
    <sheet name="RevenueFormulas (2)" sheetId="22" r:id="rId8"/>
    <sheet name="RevenueFormulas (4)" sheetId="20" r:id="rId9"/>
    <sheet name="Formulas" sheetId="13" r:id="rId10"/>
  </sheets>
  <definedNames>
    <definedName name="Discount" localSheetId="3">'Revenue (2)'!$G$3</definedName>
    <definedName name="Discount" localSheetId="5">'Revenue (3)'!$G$3</definedName>
    <definedName name="Discount" localSheetId="4">'Revenue (4)'!$B$3</definedName>
    <definedName name="Discount" localSheetId="7">'RevenueFormulas (2)'!$G$3</definedName>
    <definedName name="Discount" localSheetId="8">'RevenueFormulas (4)'!$G$3</definedName>
    <definedName name="Discount">RevenueFormulas!$G$3</definedName>
  </definedNames>
  <calcPr calcId="124519"/>
</workbook>
</file>

<file path=xl/calcChain.xml><?xml version="1.0" encoding="utf-8"?>
<calcChain xmlns="http://schemas.openxmlformats.org/spreadsheetml/2006/main">
  <c r="C24" i="24"/>
  <c r="D24"/>
  <c r="E24"/>
  <c r="F24"/>
  <c r="C25"/>
  <c r="D25"/>
  <c r="E25"/>
  <c r="F25"/>
  <c r="C26"/>
  <c r="D26"/>
  <c r="E26"/>
  <c r="F26"/>
  <c r="C27"/>
  <c r="D27"/>
  <c r="E27"/>
  <c r="F27"/>
  <c r="C28"/>
  <c r="D28"/>
  <c r="E28"/>
  <c r="F28"/>
  <c r="C29"/>
  <c r="D29"/>
  <c r="E29"/>
  <c r="F29"/>
  <c r="C30"/>
  <c r="D30"/>
  <c r="E30"/>
  <c r="F30"/>
  <c r="C31"/>
  <c r="D31"/>
  <c r="E31"/>
  <c r="F31"/>
  <c r="C32"/>
  <c r="D32"/>
  <c r="E32"/>
  <c r="F32"/>
  <c r="E7" i="17"/>
  <c r="F7"/>
  <c r="G7"/>
  <c r="H7"/>
  <c r="I7"/>
  <c r="E8"/>
  <c r="F8"/>
  <c r="G8"/>
  <c r="H8"/>
  <c r="I8"/>
  <c r="E9"/>
  <c r="F9"/>
  <c r="G9"/>
  <c r="H9"/>
  <c r="I9"/>
  <c r="E10"/>
  <c r="F10"/>
  <c r="G10"/>
  <c r="H10"/>
  <c r="I10"/>
  <c r="E11"/>
  <c r="F11"/>
  <c r="G11"/>
  <c r="H11"/>
  <c r="I11"/>
  <c r="E12"/>
  <c r="F12"/>
  <c r="G12"/>
  <c r="H12"/>
  <c r="I12"/>
  <c r="E13"/>
  <c r="F13"/>
  <c r="G13"/>
  <c r="H13"/>
  <c r="I13"/>
  <c r="E14"/>
  <c r="F14"/>
  <c r="G14"/>
  <c r="H14"/>
  <c r="I14"/>
  <c r="E15"/>
  <c r="F15"/>
  <c r="G15"/>
  <c r="H15"/>
  <c r="I15"/>
  <c r="E16"/>
  <c r="F16"/>
  <c r="G16"/>
  <c r="H16"/>
  <c r="I16"/>
  <c r="E8" i="22"/>
  <c r="D8"/>
  <c r="C8"/>
  <c r="E7"/>
  <c r="D7"/>
  <c r="C7"/>
  <c r="E6"/>
  <c r="D6"/>
  <c r="C6"/>
  <c r="E5"/>
  <c r="D5"/>
  <c r="C5"/>
  <c r="E4"/>
  <c r="D4"/>
  <c r="C4"/>
  <c r="E8" i="20"/>
  <c r="D8"/>
  <c r="C8"/>
  <c r="E7"/>
  <c r="D7"/>
  <c r="C7"/>
  <c r="E6"/>
  <c r="D6"/>
  <c r="C6"/>
  <c r="E5"/>
  <c r="D5"/>
  <c r="C5"/>
  <c r="E4"/>
  <c r="D4"/>
  <c r="C4"/>
  <c r="C4" i="6"/>
  <c r="D4"/>
  <c r="E4"/>
  <c r="C5"/>
  <c r="D5"/>
  <c r="E5"/>
  <c r="C6"/>
  <c r="D6"/>
  <c r="E6"/>
  <c r="C7"/>
  <c r="D7"/>
  <c r="E7"/>
  <c r="C8"/>
  <c r="D8"/>
  <c r="E8"/>
  <c r="B2" i="13"/>
  <c r="B3"/>
  <c r="B4"/>
  <c r="B5"/>
  <c r="B6"/>
  <c r="D3" i="5"/>
  <c r="D4"/>
  <c r="D2"/>
</calcChain>
</file>

<file path=xl/sharedStrings.xml><?xml version="1.0" encoding="utf-8"?>
<sst xmlns="http://schemas.openxmlformats.org/spreadsheetml/2006/main" count="82" uniqueCount="22">
  <si>
    <t>Retail</t>
  </si>
  <si>
    <t>Wholesale</t>
  </si>
  <si>
    <t>High</t>
  </si>
  <si>
    <t>Mid</t>
  </si>
  <si>
    <t>Low</t>
  </si>
  <si>
    <t>Price</t>
  </si>
  <si>
    <t>Discount</t>
  </si>
  <si>
    <t>Quantity</t>
  </si>
  <si>
    <t>Margin</t>
  </si>
  <si>
    <t>DATE</t>
  </si>
  <si>
    <t>STATE</t>
  </si>
  <si>
    <t>CHANNEL</t>
  </si>
  <si>
    <t>PRICE</t>
  </si>
  <si>
    <t>CATEGORY</t>
  </si>
  <si>
    <t>UNITS</t>
  </si>
  <si>
    <t>NET</t>
  </si>
  <si>
    <t>Books</t>
  </si>
  <si>
    <t>Herbs</t>
  </si>
  <si>
    <t>Fruits</t>
  </si>
  <si>
    <t>Tools</t>
  </si>
  <si>
    <t>Flowers</t>
  </si>
  <si>
    <t>Utah</t>
  </si>
</sst>
</file>

<file path=xl/styles.xml><?xml version="1.0" encoding="utf-8"?>
<styleSheet xmlns="http://schemas.openxmlformats.org/spreadsheetml/2006/main">
  <numFmts count="2">
    <numFmt numFmtId="6" formatCode="&quot;$&quot;#,##0_);[Red]\(&quot;$&quot;#,##0\)"/>
    <numFmt numFmtId="164" formatCode="[$-409]mmm\-yy;@"/>
  </numFmts>
  <fonts count="16"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rgb="FF3F3F76"/>
      <name val="Arial"/>
      <family val="2"/>
    </font>
    <font>
      <b/>
      <sz val="10"/>
      <color rgb="FFFFFFFF"/>
      <name val="Arial"/>
      <family val="2"/>
    </font>
    <font>
      <b/>
      <sz val="11"/>
      <color theme="3"/>
      <name val="Arial"/>
      <family val="2"/>
    </font>
    <font>
      <b/>
      <sz val="10"/>
      <color rgb="FF3F3F76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FA7D00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4106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C71585" tint="-0.19998779259620961"/>
        <bgColor indexed="64"/>
      </patternFill>
    </fill>
    <fill>
      <patternFill patternType="solid">
        <fgColor rgb="FFC71585" tint="0.29999694814905242"/>
        <bgColor indexed="64"/>
      </patternFill>
    </fill>
    <fill>
      <patternFill patternType="solid">
        <fgColor rgb="FFA5A5A5"/>
      </patternFill>
    </fill>
    <fill>
      <patternFill patternType="solid">
        <fgColor rgb="FFC71585" tint="0.499984740745262"/>
        <bgColor indexed="65"/>
      </patternFill>
    </fill>
  </fills>
  <borders count="1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0" fontId="7" fillId="18" borderId="1" applyNumberFormat="0" applyAlignment="0" applyProtection="0"/>
    <xf numFmtId="0" fontId="10" fillId="0" borderId="0" applyNumberFormat="0" applyFill="0" applyBorder="0" applyAlignment="0" applyProtection="0"/>
    <xf numFmtId="0" fontId="8" fillId="19" borderId="2" applyNumberFormat="0" applyAlignment="0" applyProtection="0"/>
    <xf numFmtId="0" fontId="14" fillId="3" borderId="2" applyNumberFormat="0" applyAlignment="0" applyProtection="0"/>
    <xf numFmtId="0" fontId="9" fillId="2" borderId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</cellStyleXfs>
  <cellXfs count="39">
    <xf numFmtId="0" fontId="0" fillId="0" borderId="0" xfId="0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9" fontId="0" fillId="0" borderId="0" xfId="0" applyNumberFormat="1"/>
    <xf numFmtId="0" fontId="1" fillId="0" borderId="0" xfId="0" applyFont="1" applyFill="1" applyBorder="1"/>
    <xf numFmtId="0" fontId="4" fillId="0" borderId="0" xfId="0" applyFont="1" applyFill="1" applyBorder="1"/>
    <xf numFmtId="0" fontId="5" fillId="0" borderId="0" xfId="0" applyFont="1"/>
    <xf numFmtId="0" fontId="5" fillId="0" borderId="0" xfId="0" applyFont="1" applyAlignment="1">
      <alignment horizontal="right"/>
    </xf>
    <xf numFmtId="0" fontId="3" fillId="0" borderId="0" xfId="0" applyFont="1" applyFill="1" applyBorder="1" applyAlignment="1">
      <alignment horizontal="right"/>
    </xf>
    <xf numFmtId="6" fontId="5" fillId="0" borderId="0" xfId="0" applyNumberFormat="1" applyFont="1"/>
    <xf numFmtId="0" fontId="6" fillId="0" borderId="0" xfId="0" applyFont="1" applyFill="1"/>
    <xf numFmtId="164" fontId="0" fillId="0" borderId="0" xfId="0" applyNumberFormat="1"/>
    <xf numFmtId="0" fontId="1" fillId="0" borderId="0" xfId="0" applyFont="1"/>
    <xf numFmtId="0" fontId="0" fillId="0" borderId="0" xfId="0"/>
    <xf numFmtId="9" fontId="8" fillId="19" borderId="2" xfId="3" applyNumberFormat="1"/>
    <xf numFmtId="6" fontId="11" fillId="19" borderId="2" xfId="3" applyNumberFormat="1" applyFont="1"/>
    <xf numFmtId="0" fontId="11" fillId="19" borderId="2" xfId="3" applyFont="1"/>
    <xf numFmtId="0" fontId="12" fillId="0" borderId="0" xfId="0" applyFont="1" applyFill="1" applyBorder="1"/>
    <xf numFmtId="9" fontId="12" fillId="0" borderId="0" xfId="3" applyNumberFormat="1" applyFont="1" applyFill="1" applyBorder="1"/>
    <xf numFmtId="0" fontId="13" fillId="0" borderId="0" xfId="0" applyFont="1" applyFill="1" applyBorder="1"/>
    <xf numFmtId="0" fontId="13" fillId="0" borderId="0" xfId="3" applyFont="1" applyFill="1" applyBorder="1"/>
    <xf numFmtId="6" fontId="13" fillId="0" borderId="0" xfId="3" applyNumberFormat="1" applyFont="1" applyFill="1" applyBorder="1"/>
    <xf numFmtId="0" fontId="13" fillId="0" borderId="0" xfId="5" applyFont="1" applyFill="1" applyBorder="1"/>
    <xf numFmtId="0" fontId="13" fillId="0" borderId="3" xfId="0" applyFont="1" applyFill="1" applyBorder="1"/>
    <xf numFmtId="0" fontId="13" fillId="0" borderId="4" xfId="0" applyFont="1" applyFill="1" applyBorder="1"/>
    <xf numFmtId="0" fontId="12" fillId="0" borderId="5" xfId="0" applyFont="1" applyFill="1" applyBorder="1"/>
    <xf numFmtId="0" fontId="12" fillId="0" borderId="6" xfId="0" applyFont="1" applyFill="1" applyBorder="1"/>
    <xf numFmtId="0" fontId="12" fillId="0" borderId="7" xfId="0" applyFont="1" applyFill="1" applyBorder="1"/>
    <xf numFmtId="0" fontId="12" fillId="0" borderId="8" xfId="0" applyFont="1" applyFill="1" applyBorder="1"/>
    <xf numFmtId="0" fontId="13" fillId="0" borderId="9" xfId="3" applyFont="1" applyFill="1" applyBorder="1"/>
    <xf numFmtId="0" fontId="13" fillId="0" borderId="10" xfId="3" applyFont="1" applyFill="1" applyBorder="1"/>
    <xf numFmtId="0" fontId="12" fillId="16" borderId="0" xfId="0" applyFont="1" applyFill="1" applyBorder="1"/>
    <xf numFmtId="0" fontId="12" fillId="17" borderId="0" xfId="0" applyFont="1" applyFill="1" applyBorder="1"/>
    <xf numFmtId="0" fontId="13" fillId="16" borderId="0" xfId="0" applyFont="1" applyFill="1" applyBorder="1"/>
    <xf numFmtId="0" fontId="9" fillId="16" borderId="0" xfId="0" applyFont="1" applyFill="1" applyBorder="1"/>
    <xf numFmtId="0" fontId="13" fillId="0" borderId="11" xfId="0" applyFont="1" applyFill="1" applyBorder="1"/>
    <xf numFmtId="6" fontId="13" fillId="0" borderId="12" xfId="3" applyNumberFormat="1" applyFont="1" applyFill="1" applyBorder="1"/>
    <xf numFmtId="6" fontId="13" fillId="0" borderId="13" xfId="3" applyNumberFormat="1" applyFont="1" applyFill="1" applyBorder="1"/>
  </cellXfs>
  <cellStyles count="18">
    <cellStyle name="20% - Accent1" xfId="6" builtinId="30" customBuiltin="1"/>
    <cellStyle name="20% - Accent2" xfId="8" builtinId="34" customBuiltin="1"/>
    <cellStyle name="20% - Accent3" xfId="10" builtinId="38" customBuiltin="1"/>
    <cellStyle name="20% - Accent4" xfId="12" builtinId="42" customBuiltin="1"/>
    <cellStyle name="20% - Accent5" xfId="14" builtinId="46" customBuiltin="1"/>
    <cellStyle name="20% - Accent6" xfId="16" builtinId="50" customBuiltin="1"/>
    <cellStyle name="40% - Accent1" xfId="7" builtinId="31" customBuiltin="1"/>
    <cellStyle name="40% - Accent2" xfId="9" builtinId="35" customBuiltin="1"/>
    <cellStyle name="40% - Accent3" xfId="11" builtinId="39" customBuiltin="1"/>
    <cellStyle name="40% - Accent4" xfId="13" builtinId="43" customBuiltin="1"/>
    <cellStyle name="40% - Accent5" xfId="15" builtinId="47" customBuiltin="1"/>
    <cellStyle name="40% - Accent6" xfId="17" builtinId="51" customBuiltin="1"/>
    <cellStyle name="Calculation" xfId="4" builtinId="22" customBuiltin="1"/>
    <cellStyle name="Captions2" xfId="5"/>
    <cellStyle name="Check Cell" xfId="1" builtinId="23" customBuiltin="1"/>
    <cellStyle name="Heading 4" xfId="2" builtinId="19" customBuiltin="1"/>
    <cellStyle name="Input" xfId="3" builtinId="20" customBuiltin="1"/>
    <cellStyle name="Normal" xfId="0" builtinId="0" customBuiltin="1"/>
  </cellStyles>
  <dxfs count="0"/>
  <tableStyles count="0" defaultTableStyle="TableStyleMedium9" defaultPivotStyle="PivotStyleLight16"/>
  <colors>
    <mruColors>
      <color rgb="FF941062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Verve">
  <a:themeElements>
    <a:clrScheme name="Civic">
      <a:dk1>
        <a:sysClr val="windowText" lastClr="000000"/>
      </a:dk1>
      <a:lt1>
        <a:sysClr val="window" lastClr="FFFFFF"/>
      </a:lt1>
      <a:dk2>
        <a:srgbClr val="646B86"/>
      </a:dk2>
      <a:lt2>
        <a:srgbClr val="C5D1D7"/>
      </a:lt2>
      <a:accent1>
        <a:srgbClr val="D16349"/>
      </a:accent1>
      <a:accent2>
        <a:srgbClr val="CCB400"/>
      </a:accent2>
      <a:accent3>
        <a:srgbClr val="8CADAE"/>
      </a:accent3>
      <a:accent4>
        <a:srgbClr val="8C7B70"/>
      </a:accent4>
      <a:accent5>
        <a:srgbClr val="8FB08C"/>
      </a:accent5>
      <a:accent6>
        <a:srgbClr val="D19049"/>
      </a:accent6>
      <a:hlink>
        <a:srgbClr val="00A3D6"/>
      </a:hlink>
      <a:folHlink>
        <a:srgbClr val="694F07"/>
      </a:folHlink>
    </a:clrScheme>
    <a:fontScheme name="Verve">
      <a:majorFont>
        <a:latin typeface="Century Gothic"/>
        <a:ea typeface=""/>
        <a:cs typeface=""/>
        <a:font script="Jpan" typeface="HGｺﾞｼｯｸM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Verve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8000"/>
                <a:satMod val="230000"/>
              </a:schemeClr>
            </a:gs>
            <a:gs pos="60000">
              <a:schemeClr val="phClr">
                <a:shade val="92000"/>
                <a:satMod val="230000"/>
              </a:schemeClr>
            </a:gs>
            <a:gs pos="100000">
              <a:schemeClr val="phClr">
                <a:tint val="85000"/>
                <a:satMod val="400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1200"/>
                <a:satMod val="150000"/>
              </a:schemeClr>
              <a:schemeClr val="phClr">
                <a:tint val="90000"/>
                <a:satMod val="150000"/>
              </a:schemeClr>
            </a:duotone>
          </a:blip>
          <a:tile tx="0" ty="0" sx="70000" sy="7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J15"/>
  <sheetViews>
    <sheetView workbookViewId="0"/>
  </sheetViews>
  <sheetFormatPr defaultColWidth="11.85546875" defaultRowHeight="12.75"/>
  <cols>
    <col min="1" max="1" width="11.85546875" style="6"/>
    <col min="2" max="2" width="10.5703125" style="6" customWidth="1"/>
    <col min="3" max="3" width="9" style="6" customWidth="1"/>
    <col min="4" max="4" width="12.42578125" style="6" customWidth="1"/>
    <col min="5" max="5" width="8.5703125" style="6" customWidth="1"/>
    <col min="6" max="6" width="13.28515625" style="6" customWidth="1"/>
    <col min="7" max="7" width="8.7109375" style="6" customWidth="1"/>
    <col min="8" max="8" width="9.140625" style="6" customWidth="1"/>
    <col min="9" max="9" width="11.85546875" style="6"/>
    <col min="10" max="10" width="12.28515625" style="6" customWidth="1"/>
    <col min="11" max="16384" width="11.85546875" style="6"/>
  </cols>
  <sheetData>
    <row r="1" spans="1:10" s="5" customFormat="1">
      <c r="A1" s="11"/>
    </row>
    <row r="2" spans="1:10" s="9" customFormat="1"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/>
      <c r="J2"/>
    </row>
    <row r="3" spans="1:10">
      <c r="B3" s="12">
        <v>39356</v>
      </c>
      <c r="C3" s="13" t="s">
        <v>21</v>
      </c>
      <c r="D3" t="s">
        <v>1</v>
      </c>
      <c r="E3" t="s">
        <v>3</v>
      </c>
      <c r="F3" t="s">
        <v>18</v>
      </c>
      <c r="G3">
        <v>570</v>
      </c>
      <c r="H3">
        <v>1206.9100000000001</v>
      </c>
      <c r="I3"/>
      <c r="J3"/>
    </row>
    <row r="4" spans="1:10">
      <c r="B4" s="12">
        <v>39356</v>
      </c>
      <c r="C4" s="13" t="s">
        <v>21</v>
      </c>
      <c r="D4" t="s">
        <v>1</v>
      </c>
      <c r="E4" t="s">
        <v>3</v>
      </c>
      <c r="F4" t="s">
        <v>16</v>
      </c>
      <c r="G4">
        <v>555</v>
      </c>
      <c r="H4">
        <v>1176.79</v>
      </c>
      <c r="I4"/>
      <c r="J4"/>
    </row>
    <row r="5" spans="1:10">
      <c r="B5" s="12">
        <v>39356</v>
      </c>
      <c r="C5" s="13" t="s">
        <v>21</v>
      </c>
      <c r="D5" t="s">
        <v>1</v>
      </c>
      <c r="E5" t="s">
        <v>3</v>
      </c>
      <c r="F5" t="s">
        <v>20</v>
      </c>
      <c r="G5">
        <v>285</v>
      </c>
      <c r="H5">
        <v>623.23</v>
      </c>
      <c r="I5"/>
      <c r="J5"/>
    </row>
    <row r="6" spans="1:10">
      <c r="B6" s="12">
        <v>39356</v>
      </c>
      <c r="C6" s="13" t="s">
        <v>21</v>
      </c>
      <c r="D6" t="s">
        <v>1</v>
      </c>
      <c r="E6" t="s">
        <v>3</v>
      </c>
      <c r="F6" t="s">
        <v>17</v>
      </c>
      <c r="G6">
        <v>285</v>
      </c>
      <c r="H6">
        <v>622.29999999999995</v>
      </c>
      <c r="I6"/>
      <c r="J6"/>
    </row>
    <row r="7" spans="1:10">
      <c r="B7" s="12">
        <v>39356</v>
      </c>
      <c r="C7" s="13" t="s">
        <v>21</v>
      </c>
      <c r="D7" t="s">
        <v>0</v>
      </c>
      <c r="E7" t="s">
        <v>3</v>
      </c>
      <c r="F7" t="s">
        <v>18</v>
      </c>
      <c r="G7">
        <v>245</v>
      </c>
      <c r="H7">
        <v>856.83</v>
      </c>
      <c r="I7"/>
      <c r="J7"/>
    </row>
    <row r="8" spans="1:10">
      <c r="B8" s="12">
        <v>39356</v>
      </c>
      <c r="C8" s="13" t="s">
        <v>21</v>
      </c>
      <c r="D8" t="s">
        <v>1</v>
      </c>
      <c r="E8" t="s">
        <v>3</v>
      </c>
      <c r="F8" t="s">
        <v>19</v>
      </c>
      <c r="G8">
        <v>135</v>
      </c>
      <c r="H8">
        <v>303.75</v>
      </c>
      <c r="I8"/>
      <c r="J8"/>
    </row>
    <row r="9" spans="1:10">
      <c r="B9" s="12">
        <v>39356</v>
      </c>
      <c r="C9" s="13" t="s">
        <v>21</v>
      </c>
      <c r="D9" t="s">
        <v>0</v>
      </c>
      <c r="E9" t="s">
        <v>3</v>
      </c>
      <c r="F9" t="s">
        <v>17</v>
      </c>
      <c r="G9">
        <v>65</v>
      </c>
      <c r="H9">
        <v>292.5</v>
      </c>
      <c r="I9"/>
      <c r="J9"/>
    </row>
    <row r="10" spans="1:10">
      <c r="B10" s="12">
        <v>39356</v>
      </c>
      <c r="C10" s="13" t="s">
        <v>21</v>
      </c>
      <c r="D10" t="s">
        <v>0</v>
      </c>
      <c r="E10" t="s">
        <v>3</v>
      </c>
      <c r="F10" t="s">
        <v>19</v>
      </c>
      <c r="G10">
        <v>56</v>
      </c>
      <c r="H10">
        <v>252</v>
      </c>
      <c r="I10"/>
      <c r="J10"/>
    </row>
    <row r="11" spans="1:10">
      <c r="B11" s="12">
        <v>39356</v>
      </c>
      <c r="C11" s="13" t="s">
        <v>21</v>
      </c>
      <c r="D11" t="s">
        <v>0</v>
      </c>
      <c r="E11" t="s">
        <v>3</v>
      </c>
      <c r="F11" t="s">
        <v>16</v>
      </c>
      <c r="G11">
        <v>40</v>
      </c>
      <c r="H11">
        <v>180</v>
      </c>
      <c r="I11"/>
      <c r="J11"/>
    </row>
    <row r="12" spans="1:10">
      <c r="B12" s="12">
        <v>39356</v>
      </c>
      <c r="C12" s="13" t="s">
        <v>21</v>
      </c>
      <c r="D12" t="s">
        <v>0</v>
      </c>
      <c r="E12" t="s">
        <v>3</v>
      </c>
      <c r="F12" t="s">
        <v>20</v>
      </c>
      <c r="G12">
        <v>35</v>
      </c>
      <c r="H12">
        <v>157.5</v>
      </c>
      <c r="I12"/>
      <c r="J12"/>
    </row>
    <row r="13" spans="1:10">
      <c r="B13" s="12">
        <v>39356</v>
      </c>
      <c r="C13" s="13" t="s">
        <v>21</v>
      </c>
      <c r="D13" t="s">
        <v>1</v>
      </c>
      <c r="E13" t="s">
        <v>3</v>
      </c>
      <c r="F13" t="s">
        <v>16</v>
      </c>
      <c r="G13">
        <v>30</v>
      </c>
      <c r="H13">
        <v>67.5</v>
      </c>
      <c r="I13"/>
      <c r="J13"/>
    </row>
    <row r="14" spans="1:10">
      <c r="B14" s="12">
        <v>39356</v>
      </c>
      <c r="C14" s="13" t="s">
        <v>21</v>
      </c>
      <c r="D14" t="s">
        <v>0</v>
      </c>
      <c r="E14" t="s">
        <v>3</v>
      </c>
      <c r="F14" t="s">
        <v>16</v>
      </c>
      <c r="G14">
        <v>28</v>
      </c>
      <c r="H14">
        <v>126</v>
      </c>
      <c r="I14"/>
      <c r="J14"/>
    </row>
    <row r="15" spans="1:10">
      <c r="B15"/>
      <c r="C15"/>
      <c r="D15"/>
      <c r="E15"/>
      <c r="F15"/>
      <c r="G15"/>
      <c r="H15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E5"/>
  <sheetViews>
    <sheetView workbookViewId="0">
      <selection activeCell="D3" sqref="D3"/>
    </sheetView>
  </sheetViews>
  <sheetFormatPr defaultColWidth="10.85546875" defaultRowHeight="12.75"/>
  <sheetData>
    <row r="1" spans="1:5">
      <c r="A1" s="7"/>
      <c r="B1" s="8" t="s">
        <v>0</v>
      </c>
      <c r="C1" s="8" t="s">
        <v>1</v>
      </c>
      <c r="D1" s="8" t="s">
        <v>8</v>
      </c>
    </row>
    <row r="2" spans="1:5">
      <c r="A2" t="s">
        <v>2</v>
      </c>
      <c r="B2" s="1">
        <v>5.5</v>
      </c>
      <c r="C2" s="1">
        <v>2.75</v>
      </c>
      <c r="D2" s="1">
        <f>B2-C2</f>
        <v>2.75</v>
      </c>
    </row>
    <row r="3" spans="1:5">
      <c r="A3" t="s">
        <v>3</v>
      </c>
      <c r="B3" s="1">
        <v>4.5</v>
      </c>
      <c r="C3" s="1">
        <v>2.25</v>
      </c>
      <c r="D3" s="1">
        <f t="shared" ref="D3:D4" si="0">B3-C3</f>
        <v>2.25</v>
      </c>
    </row>
    <row r="4" spans="1:5">
      <c r="A4" t="s">
        <v>4</v>
      </c>
      <c r="B4" s="1">
        <v>3.5</v>
      </c>
      <c r="C4" s="2">
        <v>1.75</v>
      </c>
      <c r="D4" s="1">
        <f t="shared" si="0"/>
        <v>1.75</v>
      </c>
      <c r="E4" s="3"/>
    </row>
    <row r="5" spans="1:5">
      <c r="C5" s="3"/>
      <c r="D5" s="3"/>
      <c r="E5" s="3"/>
    </row>
  </sheetData>
  <phoneticPr fontId="0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2"/>
  <dimension ref="B2:G8"/>
  <sheetViews>
    <sheetView workbookViewId="0">
      <selection activeCell="G3" sqref="G3"/>
    </sheetView>
  </sheetViews>
  <sheetFormatPr defaultRowHeight="12.75"/>
  <sheetData>
    <row r="2" spans="2:7">
      <c r="B2" s="7"/>
      <c r="C2" s="7" t="s">
        <v>5</v>
      </c>
      <c r="D2" s="7"/>
      <c r="E2" s="7"/>
      <c r="G2" s="7" t="s">
        <v>6</v>
      </c>
    </row>
    <row r="3" spans="2:7">
      <c r="B3" s="7" t="s">
        <v>7</v>
      </c>
      <c r="C3" s="10">
        <v>5</v>
      </c>
      <c r="D3" s="10">
        <v>10</v>
      </c>
      <c r="E3" s="10">
        <v>15</v>
      </c>
      <c r="G3" s="4">
        <v>0.1</v>
      </c>
    </row>
    <row r="4" spans="2:7">
      <c r="B4" s="7">
        <v>10</v>
      </c>
    </row>
    <row r="5" spans="2:7">
      <c r="B5" s="7">
        <v>20</v>
      </c>
    </row>
    <row r="6" spans="2:7">
      <c r="B6" s="7">
        <v>30</v>
      </c>
    </row>
    <row r="7" spans="2:7">
      <c r="B7" s="7">
        <v>40</v>
      </c>
    </row>
    <row r="8" spans="2:7">
      <c r="B8" s="7">
        <v>50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3"/>
  <dimension ref="B2:G8"/>
  <sheetViews>
    <sheetView workbookViewId="0">
      <selection activeCell="G3" sqref="G3"/>
    </sheetView>
  </sheetViews>
  <sheetFormatPr defaultRowHeight="12.75"/>
  <cols>
    <col min="1" max="16384" width="9.140625" style="14"/>
  </cols>
  <sheetData>
    <row r="2" spans="2:7">
      <c r="B2" s="7"/>
      <c r="C2" s="7" t="s">
        <v>5</v>
      </c>
      <c r="D2" s="7"/>
      <c r="E2" s="7"/>
      <c r="G2" s="7" t="s">
        <v>6</v>
      </c>
    </row>
    <row r="3" spans="2:7">
      <c r="B3" s="7" t="s">
        <v>7</v>
      </c>
      <c r="C3" s="10">
        <v>5</v>
      </c>
      <c r="D3" s="10">
        <v>10</v>
      </c>
      <c r="E3" s="10">
        <v>15</v>
      </c>
      <c r="G3" s="4">
        <v>0.1</v>
      </c>
    </row>
    <row r="4" spans="2:7">
      <c r="B4" s="7">
        <v>10</v>
      </c>
    </row>
    <row r="5" spans="2:7">
      <c r="B5" s="7">
        <v>20</v>
      </c>
    </row>
    <row r="6" spans="2:7">
      <c r="B6" s="7">
        <v>30</v>
      </c>
    </row>
    <row r="7" spans="2:7">
      <c r="B7" s="7">
        <v>40</v>
      </c>
    </row>
    <row r="8" spans="2:7">
      <c r="B8" s="7">
        <v>50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5"/>
  <dimension ref="B2:I16"/>
  <sheetViews>
    <sheetView workbookViewId="0">
      <selection activeCell="B3" sqref="B3"/>
    </sheetView>
  </sheetViews>
  <sheetFormatPr defaultRowHeight="12.75"/>
  <cols>
    <col min="1" max="16384" width="9.140625" style="14"/>
  </cols>
  <sheetData>
    <row r="2" spans="2:9">
      <c r="B2" s="7" t="s">
        <v>6</v>
      </c>
    </row>
    <row r="3" spans="2:9">
      <c r="B3" s="4">
        <v>0.1</v>
      </c>
    </row>
    <row r="5" spans="2:9">
      <c r="D5" s="7"/>
      <c r="E5" s="7" t="s">
        <v>5</v>
      </c>
      <c r="F5" s="7"/>
      <c r="G5" s="7"/>
    </row>
    <row r="6" spans="2:9">
      <c r="D6" s="7" t="s">
        <v>7</v>
      </c>
      <c r="E6" s="10">
        <v>5</v>
      </c>
      <c r="F6" s="10">
        <v>10</v>
      </c>
      <c r="G6" s="10">
        <v>15</v>
      </c>
      <c r="H6" s="10">
        <v>20</v>
      </c>
      <c r="I6" s="10">
        <v>25</v>
      </c>
    </row>
    <row r="7" spans="2:9">
      <c r="D7" s="7">
        <v>10</v>
      </c>
      <c r="E7" s="14">
        <f>E$6*$D7 * ( 1 - Discount )</f>
        <v>45</v>
      </c>
      <c r="F7" s="14">
        <f>F$6*$D7 * ( 1 - Discount )</f>
        <v>90</v>
      </c>
      <c r="G7" s="14">
        <f>G$6*$D7 * ( 1 - Discount )</f>
        <v>135</v>
      </c>
      <c r="H7" s="14">
        <f>H$6*$D7 * ( 1 - Discount )</f>
        <v>180</v>
      </c>
      <c r="I7" s="14">
        <f>I$6*$D7 * ( 1 - Discount )</f>
        <v>225</v>
      </c>
    </row>
    <row r="8" spans="2:9">
      <c r="D8" s="7">
        <v>20</v>
      </c>
      <c r="E8" s="14">
        <f>E$6*$D8 * ( 1 - Discount )</f>
        <v>90</v>
      </c>
      <c r="F8" s="14">
        <f>F$6*$D8 * ( 1 - Discount )</f>
        <v>180</v>
      </c>
      <c r="G8" s="14">
        <f>G$6*$D8 * ( 1 - Discount )</f>
        <v>270</v>
      </c>
      <c r="H8" s="14">
        <f>H$6*$D8 * ( 1 - Discount )</f>
        <v>360</v>
      </c>
      <c r="I8" s="14">
        <f>I$6*$D8 * ( 1 - Discount )</f>
        <v>450</v>
      </c>
    </row>
    <row r="9" spans="2:9">
      <c r="D9" s="7">
        <v>30</v>
      </c>
      <c r="E9" s="14">
        <f>E$6*$D9 * ( 1 - Discount )</f>
        <v>135</v>
      </c>
      <c r="F9" s="14">
        <f>F$6*$D9 * ( 1 - Discount )</f>
        <v>270</v>
      </c>
      <c r="G9" s="14">
        <f>G$6*$D9 * ( 1 - Discount )</f>
        <v>405</v>
      </c>
      <c r="H9" s="14">
        <f>H$6*$D9 * ( 1 - Discount )</f>
        <v>540</v>
      </c>
      <c r="I9" s="14">
        <f>I$6*$D9 * ( 1 - Discount )</f>
        <v>675</v>
      </c>
    </row>
    <row r="10" spans="2:9">
      <c r="D10" s="7">
        <v>40</v>
      </c>
      <c r="E10" s="14">
        <f>E$6*$D10 * ( 1 - Discount )</f>
        <v>180</v>
      </c>
      <c r="F10" s="14">
        <f>F$6*$D10 * ( 1 - Discount )</f>
        <v>360</v>
      </c>
      <c r="G10" s="14">
        <f>G$6*$D10 * ( 1 - Discount )</f>
        <v>540</v>
      </c>
      <c r="H10" s="14">
        <f>H$6*$D10 * ( 1 - Discount )</f>
        <v>720</v>
      </c>
      <c r="I10" s="14">
        <f>I$6*$D10 * ( 1 - Discount )</f>
        <v>900</v>
      </c>
    </row>
    <row r="11" spans="2:9">
      <c r="D11" s="7">
        <v>50</v>
      </c>
      <c r="E11" s="14">
        <f>E$6*$D11 * ( 1 - Discount )</f>
        <v>225</v>
      </c>
      <c r="F11" s="14">
        <f>F$6*$D11 * ( 1 - Discount )</f>
        <v>450</v>
      </c>
      <c r="G11" s="14">
        <f>G$6*$D11 * ( 1 - Discount )</f>
        <v>675</v>
      </c>
      <c r="H11" s="14">
        <f>H$6*$D11 * ( 1 - Discount )</f>
        <v>900</v>
      </c>
      <c r="I11" s="14">
        <f>I$6*$D11 * ( 1 - Discount )</f>
        <v>1125</v>
      </c>
    </row>
    <row r="12" spans="2:9">
      <c r="D12" s="7">
        <v>60</v>
      </c>
      <c r="E12" s="14">
        <f>E$6*$D12 * ( 1 - Discount )</f>
        <v>270</v>
      </c>
      <c r="F12" s="14">
        <f>F$6*$D12 * ( 1 - Discount )</f>
        <v>540</v>
      </c>
      <c r="G12" s="14">
        <f>G$6*$D12 * ( 1 - Discount )</f>
        <v>810</v>
      </c>
      <c r="H12" s="14">
        <f>H$6*$D12 * ( 1 - Discount )</f>
        <v>1080</v>
      </c>
      <c r="I12" s="14">
        <f>I$6*$D12 * ( 1 - Discount )</f>
        <v>1350</v>
      </c>
    </row>
    <row r="13" spans="2:9">
      <c r="D13" s="7">
        <v>70</v>
      </c>
      <c r="E13" s="14">
        <f>E$6*$D13 * ( 1 - Discount )</f>
        <v>315</v>
      </c>
      <c r="F13" s="14">
        <f>F$6*$D13 * ( 1 - Discount )</f>
        <v>630</v>
      </c>
      <c r="G13" s="14">
        <f>G$6*$D13 * ( 1 - Discount )</f>
        <v>945</v>
      </c>
      <c r="H13" s="14">
        <f>H$6*$D13 * ( 1 - Discount )</f>
        <v>1260</v>
      </c>
      <c r="I13" s="14">
        <f>I$6*$D13 * ( 1 - Discount )</f>
        <v>1575</v>
      </c>
    </row>
    <row r="14" spans="2:9">
      <c r="D14" s="7">
        <v>80</v>
      </c>
      <c r="E14" s="14">
        <f>E$6*$D14 * ( 1 - Discount )</f>
        <v>360</v>
      </c>
      <c r="F14" s="14">
        <f>F$6*$D14 * ( 1 - Discount )</f>
        <v>720</v>
      </c>
      <c r="G14" s="14">
        <f>G$6*$D14 * ( 1 - Discount )</f>
        <v>1080</v>
      </c>
      <c r="H14" s="14">
        <f>H$6*$D14 * ( 1 - Discount )</f>
        <v>1440</v>
      </c>
      <c r="I14" s="14">
        <f>I$6*$D14 * ( 1 - Discount )</f>
        <v>1800</v>
      </c>
    </row>
    <row r="15" spans="2:9">
      <c r="D15" s="7">
        <v>90</v>
      </c>
      <c r="E15" s="14">
        <f>E$6*$D15 * ( 1 - Discount )</f>
        <v>405</v>
      </c>
      <c r="F15" s="14">
        <f>F$6*$D15 * ( 1 - Discount )</f>
        <v>810</v>
      </c>
      <c r="G15" s="14">
        <f>G$6*$D15 * ( 1 - Discount )</f>
        <v>1215</v>
      </c>
      <c r="H15" s="14">
        <f>H$6*$D15 * ( 1 - Discount )</f>
        <v>1620</v>
      </c>
      <c r="I15" s="14">
        <f>I$6*$D15 * ( 1 - Discount )</f>
        <v>2025</v>
      </c>
    </row>
    <row r="16" spans="2:9">
      <c r="D16" s="7">
        <v>100</v>
      </c>
      <c r="E16" s="14">
        <f>E$6*$D16 * ( 1 - Discount )</f>
        <v>450</v>
      </c>
      <c r="F16" s="14">
        <f>F$6*$D16 * ( 1 - Discount )</f>
        <v>900</v>
      </c>
      <c r="G16" s="14">
        <f>G$6*$D16 * ( 1 - Discount )</f>
        <v>1350</v>
      </c>
      <c r="H16" s="14">
        <f>H$6*$D16 * ( 1 - Discount )</f>
        <v>1800</v>
      </c>
      <c r="I16" s="14">
        <f>I$6*$D16 * ( 1 - Discount )</f>
        <v>2250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4"/>
  <dimension ref="B2:G32"/>
  <sheetViews>
    <sheetView workbookViewId="0">
      <selection activeCell="G3" sqref="G3"/>
    </sheetView>
  </sheetViews>
  <sheetFormatPr defaultRowHeight="12.75"/>
  <cols>
    <col min="1" max="16384" width="9.140625" style="14"/>
  </cols>
  <sheetData>
    <row r="2" spans="7:7">
      <c r="G2" s="7" t="s">
        <v>6</v>
      </c>
    </row>
    <row r="3" spans="7:7">
      <c r="G3" s="4">
        <v>0.1</v>
      </c>
    </row>
    <row r="22" spans="2:6">
      <c r="B22" s="7"/>
      <c r="C22" s="7" t="s">
        <v>5</v>
      </c>
      <c r="D22" s="7"/>
      <c r="E22" s="7"/>
    </row>
    <row r="23" spans="2:6">
      <c r="B23" s="7" t="s">
        <v>7</v>
      </c>
      <c r="C23" s="10">
        <v>5</v>
      </c>
      <c r="D23" s="10">
        <v>10</v>
      </c>
      <c r="E23" s="10">
        <v>15</v>
      </c>
      <c r="F23" s="10">
        <v>20</v>
      </c>
    </row>
    <row r="24" spans="2:6">
      <c r="B24" s="7">
        <v>10</v>
      </c>
      <c r="C24" s="14">
        <f>C$23*$B24 * ( 1 - Discount )</f>
        <v>45</v>
      </c>
      <c r="D24" s="14">
        <f>D$23*$B24 * ( 1 - Discount )</f>
        <v>90</v>
      </c>
      <c r="E24" s="14">
        <f>E$23*$B24 * ( 1 - Discount )</f>
        <v>135</v>
      </c>
      <c r="F24" s="14">
        <f>F$23*$B24 * ( 1 - Discount )</f>
        <v>180</v>
      </c>
    </row>
    <row r="25" spans="2:6">
      <c r="B25" s="7">
        <v>20</v>
      </c>
      <c r="C25" s="14">
        <f>C$23*$B25 * ( 1 - Discount )</f>
        <v>90</v>
      </c>
      <c r="D25" s="14">
        <f>D$23*$B25 * ( 1 - Discount )</f>
        <v>180</v>
      </c>
      <c r="E25" s="14">
        <f>E$23*$B25 * ( 1 - Discount )</f>
        <v>270</v>
      </c>
      <c r="F25" s="14">
        <f>F$23*$B25 * ( 1 - Discount )</f>
        <v>360</v>
      </c>
    </row>
    <row r="26" spans="2:6">
      <c r="B26" s="7">
        <v>30</v>
      </c>
      <c r="C26" s="14">
        <f>C$23*$B26 * ( 1 - Discount )</f>
        <v>135</v>
      </c>
      <c r="D26" s="14">
        <f>D$23*$B26 * ( 1 - Discount )</f>
        <v>270</v>
      </c>
      <c r="E26" s="14">
        <f>E$23*$B26 * ( 1 - Discount )</f>
        <v>405</v>
      </c>
      <c r="F26" s="14">
        <f>F$23*$B26 * ( 1 - Discount )</f>
        <v>540</v>
      </c>
    </row>
    <row r="27" spans="2:6">
      <c r="B27" s="7">
        <v>40</v>
      </c>
      <c r="C27" s="14">
        <f>C$23*$B27 * ( 1 - Discount )</f>
        <v>180</v>
      </c>
      <c r="D27" s="14">
        <f>D$23*$B27 * ( 1 - Discount )</f>
        <v>360</v>
      </c>
      <c r="E27" s="14">
        <f>E$23*$B27 * ( 1 - Discount )</f>
        <v>540</v>
      </c>
      <c r="F27" s="14">
        <f>F$23*$B27 * ( 1 - Discount )</f>
        <v>720</v>
      </c>
    </row>
    <row r="28" spans="2:6">
      <c r="B28" s="7">
        <v>50</v>
      </c>
      <c r="C28" s="14">
        <f>C$23*$B28 * ( 1 - Discount )</f>
        <v>225</v>
      </c>
      <c r="D28" s="14">
        <f>D$23*$B28 * ( 1 - Discount )</f>
        <v>450</v>
      </c>
      <c r="E28" s="14">
        <f>E$23*$B28 * ( 1 - Discount )</f>
        <v>675</v>
      </c>
      <c r="F28" s="14">
        <f>F$23*$B28 * ( 1 - Discount )</f>
        <v>900</v>
      </c>
    </row>
    <row r="29" spans="2:6">
      <c r="B29" s="7">
        <v>60</v>
      </c>
      <c r="C29" s="14">
        <f>C$23*$B29 * ( 1 - Discount )</f>
        <v>270</v>
      </c>
      <c r="D29" s="14">
        <f>D$23*$B29 * ( 1 - Discount )</f>
        <v>540</v>
      </c>
      <c r="E29" s="14">
        <f>E$23*$B29 * ( 1 - Discount )</f>
        <v>810</v>
      </c>
      <c r="F29" s="14">
        <f>F$23*$B29 * ( 1 - Discount )</f>
        <v>1080</v>
      </c>
    </row>
    <row r="30" spans="2:6">
      <c r="B30" s="7">
        <v>70</v>
      </c>
      <c r="C30" s="14">
        <f>C$23*$B30 * ( 1 - Discount )</f>
        <v>315</v>
      </c>
      <c r="D30" s="14">
        <f>D$23*$B30 * ( 1 - Discount )</f>
        <v>630</v>
      </c>
      <c r="E30" s="14">
        <f>E$23*$B30 * ( 1 - Discount )</f>
        <v>945</v>
      </c>
      <c r="F30" s="14">
        <f>F$23*$B30 * ( 1 - Discount )</f>
        <v>1260</v>
      </c>
    </row>
    <row r="31" spans="2:6">
      <c r="B31" s="7">
        <v>80</v>
      </c>
      <c r="C31" s="14">
        <f>C$23*$B31 * ( 1 - Discount )</f>
        <v>360</v>
      </c>
      <c r="D31" s="14">
        <f>D$23*$B31 * ( 1 - Discount )</f>
        <v>720</v>
      </c>
      <c r="E31" s="14">
        <f>E$23*$B31 * ( 1 - Discount )</f>
        <v>1080</v>
      </c>
      <c r="F31" s="14">
        <f>F$23*$B31 * ( 1 - Discount )</f>
        <v>1440</v>
      </c>
    </row>
    <row r="32" spans="2:6">
      <c r="B32" s="7">
        <v>90</v>
      </c>
      <c r="C32" s="14">
        <f>C$23*$B32 * ( 1 - Discount )</f>
        <v>405</v>
      </c>
      <c r="D32" s="14">
        <f>D$23*$B32 * ( 1 - Discount )</f>
        <v>810</v>
      </c>
      <c r="E32" s="14">
        <f>E$23*$B32 * ( 1 - Discount )</f>
        <v>1215</v>
      </c>
      <c r="F32" s="14">
        <f>F$23*$B32 * ( 1 - Discount )</f>
        <v>1620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RevenueFormulas"/>
  <dimension ref="B2:G8"/>
  <sheetViews>
    <sheetView workbookViewId="0"/>
  </sheetViews>
  <sheetFormatPr defaultRowHeight="12.75"/>
  <cols>
    <col min="1" max="6" width="9.140625" style="18"/>
    <col min="7" max="7" width="10" style="18" customWidth="1"/>
    <col min="8" max="16384" width="9.140625" style="18"/>
  </cols>
  <sheetData>
    <row r="2" spans="2:7">
      <c r="C2" s="20" t="s">
        <v>5</v>
      </c>
      <c r="D2" s="20"/>
      <c r="E2" s="20"/>
      <c r="G2" s="23" t="s">
        <v>6</v>
      </c>
    </row>
    <row r="3" spans="2:7">
      <c r="B3" s="20" t="s">
        <v>7</v>
      </c>
      <c r="C3" s="22">
        <v>5</v>
      </c>
      <c r="D3" s="22">
        <v>10</v>
      </c>
      <c r="E3" s="22">
        <v>15</v>
      </c>
      <c r="G3" s="19">
        <v>0.1</v>
      </c>
    </row>
    <row r="4" spans="2:7">
      <c r="B4" s="21">
        <v>10</v>
      </c>
      <c r="C4" s="18">
        <f t="shared" ref="C4:E8" si="0">$B4*C$3*(1-Discount)</f>
        <v>45</v>
      </c>
      <c r="D4" s="18">
        <f t="shared" si="0"/>
        <v>90</v>
      </c>
      <c r="E4" s="18">
        <f t="shared" si="0"/>
        <v>135</v>
      </c>
    </row>
    <row r="5" spans="2:7">
      <c r="B5" s="21">
        <v>20</v>
      </c>
      <c r="C5" s="18">
        <f t="shared" si="0"/>
        <v>90</v>
      </c>
      <c r="D5" s="18">
        <f t="shared" si="0"/>
        <v>180</v>
      </c>
      <c r="E5" s="18">
        <f t="shared" si="0"/>
        <v>270</v>
      </c>
    </row>
    <row r="6" spans="2:7">
      <c r="B6" s="21">
        <v>30</v>
      </c>
      <c r="C6" s="18">
        <f t="shared" si="0"/>
        <v>135</v>
      </c>
      <c r="D6" s="18">
        <f t="shared" si="0"/>
        <v>270</v>
      </c>
      <c r="E6" s="18">
        <f t="shared" si="0"/>
        <v>405</v>
      </c>
    </row>
    <row r="7" spans="2:7">
      <c r="B7" s="21">
        <v>40</v>
      </c>
      <c r="C7" s="18">
        <f t="shared" si="0"/>
        <v>180</v>
      </c>
      <c r="D7" s="18">
        <f t="shared" si="0"/>
        <v>360</v>
      </c>
      <c r="E7" s="18">
        <f t="shared" si="0"/>
        <v>540</v>
      </c>
    </row>
    <row r="8" spans="2:7">
      <c r="B8" s="21">
        <v>50</v>
      </c>
      <c r="C8" s="18">
        <f t="shared" si="0"/>
        <v>225</v>
      </c>
      <c r="D8" s="18">
        <f t="shared" si="0"/>
        <v>450</v>
      </c>
      <c r="E8" s="18">
        <f t="shared" si="0"/>
        <v>675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RevenueFormulas1"/>
  <dimension ref="B1:G9"/>
  <sheetViews>
    <sheetView workbookViewId="0">
      <selection activeCell="G17" sqref="G17"/>
    </sheetView>
  </sheetViews>
  <sheetFormatPr defaultRowHeight="12.75"/>
  <cols>
    <col min="1" max="6" width="9.140625" style="18"/>
    <col min="7" max="7" width="10" style="18" customWidth="1"/>
    <col min="8" max="16384" width="9.140625" style="18"/>
  </cols>
  <sheetData>
    <row r="1" spans="2:7" ht="13.5" thickBot="1"/>
    <row r="2" spans="2:7" ht="13.5" thickTop="1">
      <c r="B2" s="29"/>
      <c r="C2" s="24" t="s">
        <v>5</v>
      </c>
      <c r="D2" s="24"/>
      <c r="E2" s="25"/>
      <c r="G2" s="23" t="s">
        <v>6</v>
      </c>
    </row>
    <row r="3" spans="2:7">
      <c r="B3" s="36" t="s">
        <v>7</v>
      </c>
      <c r="C3" s="37">
        <v>5</v>
      </c>
      <c r="D3" s="37">
        <v>10</v>
      </c>
      <c r="E3" s="38">
        <v>15</v>
      </c>
      <c r="G3" s="19">
        <v>0.1</v>
      </c>
    </row>
    <row r="4" spans="2:7">
      <c r="B4" s="30">
        <v>10</v>
      </c>
      <c r="C4" s="18">
        <f t="shared" ref="C4:E8" si="0">$B4*C$3*(1-Discount)</f>
        <v>45</v>
      </c>
      <c r="D4" s="18">
        <f t="shared" si="0"/>
        <v>90</v>
      </c>
      <c r="E4" s="26">
        <f t="shared" si="0"/>
        <v>135</v>
      </c>
    </row>
    <row r="5" spans="2:7">
      <c r="B5" s="30">
        <v>20</v>
      </c>
      <c r="C5" s="18">
        <f t="shared" si="0"/>
        <v>90</v>
      </c>
      <c r="D5" s="18">
        <f t="shared" si="0"/>
        <v>180</v>
      </c>
      <c r="E5" s="26">
        <f t="shared" si="0"/>
        <v>270</v>
      </c>
    </row>
    <row r="6" spans="2:7">
      <c r="B6" s="30">
        <v>30</v>
      </c>
      <c r="C6" s="18">
        <f t="shared" si="0"/>
        <v>135</v>
      </c>
      <c r="D6" s="18">
        <f t="shared" si="0"/>
        <v>270</v>
      </c>
      <c r="E6" s="26">
        <f t="shared" si="0"/>
        <v>405</v>
      </c>
    </row>
    <row r="7" spans="2:7">
      <c r="B7" s="30">
        <v>40</v>
      </c>
      <c r="C7" s="18">
        <f t="shared" si="0"/>
        <v>180</v>
      </c>
      <c r="D7" s="18">
        <f t="shared" si="0"/>
        <v>360</v>
      </c>
      <c r="E7" s="26">
        <f t="shared" si="0"/>
        <v>540</v>
      </c>
    </row>
    <row r="8" spans="2:7" ht="13.5" thickBot="1">
      <c r="B8" s="31">
        <v>50</v>
      </c>
      <c r="C8" s="27">
        <f t="shared" si="0"/>
        <v>225</v>
      </c>
      <c r="D8" s="27">
        <f t="shared" si="0"/>
        <v>450</v>
      </c>
      <c r="E8" s="28">
        <f t="shared" si="0"/>
        <v>675</v>
      </c>
    </row>
    <row r="9" spans="2:7" ht="13.5" thickTop="1"/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RevenueFormulas4"/>
  <dimension ref="B2:G8"/>
  <sheetViews>
    <sheetView tabSelected="1" workbookViewId="0"/>
  </sheetViews>
  <sheetFormatPr defaultRowHeight="12.75"/>
  <cols>
    <col min="1" max="6" width="9.140625" style="18"/>
    <col min="7" max="7" width="10" style="18" customWidth="1"/>
    <col min="8" max="16384" width="9.140625" style="18"/>
  </cols>
  <sheetData>
    <row r="2" spans="2:7">
      <c r="B2" s="32"/>
      <c r="C2" s="35" t="s">
        <v>5</v>
      </c>
      <c r="D2" s="34"/>
      <c r="E2" s="34"/>
      <c r="G2" s="23" t="s">
        <v>6</v>
      </c>
    </row>
    <row r="3" spans="2:7">
      <c r="B3" s="35" t="s">
        <v>7</v>
      </c>
      <c r="C3" s="16">
        <v>5</v>
      </c>
      <c r="D3" s="16">
        <v>10</v>
      </c>
      <c r="E3" s="16">
        <v>15</v>
      </c>
      <c r="G3" s="15">
        <v>0.1</v>
      </c>
    </row>
    <row r="4" spans="2:7">
      <c r="B4" s="17">
        <v>10</v>
      </c>
      <c r="C4" s="33">
        <f t="shared" ref="C4:E8" si="0">$B4*C$3*(1-Discount)</f>
        <v>45</v>
      </c>
      <c r="D4" s="33">
        <f t="shared" si="0"/>
        <v>90</v>
      </c>
      <c r="E4" s="33">
        <f t="shared" si="0"/>
        <v>135</v>
      </c>
    </row>
    <row r="5" spans="2:7">
      <c r="B5" s="17">
        <v>20</v>
      </c>
      <c r="C5" s="33">
        <f t="shared" si="0"/>
        <v>90</v>
      </c>
      <c r="D5" s="33">
        <f t="shared" si="0"/>
        <v>180</v>
      </c>
      <c r="E5" s="33">
        <f t="shared" si="0"/>
        <v>270</v>
      </c>
    </row>
    <row r="6" spans="2:7">
      <c r="B6" s="17">
        <v>30</v>
      </c>
      <c r="C6" s="33">
        <f t="shared" si="0"/>
        <v>135</v>
      </c>
      <c r="D6" s="33">
        <f t="shared" si="0"/>
        <v>270</v>
      </c>
      <c r="E6" s="33">
        <f t="shared" si="0"/>
        <v>405</v>
      </c>
    </row>
    <row r="7" spans="2:7">
      <c r="B7" s="17">
        <v>40</v>
      </c>
      <c r="C7" s="33">
        <f t="shared" si="0"/>
        <v>180</v>
      </c>
      <c r="D7" s="33">
        <f t="shared" si="0"/>
        <v>360</v>
      </c>
      <c r="E7" s="33">
        <f t="shared" si="0"/>
        <v>540</v>
      </c>
    </row>
    <row r="8" spans="2:7">
      <c r="B8" s="17">
        <v>50</v>
      </c>
      <c r="C8" s="33">
        <f t="shared" si="0"/>
        <v>225</v>
      </c>
      <c r="D8" s="33">
        <f t="shared" si="0"/>
        <v>450</v>
      </c>
      <c r="E8" s="33">
        <f t="shared" si="0"/>
        <v>675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"/>
  <dimension ref="B1:B6"/>
  <sheetViews>
    <sheetView workbookViewId="0">
      <selection activeCell="M3" sqref="M3"/>
    </sheetView>
  </sheetViews>
  <sheetFormatPr defaultRowHeight="12.75"/>
  <sheetData>
    <row r="1" spans="2:2">
      <c r="B1">
        <v>1</v>
      </c>
    </row>
    <row r="2" spans="2:2">
      <c r="B2">
        <f t="shared" ref="B2:B6" si="0">B1*5</f>
        <v>5</v>
      </c>
    </row>
    <row r="3" spans="2:2">
      <c r="B3">
        <f t="shared" si="0"/>
        <v>25</v>
      </c>
    </row>
    <row r="4" spans="2:2">
      <c r="B4">
        <f t="shared" si="0"/>
        <v>125</v>
      </c>
    </row>
    <row r="5" spans="2:2">
      <c r="B5">
        <f t="shared" si="0"/>
        <v>625</v>
      </c>
    </row>
    <row r="6" spans="2:2">
      <c r="B6">
        <f t="shared" si="0"/>
        <v>3125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62D89FD18544DA233D85FA3F104F1" ma:contentTypeVersion="1" ma:contentTypeDescription="Create a new document." ma:contentTypeScope="" ma:versionID="a8e9f87ec559ac86d5e3f013c74b67c6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CC4801FC-0F2F-4B27-A704-88AAA5A82B3F}"/>
</file>

<file path=customXml/itemProps2.xml><?xml version="1.0" encoding="utf-8"?>
<ds:datastoreItem xmlns:ds="http://schemas.openxmlformats.org/officeDocument/2006/customXml" ds:itemID="{31D41132-BFE4-4A17-8EEF-4709A71F424D}"/>
</file>

<file path=customXml/itemProps3.xml><?xml version="1.0" encoding="utf-8"?>
<ds:datastoreItem xmlns:ds="http://schemas.openxmlformats.org/officeDocument/2006/customXml" ds:itemID="{1532960E-6C64-4D5C-8E2E-A2F2627DF95D}"/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Data</vt:lpstr>
      <vt:lpstr>Prices</vt:lpstr>
      <vt:lpstr>Revenue</vt:lpstr>
      <vt:lpstr>Revenue (2)</vt:lpstr>
      <vt:lpstr>Revenue (4)</vt:lpstr>
      <vt:lpstr>Revenue (3)</vt:lpstr>
      <vt:lpstr>RevenueFormulas</vt:lpstr>
      <vt:lpstr>RevenueFormulas (2)</vt:lpstr>
      <vt:lpstr>RevenueFormulas (4)</vt:lpstr>
      <vt:lpstr>Formulas</vt:lpstr>
      <vt:lpstr>'Revenue (2)'!Discount</vt:lpstr>
      <vt:lpstr>'Revenue (3)'!Discount</vt:lpstr>
      <vt:lpstr>'Revenue (4)'!Discount</vt:lpstr>
      <vt:lpstr>'RevenueFormulas (2)'!Discount</vt:lpstr>
      <vt:lpstr>'RevenueFormulas (4)'!Discount</vt:lpstr>
      <vt:lpstr>Discount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Reed Jacobson</cp:lastModifiedBy>
  <dcterms:created xsi:type="dcterms:W3CDTF">2007-01-18T01:49:20Z</dcterms:created>
  <dcterms:modified xsi:type="dcterms:W3CDTF">2007-04-04T00:31:07Z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0x01010018062D89FD18544DA233D85FA3F104F1</vt:lpwstr>
  </property>
  <property fmtid="{D5CDD505-2E9C-101B-9397-08002B2CF9AE}" pid="3" name="Stage">
    <vt:lpwstr>&lt;none&gt;</vt:lpwstr>
  </property>
</Properties>
</file>